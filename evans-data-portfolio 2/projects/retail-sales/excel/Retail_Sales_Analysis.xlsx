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be3252d3cf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02433a5d894ffb"/>
    <x:sheet xmlns:r="http://schemas.openxmlformats.org/officeDocument/2006/relationships" name="Sales" sheetId="2" r:id="R52b0e37034654113"/>
    <x:sheet xmlns:r="http://schemas.openxmlformats.org/officeDocument/2006/relationships" name="Raw" sheetId="3" r:id="R13ad1b1911e9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"/>
    <x:numFmt numFmtId="201" formatCode="dd mmm yyyy"/>
    <x:numFmt numFmtId="202" formatCode="&quot;₦&quot;#,##0"/>
    <x:numFmt numFmtId="203" formatCode="0%"/>
    <x:numFmt numFmtId="204" formatCode="0.0%"/>
    <x:numFmt numFmtId="205" formatCode="#,##0"/>
    <x:numFmt numFmtId="206" formatCode="mmm yyyy"/>
  </x:numFmts>
  <x:fonts count="6">
    <x:font>
      <x:sz val="11"/>
      <x:name val="Carlito"/>
    </x:font>
    <x:font>
      <x:sz val="10"/>
      <x:color rgb="FF263D37"/>
      <x:name val="Arial"/>
    </x:font>
    <x:font>
      <x:b/>
      <x:sz val="16"/>
      <x:color rgb="FF163C35"/>
      <x:name val="Arial"/>
    </x:font>
    <x:font>
      <x:i/>
      <x:sz val="10"/>
      <x:color rgb="FF657A71"/>
      <x:name val="Arial"/>
    </x:font>
    <x:font>
      <x:b/>
      <x:sz val="10"/>
      <x:color rgb="FFFFFFFF"/>
      <x:name val="Arial"/>
    </x:font>
    <x:font>
      <x:b/>
      <x:sz val="10"/>
      <x:color rgb="FF163C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3C9"/>
      </x:patternFill>
    </x:fill>
    <x:fill>
      <x:patternFill patternType="solid">
        <x:fgColor rgb="FFF0F5F2"/>
      </x:patternFill>
    </x:fill>
    <x:fill>
      <x:patternFill patternType="solid">
        <x:fgColor rgb="FF163C35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648275"/>
      </x:bottom>
      <x:diagonal/>
    </x:border>
    <x:border>
      <x:left/>
      <x:right/>
      <x:top style="thin">
        <x:color rgb="FF648275"/>
      </x:top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5" fontId="5" fillId="0" borderId="0" xfId="0" applyNumberFormat="1" applyFont="1" applyFill="1" applyBorder="1" applyAlignment="1">
      <x:alignment vertical="center"/>
    </x:xf>
    <x:xf numFmtId="204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5" fontId="5" fillId="0" borderId="2" xfId="0" applyNumberFormat="1" applyFont="1" applyFill="1" applyBorder="1" applyAlignment="1">
      <x:alignment vertical="center"/>
    </x:xf>
    <x:xf numFmtId="204" fontId="5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4060ef47f4edb" /><Relationship Type="http://schemas.openxmlformats.org/officeDocument/2006/relationships/theme" Target="/xl/theme/theme1.xml" Id="R090f956a0d754705" /><Relationship Type="http://schemas.openxmlformats.org/officeDocument/2006/relationships/sharedStrings" Target="/xl/sharedStrings.xml" Id="R11f7e7f98f674c6d" /><Relationship Type="http://schemas.openxmlformats.org/officeDocument/2006/relationships/worksheet" Target="/xl/worksheets/sheet1.xml" Id="R6902433a5d894ffb" /><Relationship Type="http://schemas.openxmlformats.org/officeDocument/2006/relationships/worksheet" Target="/xl/worksheets/sheet2.xml" Id="R52b0e37034654113" /><Relationship Type="http://schemas.openxmlformats.org/officeDocument/2006/relationships/worksheet" Target="/xl/worksheets/sheet3.xml" Id="R13ad1b1911e947a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41d1578fcd74b4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Monthly net revenue (NGN millions)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Net revenue (NGN)</c:v>
          </c:tx>
          <c:spPr>
            <a:ln xmlns:a="http://schemas.openxmlformats.org/drawingml/2006/main" w="19050">
              <a:solidFill>
                <a:srgbClr val="163C35"/>
              </a:solidFill>
              <a:prstDash val="solid"/>
            </a:ln>
          </c:spPr>
          <c:marker>
            <c:symbol val="none"/>
          </c:marker>
          <c:cat>
            <c:strRef>
              <c:f>'Summary'!$I$40:$I$51</c:f>
              <c:strCache>
                <c:ptCount val="0"/>
              </c:strCache>
            </c:strRef>
          </c:cat>
          <c:val>
            <c:numRef>
              <c:f>'Summary'!$J$40:$J$51</c:f>
              <c:numCache>
                <c:formatCode>"₦"#,##0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1d1578fcd74b4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Table" displayName="SalesTable" ref="A5:P1505" headerRowCount="1" totalsRowCount="0" totalsRowShown="0">
  <x:tableColumns count="16">
    <x:tableColumn id="1" name="Source row"/>
    <x:tableColumn id="2" name="Transaction ID"/>
    <x:tableColumn id="3" name="Order date"/>
    <x:tableColumn id="4" name="City"/>
    <x:tableColumn id="5" name="Category"/>
    <x:tableColumn id="6" name="Product"/>
    <x:tableColumn id="7" name="Channel"/>
    <x:tableColumn id="8" name="Quantity"/>
    <x:tableColumn id="9" name="Unit price (NGN)"/>
    <x:tableColumn id="10" name="Unit cost (NGN)"/>
    <x:tableColumn id="11" name="Discount"/>
    <x:tableColumn id="12" name="Status"/>
    <x:tableColumn id="13" name="Gross sales (NGN)"/>
    <x:tableColumn id="14" name="Net revenue (NGN)"/>
    <x:tableColumn id="15" name="COGS (NGN)"/>
    <x:tableColumn id="16" name="Gross profit (NGN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wTable" displayName="RawTable" ref="A5:L1549" headerRowCount="1" totalsRowCount="0" totalsRowShown="0">
  <x:tableColumns count="12">
    <x:tableColumn id="1" name="source_row"/>
    <x:tableColumn id="2" name="transaction_id"/>
    <x:tableColumn id="3" name="order_date"/>
    <x:tableColumn id="4" name="city"/>
    <x:tableColumn id="5" name="category"/>
    <x:tableColumn id="6" name="product"/>
    <x:tableColumn id="7" name="channel"/>
    <x:tableColumn id="8" name="quantity"/>
    <x:tableColumn id="9" name="unit_price_ngn"/>
    <x:tableColumn id="10" name="unit_cost_ngn"/>
    <x:tableColumn id="11" name="discount_rate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a6935266df41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0541482b304d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7d3a88b30e4984" /></Relationships>
</file>

<file path=xl/worksheets/sheet1.xml><?xml version="1.0" encoding="utf-8"?>
<x:worksheet xmlns:x="http://schemas.openxmlformats.org/spreadsheetml/2006/main">
  <x:sheetPr>
    <x:tabColor rgb="FF163C35"/>
  </x:sheetPr>
  <x:sheetViews>
    <x:sheetView showGridLines="0" workbookViewId="0"/>
  </x:sheetViews>
  <x:sheetFormatPr defaultRowHeight="15"/>
  <x:cols>
    <x:col min="1" max="1" width="3" hidden="0" customWidth="1"/>
    <x:col min="2" max="2" width="27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3" hidden="0" customWidth="1"/>
    <x:col min="9" max="9" width="35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2"/>
      <x:c r="B2" s="3" t="str">
        <x:v>Retail sales performance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1" customHeight="1">
      <x:c r="A3" s="2"/>
      <x:c r="B3" s="4" t="str">
        <x:v>Simulated data. January–December 2025. Amounts in Nigerian naira.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1" customHeight="1">
      <x:c r="A4" s="2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</x:row>
    <x:row r="5" ht="21" customHeight="1">
      <x:c r="A5" s="2"/>
      <x:c r="B5" s="2" t="str">
        <x:v>City</x:v>
      </x:c>
      <x:c r="C5" s="6" t="str">
        <x:v>All</x:v>
      </x:c>
      <x:c r="D5" s="2"/>
      <x:c r="E5" s="2"/>
      <x:c r="F5" s="2" t="str">
        <x:v>Category</x:v>
      </x:c>
      <x:c r="G5" s="6" t="str">
        <x:v>All</x:v>
      </x:c>
      <x:c r="H5" s="2"/>
      <x:c r="I5" s="2"/>
      <x:c r="J5" s="2"/>
      <x:c r="K5" s="2"/>
      <x:c r="L5" s="2"/>
      <x:c r="M5" s="2"/>
      <x:c r="N5" s="2"/>
    </x:row>
    <x:row r="6" ht="21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1" customHeight="1">
      <x:c r="A7" s="2"/>
      <x:c r="B7" s="4" t="str">
        <x:v>Select a city or category in the yellow cells.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6" customHeight="1">
      <x:c r="A8" s="2"/>
      <x:c r="B8" s="15" t="str">
        <x:v>Metric</x:v>
      </x:c>
      <x:c r="C8" s="15" t="str">
        <x:v>Selected results</x:v>
      </x:c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1" customHeight="1">
      <x:c r="A9" s="2"/>
      <x:c r="B9" s="2" t="str">
        <x:v>Net revenue</x:v>
      </x:c>
      <x:c r="C9" s="18" t="n">
        <x:f>SUMIFS('Sales'!$N$6:$N$1505,'Sales'!$D$6:$D$1505,IF($C$5="All","*",$C$5),'Sales'!$E$6:$E$1505,IF($G$5="All","*",$G$5))</x:f>
        <x:v>37176500</x:v>
      </x:c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1" customHeight="1">
      <x:c r="A10" s="2"/>
      <x:c r="B10" s="2" t="str">
        <x:v>Gross profit</x:v>
      </x:c>
      <x:c r="C10" s="18" t="n">
        <x:f>SUMIFS('Sales'!$P$6:$P$1505,'Sales'!$D$6:$D$1505,IF($C$5="All","*",$C$5),'Sales'!$E$6:$E$1505,IF($G$5="All","*",$G$5))</x:f>
        <x:v>13729300</x:v>
      </x:c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1" customHeight="1">
      <x:c r="A11" s="2"/>
      <x:c r="B11" s="2" t="str">
        <x:v>Gross margin</x:v>
      </x:c>
      <x:c r="C11" s="19" t="n">
        <x:f>IF(C9=0,"n.a.",C10/C9)</x:f>
        <x:v>0.3693004989711242</x:v>
      </x:c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1" customHeight="1">
      <x:c r="A12" s="2"/>
      <x:c r="B12" s="2" t="str">
        <x:v>All transactions</x:v>
      </x:c>
      <x:c r="C12" s="20" t="n">
        <x:f>COUNTIFS('Sales'!$D$6:$D$1505,IF($C$5="All","*",$C$5),'Sales'!$E$6:$E$1505,IF($G$5="All","*",$G$5))</x:f>
        <x:v>1500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1" customHeight="1">
      <x:c r="A13" s="2"/>
      <x:c r="B13" s="2" t="str">
        <x:v>Completed transactions</x:v>
      </x:c>
      <x:c r="C13" s="20" t="n">
        <x:f>COUNTIFS('Sales'!$D$6:$D$1505,IF($C$5="All","*",$C$5),'Sales'!$E$6:$E$1505,IF($G$5="All","*",$G$5),'Sales'!$L$6:$L$1505,"Completed")</x:f>
        <x:v>1377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1" customHeight="1">
      <x:c r="A14" s="2"/>
      <x:c r="B14" s="2" t="str">
        <x:v>Returned transactions</x:v>
      </x:c>
      <x:c r="C14" s="20" t="n">
        <x:f>COUNTIFS('Sales'!$D$6:$D$1505,IF($C$5="All","*",$C$5),'Sales'!$E$6:$E$1505,IF($G$5="All","*",$G$5),'Sales'!$L$6:$L$1505,"Returned")</x:f>
        <x:v>123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1" customHeight="1">
      <x:c r="A15" s="2"/>
      <x:c r="B15" s="2" t="str">
        <x:v>Return rate</x:v>
      </x:c>
      <x:c r="C15" s="19" t="n">
        <x:f>IF(C12=0,"n.a.",C14/C12)</x:f>
        <x:v>0.082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1" customHeight="1">
      <x:c r="A16" s="2"/>
      <x:c r="B16" s="2" t="str">
        <x:v>Average completed order</x:v>
      </x:c>
      <x:c r="C16" s="18" t="n">
        <x:f>IF(C13=0,"n.a.",C9/C13)</x:f>
        <x:v>26998.18445896877</x:v>
      </x:c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1" customHeight="1">
      <x:c r="A18" s="2"/>
      <x:c r="B18" s="4" t="str">
        <x:v>Returned transactions have zero revenue and COGS in this model.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6" customHeight="1">
      <x:c r="A20" s="2"/>
      <x:c r="B20" s="15" t="str">
        <x:v>Month</x:v>
      </x:c>
      <x:c r="C20" s="15" t="str">
        <x:v>Net revenue (NGN)</x:v>
      </x:c>
      <x:c r="D20" s="15" t="str">
        <x:v>Gross profit (NGN)</x:v>
      </x:c>
      <x:c r="E20" s="15" t="str">
        <x:v>Transactions</x:v>
      </x:c>
      <x:c r="F20" s="15" t="str">
        <x:v>Returned</x:v>
      </x:c>
      <x:c r="G20" s="15" t="str">
        <x:v>Return rate</x:v>
      </x:c>
      <x:c r="H20" s="2"/>
      <x:c r="I20" s="2"/>
      <x:c r="J20" s="2"/>
      <x:c r="K20" s="2"/>
      <x:c r="L20" s="2"/>
      <x:c r="M20" s="2"/>
      <x:c r="N20" s="2"/>
    </x:row>
    <x:row r="21" ht="21" customHeight="1">
      <x:c r="A21" s="2"/>
      <x:c r="B21" s="21" t="d">
        <x:v>2025-01-01T00:00:00.000Z</x:v>
      </x:c>
      <x:c r="C21" s="9" t="n">
        <x:f>SUMIFS('Sales'!$N$6:$N$1505,'Sales'!$D$6:$D$1505,IF($C$5="All","*",$C$5),'Sales'!$E$6:$E$1505,IF($G$5="All","*",$G$5),'Sales'!$C$6:$C$1505,"&gt;="&amp;$B21,'Sales'!$C$6:$C$1505,"&lt;"&amp;EDATE($B21,1))</x:f>
        <x:v>2276075</x:v>
      </x:c>
      <x:c r="D21" s="9" t="n">
        <x:f>SUMIFS('Sales'!$P$6:$P$1505,'Sales'!$D$6:$D$1505,IF($C$5="All","*",$C$5),'Sales'!$E$6:$E$1505,IF($G$5="All","*",$G$5),'Sales'!$C$6:$C$1505,"&gt;="&amp;$B21,'Sales'!$C$6:$C$1505,"&lt;"&amp;EDATE($B21,1))</x:f>
        <x:v>849775</x:v>
      </x:c>
      <x:c r="E21" s="17" t="n">
        <x:f>COUNTIFS('Sales'!$D$6:$D$1505,IF($C$5="All","*",$C$5),'Sales'!$E$6:$E$1505,IF($G$5="All","*",$G$5),'Sales'!$C$6:$C$1505,"&gt;="&amp;$B21,'Sales'!$C$6:$C$1505,"&lt;"&amp;EDATE($B21,1))</x:f>
        <x:v>96</x:v>
      </x:c>
      <x:c r="F21" s="17" t="n">
        <x:f>COUNTIFS('Sales'!$D$6:$D$1505,IF($C$5="All","*",$C$5),'Sales'!$E$6:$E$1505,IF($G$5="All","*",$G$5),'Sales'!$C$6:$C$1505,"&gt;="&amp;$B21,'Sales'!$C$6:$C$1505,"&lt;"&amp;EDATE($B21,1),'Sales'!$L$6:$L$1505,"Returned")</x:f>
        <x:v>10</x:v>
      </x:c>
      <x:c r="G21" s="16" t="n">
        <x:f>IF(E21=0,"n.a.",F21/E21)</x:f>
        <x:v>0.10416666666666667</x:v>
      </x:c>
      <x:c r="H21" s="2"/>
      <x:c r="I21" s="2"/>
      <x:c r="J21" s="2"/>
      <x:c r="K21" s="2"/>
      <x:c r="L21" s="2"/>
      <x:c r="M21" s="2"/>
      <x:c r="N21" s="2"/>
    </x:row>
    <x:row r="22" ht="21" customHeight="1">
      <x:c r="A22" s="2"/>
      <x:c r="B22" s="21" t="d">
        <x:v>2025-02-01T00:00:00.000Z</x:v>
      </x:c>
      <x:c r="C22" s="9" t="n">
        <x:f>SUMIFS('Sales'!$N$6:$N$1505,'Sales'!$D$6:$D$1505,IF($C$5="All","*",$C$5),'Sales'!$E$6:$E$1505,IF($G$5="All","*",$G$5),'Sales'!$C$6:$C$1505,"&gt;="&amp;$B22,'Sales'!$C$6:$C$1505,"&lt;"&amp;EDATE($B22,1))</x:f>
        <x:v>2522975</x:v>
      </x:c>
      <x:c r="D22" s="9" t="n">
        <x:f>SUMIFS('Sales'!$P$6:$P$1505,'Sales'!$D$6:$D$1505,IF($C$5="All","*",$C$5),'Sales'!$E$6:$E$1505,IF($G$5="All","*",$G$5),'Sales'!$C$6:$C$1505,"&gt;="&amp;$B22,'Sales'!$C$6:$C$1505,"&lt;"&amp;EDATE($B22,1))</x:f>
        <x:v>931475</x:v>
      </x:c>
      <x:c r="E22" s="17" t="n">
        <x:f>COUNTIFS('Sales'!$D$6:$D$1505,IF($C$5="All","*",$C$5),'Sales'!$E$6:$E$1505,IF($G$5="All","*",$G$5),'Sales'!$C$6:$C$1505,"&gt;="&amp;$B22,'Sales'!$C$6:$C$1505,"&lt;"&amp;EDATE($B22,1))</x:f>
        <x:v>102</x:v>
      </x:c>
      <x:c r="F22" s="17" t="n">
        <x:f>COUNTIFS('Sales'!$D$6:$D$1505,IF($C$5="All","*",$C$5),'Sales'!$E$6:$E$1505,IF($G$5="All","*",$G$5),'Sales'!$C$6:$C$1505,"&gt;="&amp;$B22,'Sales'!$C$6:$C$1505,"&lt;"&amp;EDATE($B22,1),'Sales'!$L$6:$L$1505,"Returned")</x:f>
        <x:v>11</x:v>
      </x:c>
      <x:c r="G22" s="16" t="n">
        <x:f>IF(E22=0,"n.a.",F22/E22)</x:f>
        <x:v>0.10784313725490197</x:v>
      </x:c>
      <x:c r="H22" s="2"/>
      <x:c r="I22" s="2"/>
      <x:c r="J22" s="2"/>
      <x:c r="K22" s="2"/>
      <x:c r="L22" s="2"/>
      <x:c r="M22" s="2"/>
      <x:c r="N22" s="2"/>
    </x:row>
    <x:row r="23" ht="21" customHeight="1">
      <x:c r="A23" s="2"/>
      <x:c r="B23" s="21" t="d">
        <x:v>2025-03-01T00:00:00.000Z</x:v>
      </x:c>
      <x:c r="C23" s="9" t="n">
        <x:f>SUMIFS('Sales'!$N$6:$N$1505,'Sales'!$D$6:$D$1505,IF($C$5="All","*",$C$5),'Sales'!$E$6:$E$1505,IF($G$5="All","*",$G$5),'Sales'!$C$6:$C$1505,"&gt;="&amp;$B23,'Sales'!$C$6:$C$1505,"&lt;"&amp;EDATE($B23,1))</x:f>
        <x:v>2905775</x:v>
      </x:c>
      <x:c r="D23" s="9" t="n">
        <x:f>SUMIFS('Sales'!$P$6:$P$1505,'Sales'!$D$6:$D$1505,IF($C$5="All","*",$C$5),'Sales'!$E$6:$E$1505,IF($G$5="All","*",$G$5),'Sales'!$C$6:$C$1505,"&gt;="&amp;$B23,'Sales'!$C$6:$C$1505,"&lt;"&amp;EDATE($B23,1))</x:f>
        <x:v>1052175</x:v>
      </x:c>
      <x:c r="E23" s="17" t="n">
        <x:f>COUNTIFS('Sales'!$D$6:$D$1505,IF($C$5="All","*",$C$5),'Sales'!$E$6:$E$1505,IF($G$5="All","*",$G$5),'Sales'!$C$6:$C$1505,"&gt;="&amp;$B23,'Sales'!$C$6:$C$1505,"&lt;"&amp;EDATE($B23,1))</x:f>
        <x:v>109</x:v>
      </x:c>
      <x:c r="F23" s="17" t="n">
        <x:f>COUNTIFS('Sales'!$D$6:$D$1505,IF($C$5="All","*",$C$5),'Sales'!$E$6:$E$1505,IF($G$5="All","*",$G$5),'Sales'!$C$6:$C$1505,"&gt;="&amp;$B23,'Sales'!$C$6:$C$1505,"&lt;"&amp;EDATE($B23,1),'Sales'!$L$6:$L$1505,"Returned")</x:f>
        <x:v>9</x:v>
      </x:c>
      <x:c r="G23" s="16" t="n">
        <x:f>IF(E23=0,"n.a.",F23/E23)</x:f>
        <x:v>0.08256880733944955</x:v>
      </x:c>
      <x:c r="H23" s="2"/>
      <x:c r="I23" s="2"/>
      <x:c r="J23" s="2"/>
      <x:c r="K23" s="2"/>
      <x:c r="L23" s="2"/>
      <x:c r="M23" s="2"/>
      <x:c r="N23" s="2"/>
    </x:row>
    <x:row r="24" ht="21" customHeight="1">
      <x:c r="A24" s="2"/>
      <x:c r="B24" s="21" t="d">
        <x:v>2025-04-01T00:00:00.000Z</x:v>
      </x:c>
      <x:c r="C24" s="9" t="n">
        <x:f>SUMIFS('Sales'!$N$6:$N$1505,'Sales'!$D$6:$D$1505,IF($C$5="All","*",$C$5),'Sales'!$E$6:$E$1505,IF($G$5="All","*",$G$5),'Sales'!$C$6:$C$1505,"&gt;="&amp;$B24,'Sales'!$C$6:$C$1505,"&lt;"&amp;EDATE($B24,1))</x:f>
        <x:v>3017325</x:v>
      </x:c>
      <x:c r="D24" s="9" t="n">
        <x:f>SUMIFS('Sales'!$P$6:$P$1505,'Sales'!$D$6:$D$1505,IF($C$5="All","*",$C$5),'Sales'!$E$6:$E$1505,IF($G$5="All","*",$G$5),'Sales'!$C$6:$C$1505,"&gt;="&amp;$B24,'Sales'!$C$6:$C$1505,"&lt;"&amp;EDATE($B24,1))</x:f>
        <x:v>1103525</x:v>
      </x:c>
      <x:c r="E24" s="17" t="n">
        <x:f>COUNTIFS('Sales'!$D$6:$D$1505,IF($C$5="All","*",$C$5),'Sales'!$E$6:$E$1505,IF($G$5="All","*",$G$5),'Sales'!$C$6:$C$1505,"&gt;="&amp;$B24,'Sales'!$C$6:$C$1505,"&lt;"&amp;EDATE($B24,1))</x:f>
        <x:v>112</x:v>
      </x:c>
      <x:c r="F24" s="17" t="n">
        <x:f>COUNTIFS('Sales'!$D$6:$D$1505,IF($C$5="All","*",$C$5),'Sales'!$E$6:$E$1505,IF($G$5="All","*",$G$5),'Sales'!$C$6:$C$1505,"&gt;="&amp;$B24,'Sales'!$C$6:$C$1505,"&lt;"&amp;EDATE($B24,1),'Sales'!$L$6:$L$1505,"Returned")</x:f>
        <x:v>9</x:v>
      </x:c>
      <x:c r="G24" s="16" t="n">
        <x:f>IF(E24=0,"n.a.",F24/E24)</x:f>
        <x:v>0.08035714285714286</x:v>
      </x:c>
      <x:c r="H24" s="2"/>
      <x:c r="I24" s="2"/>
      <x:c r="J24" s="2"/>
      <x:c r="K24" s="2"/>
      <x:c r="L24" s="2"/>
      <x:c r="M24" s="2"/>
      <x:c r="N24" s="2"/>
    </x:row>
    <x:row r="25" ht="21" customHeight="1">
      <x:c r="A25" s="2"/>
      <x:c r="B25" s="21" t="d">
        <x:v>2025-05-01T00:00:00.000Z</x:v>
      </x:c>
      <x:c r="C25" s="9" t="n">
        <x:f>SUMIFS('Sales'!$N$6:$N$1505,'Sales'!$D$6:$D$1505,IF($C$5="All","*",$C$5),'Sales'!$E$6:$E$1505,IF($G$5="All","*",$G$5),'Sales'!$C$6:$C$1505,"&gt;="&amp;$B25,'Sales'!$C$6:$C$1505,"&lt;"&amp;EDATE($B25,1))</x:f>
        <x:v>3073900</x:v>
      </x:c>
      <x:c r="D25" s="9" t="n">
        <x:f>SUMIFS('Sales'!$P$6:$P$1505,'Sales'!$D$6:$D$1505,IF($C$5="All","*",$C$5),'Sales'!$E$6:$E$1505,IF($G$5="All","*",$G$5),'Sales'!$C$6:$C$1505,"&gt;="&amp;$B25,'Sales'!$C$6:$C$1505,"&lt;"&amp;EDATE($B25,1))</x:f>
        <x:v>1156700</x:v>
      </x:c>
      <x:c r="E25" s="17" t="n">
        <x:f>COUNTIFS('Sales'!$D$6:$D$1505,IF($C$5="All","*",$C$5),'Sales'!$E$6:$E$1505,IF($G$5="All","*",$G$5),'Sales'!$C$6:$C$1505,"&gt;="&amp;$B25,'Sales'!$C$6:$C$1505,"&lt;"&amp;EDATE($B25,1))</x:f>
        <x:v>118</x:v>
      </x:c>
      <x:c r="F25" s="17" t="n">
        <x:f>COUNTIFS('Sales'!$D$6:$D$1505,IF($C$5="All","*",$C$5),'Sales'!$E$6:$E$1505,IF($G$5="All","*",$G$5),'Sales'!$C$6:$C$1505,"&gt;="&amp;$B25,'Sales'!$C$6:$C$1505,"&lt;"&amp;EDATE($B25,1),'Sales'!$L$6:$L$1505,"Returned")</x:f>
        <x:v>5</x:v>
      </x:c>
      <x:c r="G25" s="16" t="n">
        <x:f>IF(E25=0,"n.a.",F25/E25)</x:f>
        <x:v>0.0423728813559322</x:v>
      </x:c>
      <x:c r="H25" s="2"/>
      <x:c r="I25" s="2"/>
      <x:c r="J25" s="2"/>
      <x:c r="K25" s="2"/>
      <x:c r="L25" s="2"/>
      <x:c r="M25" s="2"/>
      <x:c r="N25" s="2"/>
    </x:row>
    <x:row r="26" ht="21" customHeight="1">
      <x:c r="A26" s="2"/>
      <x:c r="B26" s="21" t="d">
        <x:v>2025-06-01T00:00:00.000Z</x:v>
      </x:c>
      <x:c r="C26" s="9" t="n">
        <x:f>SUMIFS('Sales'!$N$6:$N$1505,'Sales'!$D$6:$D$1505,IF($C$5="All","*",$C$5),'Sales'!$E$6:$E$1505,IF($G$5="All","*",$G$5),'Sales'!$C$6:$C$1505,"&gt;="&amp;$B26,'Sales'!$C$6:$C$1505,"&lt;"&amp;EDATE($B26,1))</x:f>
        <x:v>3051975</x:v>
      </x:c>
      <x:c r="D26" s="9" t="n">
        <x:f>SUMIFS('Sales'!$P$6:$P$1505,'Sales'!$D$6:$D$1505,IF($C$5="All","*",$C$5),'Sales'!$E$6:$E$1505,IF($G$5="All","*",$G$5),'Sales'!$C$6:$C$1505,"&gt;="&amp;$B26,'Sales'!$C$6:$C$1505,"&lt;"&amp;EDATE($B26,1))</x:f>
        <x:v>1135675</x:v>
      </x:c>
      <x:c r="E26" s="17" t="n">
        <x:f>COUNTIFS('Sales'!$D$6:$D$1505,IF($C$5="All","*",$C$5),'Sales'!$E$6:$E$1505,IF($G$5="All","*",$G$5),'Sales'!$C$6:$C$1505,"&gt;="&amp;$B26,'Sales'!$C$6:$C$1505,"&lt;"&amp;EDATE($B26,1))</x:f>
        <x:v>120</x:v>
      </x:c>
      <x:c r="F26" s="17" t="n">
        <x:f>COUNTIFS('Sales'!$D$6:$D$1505,IF($C$5="All","*",$C$5),'Sales'!$E$6:$E$1505,IF($G$5="All","*",$G$5),'Sales'!$C$6:$C$1505,"&gt;="&amp;$B26,'Sales'!$C$6:$C$1505,"&lt;"&amp;EDATE($B26,1),'Sales'!$L$6:$L$1505,"Returned")</x:f>
        <x:v>4</x:v>
      </x:c>
      <x:c r="G26" s="16" t="n">
        <x:f>IF(E26=0,"n.a.",F26/E26)</x:f>
        <x:v>0.03333333333333333</x:v>
      </x:c>
      <x:c r="H26" s="2"/>
      <x:c r="I26" s="2"/>
      <x:c r="J26" s="2"/>
      <x:c r="K26" s="2"/>
      <x:c r="L26" s="2"/>
      <x:c r="M26" s="2"/>
      <x:c r="N26" s="2"/>
    </x:row>
    <x:row r="27" ht="26" customHeight="1">
      <x:c r="A27" s="2"/>
      <x:c r="B27" s="21" t="d">
        <x:v>2025-07-01T00:00:00.000Z</x:v>
      </x:c>
      <x:c r="C27" s="9" t="n">
        <x:f>SUMIFS('Sales'!$N$6:$N$1505,'Sales'!$D$6:$D$1505,IF($C$5="All","*",$C$5),'Sales'!$E$6:$E$1505,IF($G$5="All","*",$G$5),'Sales'!$C$6:$C$1505,"&gt;="&amp;$B27,'Sales'!$C$6:$C$1505,"&lt;"&amp;EDATE($B27,1))</x:f>
        <x:v>2916600</x:v>
      </x:c>
      <x:c r="D27" s="9" t="n">
        <x:f>SUMIFS('Sales'!$P$6:$P$1505,'Sales'!$D$6:$D$1505,IF($C$5="All","*",$C$5),'Sales'!$E$6:$E$1505,IF($G$5="All","*",$G$5),'Sales'!$C$6:$C$1505,"&gt;="&amp;$B27,'Sales'!$C$6:$C$1505,"&lt;"&amp;EDATE($B27,1))</x:f>
        <x:v>1061200</x:v>
      </x:c>
      <x:c r="E27" s="17" t="n">
        <x:f>COUNTIFS('Sales'!$D$6:$D$1505,IF($C$5="All","*",$C$5),'Sales'!$E$6:$E$1505,IF($G$5="All","*",$G$5),'Sales'!$C$6:$C$1505,"&gt;="&amp;$B27,'Sales'!$C$6:$C$1505,"&lt;"&amp;EDATE($B27,1))</x:f>
        <x:v>124</x:v>
      </x:c>
      <x:c r="F27" s="17" t="n">
        <x:f>COUNTIFS('Sales'!$D$6:$D$1505,IF($C$5="All","*",$C$5),'Sales'!$E$6:$E$1505,IF($G$5="All","*",$G$5),'Sales'!$C$6:$C$1505,"&gt;="&amp;$B27,'Sales'!$C$6:$C$1505,"&lt;"&amp;EDATE($B27,1),'Sales'!$L$6:$L$1505,"Returned")</x:f>
        <x:v>11</x:v>
      </x:c>
      <x:c r="G27" s="16" t="n">
        <x:f>IF(E27=0,"n.a.",F27/E27)</x:f>
        <x:v>0.08870967741935484</x:v>
      </x:c>
      <x:c r="H27" s="2"/>
      <x:c r="I27" s="15" t="str">
        <x:v>Source cleaning log (all data)</x:v>
      </x:c>
      <x:c r="J27" s="15" t="str">
        <x:v>Rows</x:v>
      </x:c>
      <x:c r="K27" s="2"/>
      <x:c r="L27" s="2"/>
      <x:c r="M27" s="2"/>
      <x:c r="N27" s="2"/>
    </x:row>
    <x:row r="28" ht="21" customHeight="1">
      <x:c r="A28" s="2"/>
      <x:c r="B28" s="21" t="d">
        <x:v>2025-08-01T00:00:00.000Z</x:v>
      </x:c>
      <x:c r="C28" s="9" t="n">
        <x:f>SUMIFS('Sales'!$N$6:$N$1505,'Sales'!$D$6:$D$1505,IF($C$5="All","*",$C$5),'Sales'!$E$6:$E$1505,IF($G$5="All","*",$G$5),'Sales'!$C$6:$C$1505,"&gt;="&amp;$B28,'Sales'!$C$6:$C$1505,"&lt;"&amp;EDATE($B28,1))</x:f>
        <x:v>2741550</x:v>
      </x:c>
      <x:c r="D28" s="9" t="n">
        <x:f>SUMIFS('Sales'!$P$6:$P$1505,'Sales'!$D$6:$D$1505,IF($C$5="All","*",$C$5),'Sales'!$E$6:$E$1505,IF($G$5="All","*",$G$5),'Sales'!$C$6:$C$1505,"&gt;="&amp;$B28,'Sales'!$C$6:$C$1505,"&lt;"&amp;EDATE($B28,1))</x:f>
        <x:v>1030050</x:v>
      </x:c>
      <x:c r="E28" s="17" t="n">
        <x:f>COUNTIFS('Sales'!$D$6:$D$1505,IF($C$5="All","*",$C$5),'Sales'!$E$6:$E$1505,IF($G$5="All","*",$G$5),'Sales'!$C$6:$C$1505,"&gt;="&amp;$B28,'Sales'!$C$6:$C$1505,"&lt;"&amp;EDATE($B28,1))</x:f>
        <x:v>128</x:v>
      </x:c>
      <x:c r="F28" s="17" t="n">
        <x:f>COUNTIFS('Sales'!$D$6:$D$1505,IF($C$5="All","*",$C$5),'Sales'!$E$6:$E$1505,IF($G$5="All","*",$G$5),'Sales'!$C$6:$C$1505,"&gt;="&amp;$B28,'Sales'!$C$6:$C$1505,"&lt;"&amp;EDATE($B28,1),'Sales'!$L$6:$L$1505,"Returned")</x:f>
        <x:v>12</x:v>
      </x:c>
      <x:c r="G28" s="16" t="n">
        <x:f>IF(E28=0,"n.a.",F28/E28)</x:f>
        <x:v>0.09375</x:v>
      </x:c>
      <x:c r="H28" s="2"/>
      <x:c r="I28" s="2" t="str">
        <x:v>Raw source rows</x:v>
      </x:c>
      <x:c r="J28" s="17" t="n">
        <x:v>1544</x:v>
      </x:c>
      <x:c r="K28" s="2"/>
      <x:c r="L28" s="2"/>
      <x:c r="M28" s="2"/>
      <x:c r="N28" s="2"/>
    </x:row>
    <x:row r="29" ht="21" customHeight="1">
      <x:c r="A29" s="2"/>
      <x:c r="B29" s="21" t="d">
        <x:v>2025-09-01T00:00:00.000Z</x:v>
      </x:c>
      <x:c r="C29" s="9" t="n">
        <x:f>SUMIFS('Sales'!$N$6:$N$1505,'Sales'!$D$6:$D$1505,IF($C$5="All","*",$C$5),'Sales'!$E$6:$E$1505,IF($G$5="All","*",$G$5),'Sales'!$C$6:$C$1505,"&gt;="&amp;$B29,'Sales'!$C$6:$C$1505,"&lt;"&amp;EDATE($B29,1))</x:f>
        <x:v>3442025</x:v>
      </x:c>
      <x:c r="D29" s="9" t="n">
        <x:f>SUMIFS('Sales'!$P$6:$P$1505,'Sales'!$D$6:$D$1505,IF($C$5="All","*",$C$5),'Sales'!$E$6:$E$1505,IF($G$5="All","*",$G$5),'Sales'!$C$6:$C$1505,"&gt;="&amp;$B29,'Sales'!$C$6:$C$1505,"&lt;"&amp;EDATE($B29,1))</x:f>
        <x:v>1245425</x:v>
      </x:c>
      <x:c r="E29" s="17" t="n">
        <x:f>COUNTIFS('Sales'!$D$6:$D$1505,IF($C$5="All","*",$C$5),'Sales'!$E$6:$E$1505,IF($G$5="All","*",$G$5),'Sales'!$C$6:$C$1505,"&gt;="&amp;$B29,'Sales'!$C$6:$C$1505,"&lt;"&amp;EDATE($B29,1))</x:f>
        <x:v>132</x:v>
      </x:c>
      <x:c r="F29" s="17" t="n">
        <x:f>COUNTIFS('Sales'!$D$6:$D$1505,IF($C$5="All","*",$C$5),'Sales'!$E$6:$E$1505,IF($G$5="All","*",$G$5),'Sales'!$C$6:$C$1505,"&gt;="&amp;$B29,'Sales'!$C$6:$C$1505,"&lt;"&amp;EDATE($B29,1),'Sales'!$L$6:$L$1505,"Returned")</x:f>
        <x:v>8</x:v>
      </x:c>
      <x:c r="G29" s="16" t="n">
        <x:f>IF(E29=0,"n.a.",F29/E29)</x:f>
        <x:v>0.06060606060606061</x:v>
      </x:c>
      <x:c r="H29" s="2"/>
      <x:c r="I29" s="2" t="str">
        <x:v>Duplicate business records</x:v>
      </x:c>
      <x:c r="J29" s="17" t="n">
        <x:v>24</x:v>
      </x:c>
      <x:c r="K29" s="2"/>
      <x:c r="L29" s="2"/>
      <x:c r="M29" s="2"/>
      <x:c r="N29" s="2"/>
    </x:row>
    <x:row r="30" ht="21" customHeight="1">
      <x:c r="A30" s="2"/>
      <x:c r="B30" s="21" t="d">
        <x:v>2025-10-01T00:00:00.000Z</x:v>
      </x:c>
      <x:c r="C30" s="9" t="n">
        <x:f>SUMIFS('Sales'!$N$6:$N$1505,'Sales'!$D$6:$D$1505,IF($C$5="All","*",$C$5),'Sales'!$E$6:$E$1505,IF($G$5="All","*",$G$5),'Sales'!$C$6:$C$1505,"&gt;="&amp;$B30,'Sales'!$C$6:$C$1505,"&lt;"&amp;EDATE($B30,1))</x:f>
        <x:v>3364150</x:v>
      </x:c>
      <x:c r="D30" s="9" t="n">
        <x:f>SUMIFS('Sales'!$P$6:$P$1505,'Sales'!$D$6:$D$1505,IF($C$5="All","*",$C$5),'Sales'!$E$6:$E$1505,IF($G$5="All","*",$G$5),'Sales'!$C$6:$C$1505,"&gt;="&amp;$B30,'Sales'!$C$6:$C$1505,"&lt;"&amp;EDATE($B30,1))</x:f>
        <x:v>1212750</x:v>
      </x:c>
      <x:c r="E30" s="17" t="n">
        <x:f>COUNTIFS('Sales'!$D$6:$D$1505,IF($C$5="All","*",$C$5),'Sales'!$E$6:$E$1505,IF($G$5="All","*",$G$5),'Sales'!$C$6:$C$1505,"&gt;="&amp;$B30,'Sales'!$C$6:$C$1505,"&lt;"&amp;EDATE($B30,1))</x:f>
        <x:v>139</x:v>
      </x:c>
      <x:c r="F30" s="17" t="n">
        <x:f>COUNTIFS('Sales'!$D$6:$D$1505,IF($C$5="All","*",$C$5),'Sales'!$E$6:$E$1505,IF($G$5="All","*",$G$5),'Sales'!$C$6:$C$1505,"&gt;="&amp;$B30,'Sales'!$C$6:$C$1505,"&lt;"&amp;EDATE($B30,1),'Sales'!$L$6:$L$1505,"Returned")</x:f>
        <x:v>15</x:v>
      </x:c>
      <x:c r="G30" s="16" t="n">
        <x:f>IF(E30=0,"n.a.",F30/E30)</x:f>
        <x:v>0.1079136690647482</x:v>
      </x:c>
      <x:c r="H30" s="2"/>
      <x:c r="I30" s="2" t="str">
        <x:v>Rejected unique transactions</x:v>
      </x:c>
      <x:c r="J30" s="17" t="n">
        <x:v>20</x:v>
      </x:c>
      <x:c r="K30" s="2"/>
      <x:c r="L30" s="2"/>
      <x:c r="M30" s="2"/>
      <x:c r="N30" s="2"/>
    </x:row>
    <x:row r="31" ht="21" customHeight="1">
      <x:c r="A31" s="2"/>
      <x:c r="B31" s="21" t="d">
        <x:v>2025-11-01T00:00:00.000Z</x:v>
      </x:c>
      <x:c r="C31" s="9" t="n">
        <x:f>SUMIFS('Sales'!$N$6:$N$1505,'Sales'!$D$6:$D$1505,IF($C$5="All","*",$C$5),'Sales'!$E$6:$E$1505,IF($G$5="All","*",$G$5),'Sales'!$C$6:$C$1505,"&gt;="&amp;$B31,'Sales'!$C$6:$C$1505,"&lt;"&amp;EDATE($B31,1))</x:f>
        <x:v>3815300</x:v>
      </x:c>
      <x:c r="D31" s="9" t="n">
        <x:f>SUMIFS('Sales'!$P$6:$P$1505,'Sales'!$D$6:$D$1505,IF($C$5="All","*",$C$5),'Sales'!$E$6:$E$1505,IF($G$5="All","*",$G$5),'Sales'!$C$6:$C$1505,"&gt;="&amp;$B31,'Sales'!$C$6:$C$1505,"&lt;"&amp;EDATE($B31,1))</x:f>
        <x:v>1444700</x:v>
      </x:c>
      <x:c r="E31" s="17" t="n">
        <x:f>COUNTIFS('Sales'!$D$6:$D$1505,IF($C$5="All","*",$C$5),'Sales'!$E$6:$E$1505,IF($G$5="All","*",$G$5),'Sales'!$C$6:$C$1505,"&gt;="&amp;$B31,'Sales'!$C$6:$C$1505,"&lt;"&amp;EDATE($B31,1))</x:f>
        <x:v>148</x:v>
      </x:c>
      <x:c r="F31" s="17" t="n">
        <x:f>COUNTIFS('Sales'!$D$6:$D$1505,IF($C$5="All","*",$C$5),'Sales'!$E$6:$E$1505,IF($G$5="All","*",$G$5),'Sales'!$C$6:$C$1505,"&gt;="&amp;$B31,'Sales'!$C$6:$C$1505,"&lt;"&amp;EDATE($B31,1),'Sales'!$L$6:$L$1505,"Returned")</x:f>
        <x:v>14</x:v>
      </x:c>
      <x:c r="G31" s="16" t="n">
        <x:f>IF(E31=0,"n.a.",F31/E31)</x:f>
        <x:v>0.0945945945945946</x:v>
      </x:c>
      <x:c r="H31" s="2"/>
      <x:c r="I31" s="2" t="str">
        <x:v>Clean transactions</x:v>
      </x:c>
      <x:c r="J31" s="17" t="n">
        <x:v>1500</x:v>
      </x:c>
      <x:c r="K31" s="2"/>
      <x:c r="L31" s="2"/>
      <x:c r="M31" s="2"/>
      <x:c r="N31" s="2"/>
    </x:row>
    <x:row r="32" ht="21" customHeight="1">
      <x:c r="A32" s="2"/>
      <x:c r="B32" s="21" t="d">
        <x:v>2025-12-01T00:00:00.000Z</x:v>
      </x:c>
      <x:c r="C32" s="9" t="n">
        <x:f>SUMIFS('Sales'!$N$6:$N$1505,'Sales'!$D$6:$D$1505,IF($C$5="All","*",$C$5),'Sales'!$E$6:$E$1505,IF($G$5="All","*",$G$5),'Sales'!$C$6:$C$1505,"&gt;="&amp;$B32,'Sales'!$C$6:$C$1505,"&lt;"&amp;EDATE($B32,1))</x:f>
        <x:v>4048850</x:v>
      </x:c>
      <x:c r="D32" s="9" t="n">
        <x:f>SUMIFS('Sales'!$P$6:$P$1505,'Sales'!$D$6:$D$1505,IF($C$5="All","*",$C$5),'Sales'!$E$6:$E$1505,IF($G$5="All","*",$G$5),'Sales'!$C$6:$C$1505,"&gt;="&amp;$B32,'Sales'!$C$6:$C$1505,"&lt;"&amp;EDATE($B32,1))</x:f>
        <x:v>1505850</x:v>
      </x:c>
      <x:c r="E32" s="17" t="n">
        <x:f>COUNTIFS('Sales'!$D$6:$D$1505,IF($C$5="All","*",$C$5),'Sales'!$E$6:$E$1505,IF($G$5="All","*",$G$5),'Sales'!$C$6:$C$1505,"&gt;="&amp;$B32,'Sales'!$C$6:$C$1505,"&lt;"&amp;EDATE($B32,1))</x:f>
        <x:v>172</x:v>
      </x:c>
      <x:c r="F32" s="17" t="n">
        <x:f>COUNTIFS('Sales'!$D$6:$D$1505,IF($C$5="All","*",$C$5),'Sales'!$E$6:$E$1505,IF($G$5="All","*",$G$5),'Sales'!$C$6:$C$1505,"&gt;="&amp;$B32,'Sales'!$C$6:$C$1505,"&lt;"&amp;EDATE($B32,1),'Sales'!$L$6:$L$1505,"Returned")</x:f>
        <x:v>15</x:v>
      </x:c>
      <x:c r="G32" s="16" t="n">
        <x:f>IF(E32=0,"n.a.",F32/E32)</x:f>
        <x:v>0.0872093023255814</x:v>
      </x:c>
      <x:c r="H32" s="2"/>
      <x:c r="I32" s="2" t="str">
        <x:v>Blank discounts filled on valid rows</x:v>
      </x:c>
      <x:c r="J32" s="17" t="n">
        <x:v>36</x:v>
      </x:c>
      <x:c r="K32" s="2"/>
      <x:c r="L32" s="2"/>
      <x:c r="M32" s="2"/>
      <x:c r="N32" s="2"/>
    </x:row>
    <x:row r="33" ht="21" customHeight="1">
      <x:c r="A33" s="2"/>
      <x:c r="B33" s="26" t="str">
        <x:v>Total</x:v>
      </x:c>
      <x:c r="C33" s="27" t="n">
        <x:f>SUM(C21:C32)</x:f>
        <x:v>37176500</x:v>
      </x:c>
      <x:c r="D33" s="27" t="n">
        <x:f>SUM(D21:D32)</x:f>
        <x:v>13729300</x:v>
      </x:c>
      <x:c r="E33" s="28" t="n">
        <x:f>SUM(E21:E32)</x:f>
        <x:v>1500</x:v>
      </x:c>
      <x:c r="F33" s="28" t="n">
        <x:f>SUM(F21:F32)</x:f>
        <x:v>123</x:v>
      </x:c>
      <x:c r="G33" s="29" t="n">
        <x:f>IF(E33=0,"n.a.",F33/E33)</x:f>
        <x:v>0.082</x:v>
      </x:c>
      <x:c r="H33" s="2"/>
      <x:c r="I33" s="2" t="str">
        <x:v>Unknown cities retained</x:v>
      </x:c>
      <x:c r="J33" s="17" t="n">
        <x:v>18</x:v>
      </x:c>
      <x:c r="K33" s="2"/>
      <x:c r="L33" s="2"/>
      <x:c r="M33" s="2"/>
      <x:c r="N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1" customHeight="1">
      <x:c r="A35" s="2"/>
      <x:c r="B35" s="2"/>
      <x:c r="C35" s="2"/>
      <x:c r="D35" s="2"/>
      <x:c r="E35" s="2"/>
      <x:c r="F35" s="2"/>
      <x:c r="G35" s="2"/>
      <x:c r="H35" s="2"/>
      <x:c r="I35" s="4" t="str">
        <x:v>Rates use matching totals, not averages of monthly rates.</x:v>
      </x:c>
      <x:c r="J35" s="2"/>
      <x:c r="K35" s="2"/>
      <x:c r="L35" s="2"/>
      <x:c r="M35" s="2"/>
      <x:c r="N35" s="2"/>
    </x:row>
    <x:row r="36" ht="26" customHeight="1">
      <x:c r="A36" s="2"/>
      <x:c r="B36" s="15" t="str">
        <x:v>Category</x:v>
      </x:c>
      <x:c r="C36" s="15" t="str">
        <x:v>Net revenue (NGN)</x:v>
      </x:c>
      <x:c r="D36" s="15" t="str">
        <x:v>Gross profit (NGN)</x:v>
      </x:c>
      <x:c r="E36" s="15" t="str">
        <x:v>Transactions</x:v>
      </x:c>
      <x:c r="F36" s="15" t="str">
        <x:v>Gross margin</x:v>
      </x:c>
      <x:c r="G36" s="15" t="str">
        <x:v>Return rate</x:v>
      </x:c>
      <x:c r="H36" s="2"/>
      <x:c r="I36" s="4" t="str">
        <x:v>Gross profit excludes tax, delivery and overhead costs.</x:v>
      </x:c>
      <x:c r="J36" s="2"/>
      <x:c r="K36" s="2"/>
      <x:c r="L36" s="2"/>
      <x:c r="M36" s="2"/>
      <x:c r="N36" s="2"/>
    </x:row>
    <x:row r="37" ht="21" customHeight="1">
      <x:c r="A37" s="2"/>
      <x:c r="B37" s="2" t="str">
        <x:v>Electronics</x:v>
      </x:c>
      <x:c r="C37" s="9" t="n">
        <x:f>SUMIFS('Sales'!$N$6:$N$1505,'Sales'!$D$6:$D$1505,IF($C$5="All","*",$C$5),'Sales'!$E$6:$E$1505,IF($G$5="All","*",$G$5),'Sales'!$E$6:$E$1505,$B37)</x:f>
        <x:v>13014050</x:v>
      </x:c>
      <x:c r="D37" s="9" t="n">
        <x:f>SUMIFS('Sales'!$P$6:$P$1505,'Sales'!$D$6:$D$1505,IF($C$5="All","*",$C$5),'Sales'!$E$6:$E$1505,IF($G$5="All","*",$G$5),'Sales'!$E$6:$E$1505,$B37)</x:f>
        <x:v>4534550</x:v>
      </x:c>
      <x:c r="E37" s="17" t="n">
        <x:f>COUNTIFS('Sales'!$D$6:$D$1505,IF($C$5="All","*",$C$5),'Sales'!$E$6:$E$1505,IF($G$5="All","*",$G$5),'Sales'!$E$6:$E$1505,$B37)</x:f>
        <x:v>446</x:v>
      </x:c>
      <x:c r="F37" s="16" t="n">
        <x:f>IF(C37=0,"n.a.",D37/C37)</x:f>
        <x:v>0.3484349606771143</x:v>
      </x:c>
      <x:c r="G37" s="16" t="n">
        <x:f>IF(E37=0,"n.a.",COUNTIFS('Sales'!$D$6:$D$1505,IF($C$5="All","*",$C$5),'Sales'!$E$6:$E$1505,IF($G$5="All","*",$G$5),'Sales'!$E$6:$E$1505,$B37,'Sales'!$L$6:$L$1505,"Returned")/E37)</x:f>
        <x:v>0.06726457399103139</x:v>
      </x:c>
      <x:c r="H37" s="2"/>
      <x:c r="I37" s="2"/>
      <x:c r="J37" s="2"/>
      <x:c r="K37" s="2"/>
      <x:c r="L37" s="2"/>
      <x:c r="M37" s="2"/>
      <x:c r="N37" s="2"/>
    </x:row>
    <x:row r="38" ht="21" customHeight="1">
      <x:c r="A38" s="2"/>
      <x:c r="B38" s="2" t="str">
        <x:v>Fashion</x:v>
      </x:c>
      <x:c r="C38" s="9" t="n">
        <x:f>SUMIFS('Sales'!$N$6:$N$1505,'Sales'!$D$6:$D$1505,IF($C$5="All","*",$C$5),'Sales'!$E$6:$E$1505,IF($G$5="All","*",$G$5),'Sales'!$E$6:$E$1505,$B38)</x:f>
        <x:v>11259550</x:v>
      </x:c>
      <x:c r="D38" s="9" t="n">
        <x:f>SUMIFS('Sales'!$P$6:$P$1505,'Sales'!$D$6:$D$1505,IF($C$5="All","*",$C$5),'Sales'!$E$6:$E$1505,IF($G$5="All","*",$G$5),'Sales'!$E$6:$E$1505,$B38)</x:f>
        <x:v>4145550</x:v>
      </x:c>
      <x:c r="E38" s="17" t="n">
        <x:f>COUNTIFS('Sales'!$D$6:$D$1505,IF($C$5="All","*",$C$5),'Sales'!$E$6:$E$1505,IF($G$5="All","*",$G$5),'Sales'!$E$6:$E$1505,$B38)</x:f>
        <x:v>418</x:v>
      </x:c>
      <x:c r="F38" s="16" t="n">
        <x:f>IF(C38=0,"n.a.",D38/C38)</x:f>
        <x:v>0.36818078875265886</x:v>
      </x:c>
      <x:c r="G38" s="16" t="n">
        <x:f>IF(E38=0,"n.a.",COUNTIFS('Sales'!$D$6:$D$1505,IF($C$5="All","*",$C$5),'Sales'!$E$6:$E$1505,IF($G$5="All","*",$G$5),'Sales'!$E$6:$E$1505,$B38,'Sales'!$L$6:$L$1505,"Returned")/E38)</x:f>
        <x:v>0.14832535885167464</x:v>
      </x:c>
      <x:c r="H38" s="2"/>
      <x:c r="I38" s="2"/>
      <x:c r="J38" s="2"/>
      <x:c r="K38" s="2"/>
      <x:c r="L38" s="2"/>
      <x:c r="M38" s="2"/>
      <x:c r="N38" s="2"/>
    </x:row>
    <x:row r="39" ht="21" customHeight="1">
      <x:c r="A39" s="2"/>
      <x:c r="B39" s="2" t="str">
        <x:v>Home</x:v>
      </x:c>
      <x:c r="C39" s="9" t="n">
        <x:f>SUMIFS('Sales'!$N$6:$N$1505,'Sales'!$D$6:$D$1505,IF($C$5="All","*",$C$5),'Sales'!$E$6:$E$1505,IF($G$5="All","*",$G$5),'Sales'!$E$6:$E$1505,$B39)</x:f>
        <x:v>7715350</x:v>
      </x:c>
      <x:c r="D39" s="9" t="n">
        <x:f>SUMIFS('Sales'!$P$6:$P$1505,'Sales'!$D$6:$D$1505,IF($C$5="All","*",$C$5),'Sales'!$E$6:$E$1505,IF($G$5="All","*",$G$5),'Sales'!$E$6:$E$1505,$B39)</x:f>
        <x:v>2711350</x:v>
      </x:c>
      <x:c r="E39" s="17" t="n">
        <x:f>COUNTIFS('Sales'!$D$6:$D$1505,IF($C$5="All","*",$C$5),'Sales'!$E$6:$E$1505,IF($G$5="All","*",$G$5),'Sales'!$E$6:$E$1505,$B39)</x:f>
        <x:v>263</x:v>
      </x:c>
      <x:c r="F39" s="16" t="n">
        <x:f>IF(C39=0,"n.a.",D39/C39)</x:f>
        <x:v>0.35142281296376704</x:v>
      </x:c>
      <x:c r="G39" s="16" t="n">
        <x:f>IF(E39=0,"n.a.",COUNTIFS('Sales'!$D$6:$D$1505,IF($C$5="All","*",$C$5),'Sales'!$E$6:$E$1505,IF($G$5="All","*",$G$5),'Sales'!$E$6:$E$1505,$B39,'Sales'!$L$6:$L$1505,"Returned")/E39)</x:f>
        <x:v>0.060836501901140684</x:v>
      </x:c>
      <x:c r="H39" s="2"/>
      <x:c r="I39" s="2" t="str">
        <x:v>Month</x:v>
      </x:c>
      <x:c r="J39" s="2" t="str">
        <x:v>Net revenue (NGN)</x:v>
      </x:c>
      <x:c r="K39" s="2"/>
      <x:c r="L39" s="2"/>
      <x:c r="M39" s="2"/>
      <x:c r="N39" s="2"/>
    </x:row>
    <x:row r="40" ht="21" customHeight="1">
      <x:c r="A40" s="2"/>
      <x:c r="B40" s="2" t="str">
        <x:v>Beauty</x:v>
      </x:c>
      <x:c r="C40" s="9" t="n">
        <x:f>SUMIFS('Sales'!$N$6:$N$1505,'Sales'!$D$6:$D$1505,IF($C$5="All","*",$C$5),'Sales'!$E$6:$E$1505,IF($G$5="All","*",$G$5),'Sales'!$E$6:$E$1505,$B40)</x:f>
        <x:v>5187550</x:v>
      </x:c>
      <x:c r="D40" s="9" t="n">
        <x:f>SUMIFS('Sales'!$P$6:$P$1505,'Sales'!$D$6:$D$1505,IF($C$5="All","*",$C$5),'Sales'!$E$6:$E$1505,IF($G$5="All","*",$G$5),'Sales'!$E$6:$E$1505,$B40)</x:f>
        <x:v>2337850</x:v>
      </x:c>
      <x:c r="E40" s="17" t="n">
        <x:f>COUNTIFS('Sales'!$D$6:$D$1505,IF($C$5="All","*",$C$5),'Sales'!$E$6:$E$1505,IF($G$5="All","*",$G$5),'Sales'!$E$6:$E$1505,$B40)</x:f>
        <x:v>373</x:v>
      </x:c>
      <x:c r="F40" s="16" t="n">
        <x:f>IF(C40=0,"n.a.",D40/C40)</x:f>
        <x:v>0.45066553575387225</x:v>
      </x:c>
      <x:c r="G40" s="16" t="n">
        <x:f>IF(E40=0,"n.a.",COUNTIFS('Sales'!$D$6:$D$1505,IF($C$5="All","*",$C$5),'Sales'!$E$6:$E$1505,IF($G$5="All","*",$G$5),'Sales'!$E$6:$E$1505,$B40,'Sales'!$L$6:$L$1505,"Returned")/E40)</x:f>
        <x:v>0.040214477211796246</x:v>
      </x:c>
      <x:c r="H40" s="2"/>
      <x:c r="I40" s="2" t="str">
        <x:f>TEXT(B21,"mmm")</x:f>
        <x:v>Jan</x:v>
      </x:c>
      <x:c r="J40" s="9" t="n">
        <x:f>C21</x:f>
        <x:v>2276075</x:v>
      </x:c>
      <x:c r="K40" s="2"/>
      <x:c r="L40" s="2"/>
      <x:c r="M40" s="2"/>
      <x:c r="N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  <x:c r="I41" s="2" t="str">
        <x:f>TEXT(B22,"mmm")</x:f>
        <x:v>Feb</x:v>
      </x:c>
      <x:c r="J41" s="9" t="n">
        <x:f>C22</x:f>
        <x:v>2522975</x:v>
      </x:c>
      <x:c r="K41" s="2"/>
      <x:c r="L41" s="2"/>
      <x:c r="M41" s="2"/>
      <x:c r="N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  <x:c r="I42" s="2" t="str">
        <x:f>TEXT(B23,"mmm")</x:f>
        <x:v>Mar</x:v>
      </x:c>
      <x:c r="J42" s="9" t="n">
        <x:f>C23</x:f>
        <x:v>2905775</x:v>
      </x:c>
      <x:c r="K42" s="2"/>
      <x:c r="L42" s="2"/>
      <x:c r="M42" s="2"/>
      <x:c r="N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  <x:c r="I43" s="2" t="str">
        <x:f>TEXT(B24,"mmm")</x:f>
        <x:v>Apr</x:v>
      </x:c>
      <x:c r="J43" s="9" t="n">
        <x:f>C24</x:f>
        <x:v>3017325</x:v>
      </x:c>
      <x:c r="K43" s="2"/>
      <x:c r="L43" s="2"/>
      <x:c r="M43" s="2"/>
      <x:c r="N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  <x:c r="I44" s="2" t="str">
        <x:f>TEXT(B25,"mmm")</x:f>
        <x:v>May</x:v>
      </x:c>
      <x:c r="J44" s="9" t="n">
        <x:f>C25</x:f>
        <x:v>3073900</x:v>
      </x:c>
      <x:c r="K44" s="2"/>
      <x:c r="L44" s="2"/>
      <x:c r="M44" s="2"/>
      <x:c r="N44" s="2"/>
    </x:row>
    <x:row r="45">
      <x:c r="I45" s="2" t="str">
        <x:f>TEXT(B26,"mmm")</x:f>
        <x:v>Jun</x:v>
      </x:c>
      <x:c r="J45" s="9" t="n">
        <x:f>C26</x:f>
        <x:v>3051975</x:v>
      </x:c>
    </x:row>
    <x:row r="46">
      <x:c r="I46" s="2" t="str">
        <x:f>TEXT(B27,"mmm")</x:f>
        <x:v>Jul</x:v>
      </x:c>
      <x:c r="J46" s="9" t="n">
        <x:f>C27</x:f>
        <x:v>2916600</x:v>
      </x:c>
    </x:row>
    <x:row r="47">
      <x:c r="I47" s="2" t="str">
        <x:f>TEXT(B28,"mmm")</x:f>
        <x:v>Aug</x:v>
      </x:c>
      <x:c r="J47" s="9" t="n">
        <x:f>C28</x:f>
        <x:v>2741550</x:v>
      </x:c>
    </x:row>
    <x:row r="48">
      <x:c r="I48" s="2" t="str">
        <x:f>TEXT(B29,"mmm")</x:f>
        <x:v>Sep</x:v>
      </x:c>
      <x:c r="J48" s="9" t="n">
        <x:f>C29</x:f>
        <x:v>3442025</x:v>
      </x:c>
    </x:row>
    <x:row r="49">
      <x:c r="I49" s="2" t="str">
        <x:f>TEXT(B30,"mmm")</x:f>
        <x:v>Oct</x:v>
      </x:c>
      <x:c r="J49" s="9" t="n">
        <x:f>C30</x:f>
        <x:v>3364150</x:v>
      </x:c>
    </x:row>
    <x:row r="50">
      <x:c r="I50" s="2" t="str">
        <x:f>TEXT(B31,"mmm")</x:f>
        <x:v>Nov</x:v>
      </x:c>
      <x:c r="J50" s="9" t="n">
        <x:f>C31</x:f>
        <x:v>3815300</x:v>
      </x:c>
    </x:row>
    <x:row r="51">
      <x:c r="I51" s="2" t="str">
        <x:f>TEXT(B32,"mmm")</x:f>
        <x:v>Dec</x:v>
      </x:c>
      <x:c r="J51" s="9" t="n">
        <x:f>C32</x:f>
        <x:v>4048850</x:v>
      </x:c>
    </x:row>
  </x:sheetData>
  <x:dataValidations count="2">
    <x:dataValidation type="list" sqref="C5">
      <x:formula1>"All,Lagos,Abuja,Port Harcourt,Kano,Unknown"</x:formula1>
    </x:dataValidation>
    <x:dataValidation type="list" sqref="G5">
      <x:formula1>"All,Electronics,Fashion,Beauty,Home"</x:formula1>
    </x:dataValidation>
  </x:dataValidations>
  <x:pageMargins left="0.7" right="0.7" top="0.75" bottom="0.75" header="0.3" footer="0.3"/>
  <x:drawing xmlns:r="http://schemas.openxmlformats.org/officeDocument/2006/relationships" r:id="R91a6935266df41a7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9" hidden="0" customWidth="1"/>
    <x:col min="4" max="4" width="20" hidden="0" customWidth="1"/>
    <x:col min="5" max="5" width="19" hidden="0" customWidth="1"/>
    <x:col min="6" max="6" width="24" hidden="0" customWidth="1"/>
    <x:col min="7" max="7" width="19" hidden="0" customWidth="1"/>
    <x:col min="8" max="8" width="11" hidden="0" customWidth="1"/>
    <x:col min="9" max="9" width="19" hidden="0" customWidth="1"/>
    <x:col min="10" max="10" width="19" hidden="0" customWidth="1"/>
    <x:col min="11" max="11" width="12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1" customHeight="1">
      <x:c r="A2" s="3" t="str">
        <x:v>Clean transactions and calculations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1" customHeight="1">
      <x:c r="A3" s="4" t="str">
        <x:v>One row per transaction. M:P are calculated from the normalized inputs in A:L.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21" customHeight="1">
      <x:c r="A4" s="4" t="str">
        <x:v>Source: simulated retail dataset, seed 4517. Missing discount = 0. Missing city = Unknown.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26" customHeight="1">
      <x:c r="A5" s="15" t="str">
        <x:v>Source row</x:v>
      </x:c>
      <x:c r="B5" s="15" t="str">
        <x:v>Transaction ID</x:v>
      </x:c>
      <x:c r="C5" s="15" t="str">
        <x:v>Order date</x:v>
      </x:c>
      <x:c r="D5" s="15" t="str">
        <x:v>City</x:v>
      </x:c>
      <x:c r="E5" s="15" t="str">
        <x:v>Category</x:v>
      </x:c>
      <x:c r="F5" s="15" t="str">
        <x:v>Product</x:v>
      </x:c>
      <x:c r="G5" s="15" t="str">
        <x:v>Channel</x:v>
      </x:c>
      <x:c r="H5" s="15" t="str">
        <x:v>Quantity</x:v>
      </x:c>
      <x:c r="I5" s="15" t="str">
        <x:v>Unit price (NGN)</x:v>
      </x:c>
      <x:c r="J5" s="15" t="str">
        <x:v>Unit cost (NGN)</x:v>
      </x:c>
      <x:c r="K5" s="15" t="str">
        <x:v>Discount</x:v>
      </x:c>
      <x:c r="L5" s="15" t="str">
        <x:v>Status</x:v>
      </x:c>
      <x:c r="M5" s="15" t="str">
        <x:v>Gross sales (NGN)</x:v>
      </x:c>
      <x:c r="N5" s="15" t="str">
        <x:v>Net revenue (NGN)</x:v>
      </x:c>
      <x:c r="O5" s="15" t="str">
        <x:v>COGS (NGN)</x:v>
      </x:c>
      <x:c r="P5" s="15" t="str">
        <x:v>Gross profit (NGN)</x:v>
      </x:c>
    </x:row>
    <x:row r="6" ht="21" customHeight="1">
      <x:c r="A6" s="7" t="n">
        <x:v>1</x:v>
      </x:c>
      <x:c r="B6" s="2" t="str">
        <x:v>TXN-00001</x:v>
      </x:c>
      <x:c r="C6" s="8" t="d">
        <x:v>2025-01-03T00:00:00.000Z</x:v>
      </x:c>
      <x:c r="D6" s="2" t="str">
        <x:v>Abuja</x:v>
      </x:c>
      <x:c r="E6" s="2" t="str">
        <x:v>Fashion</x:v>
      </x:c>
      <x:c r="F6" s="2" t="str">
        <x:v>Handbag</x:v>
      </x:c>
      <x:c r="G6" s="2" t="str">
        <x:v>Online</x:v>
      </x:c>
      <x:c r="H6" s="7" t="n">
        <x:v>1</x:v>
      </x:c>
      <x:c r="I6" s="9" t="n">
        <x:v>22000</x:v>
      </x:c>
      <x:c r="J6" s="9" t="n">
        <x:v>13500</x:v>
      </x:c>
      <x:c r="K6" s="10" t="n">
        <x:v>0</x:v>
      </x:c>
      <x:c r="L6" s="2" t="str">
        <x:v>Completed</x:v>
      </x:c>
      <x:c r="M6" s="12" t="n">
        <x:f>H6*I6</x:f>
        <x:v>22000</x:v>
      </x:c>
      <x:c r="N6" s="12" t="n">
        <x:f>IF(L6="Completed",ROUND(M6*(1-K6),2),0)</x:f>
        <x:v>22000</x:v>
      </x:c>
      <x:c r="O6" s="12" t="n">
        <x:f>IF(L6="Completed",H6*J6,0)</x:f>
        <x:v>13500</x:v>
      </x:c>
      <x:c r="P6" s="12" t="n">
        <x:f>N6-O6</x:f>
        <x:v>8500</x:v>
      </x:c>
    </x:row>
    <x:row r="7" ht="21" customHeight="1">
      <x:c r="A7" s="7" t="n">
        <x:v>2</x:v>
      </x:c>
      <x:c r="B7" s="2" t="str">
        <x:v>TXN-00002</x:v>
      </x:c>
      <x:c r="C7" s="8" t="d">
        <x:v>2025-01-04T00:00:00.000Z</x:v>
      </x:c>
      <x:c r="D7" s="2" t="str">
        <x:v>Abuja</x:v>
      </x:c>
      <x:c r="E7" s="2" t="str">
        <x:v>Fashion</x:v>
      </x:c>
      <x:c r="F7" s="2" t="str">
        <x:v>T-shirt</x:v>
      </x:c>
      <x:c r="G7" s="2" t="str">
        <x:v>Online</x:v>
      </x:c>
      <x:c r="H7" s="7" t="n">
        <x:v>2</x:v>
      </x:c>
      <x:c r="I7" s="9" t="n">
        <x:v>9000</x:v>
      </x:c>
      <x:c r="J7" s="9" t="n">
        <x:v>5000</x:v>
      </x:c>
      <x:c r="K7" s="10" t="n">
        <x:v>0.05</x:v>
      </x:c>
      <x:c r="L7" s="2" t="str">
        <x:v>Completed</x:v>
      </x:c>
      <x:c r="M7" s="12" t="n">
        <x:f>H7*I7</x:f>
        <x:v>18000</x:v>
      </x:c>
      <x:c r="N7" s="12" t="n">
        <x:f>IF(L7="Completed",ROUND(M7*(1-K7),2),0)</x:f>
        <x:v>17100</x:v>
      </x:c>
      <x:c r="O7" s="12" t="n">
        <x:f>IF(L7="Completed",H7*J7,0)</x:f>
        <x:v>10000</x:v>
      </x:c>
      <x:c r="P7" s="12" t="n">
        <x:f>N7-O7</x:f>
        <x:v>7100</x:v>
      </x:c>
    </x:row>
    <x:row r="8" ht="21" customHeight="1">
      <x:c r="A8" s="7" t="n">
        <x:v>3</x:v>
      </x:c>
      <x:c r="B8" s="2" t="str">
        <x:v>TXN-00003</x:v>
      </x:c>
      <x:c r="C8" s="8" t="d">
        <x:v>2025-01-29T00:00:00.000Z</x:v>
      </x:c>
      <x:c r="D8" s="2" t="str">
        <x:v>Lagos</x:v>
      </x:c>
      <x:c r="E8" s="2" t="str">
        <x:v>Home</x:v>
      </x:c>
      <x:c r="F8" s="2" t="str">
        <x:v>Cookware set</x:v>
      </x:c>
      <x:c r="G8" s="2" t="str">
        <x:v>In-store</x:v>
      </x:c>
      <x:c r="H8" s="7" t="n">
        <x:v>2</x:v>
      </x:c>
      <x:c r="I8" s="9" t="n">
        <x:v>35000</x:v>
      </x:c>
      <x:c r="J8" s="9" t="n">
        <x:v>22500</x:v>
      </x:c>
      <x:c r="K8" s="10" t="n">
        <x:v>0.1</x:v>
      </x:c>
      <x:c r="L8" s="2" t="str">
        <x:v>Completed</x:v>
      </x:c>
      <x:c r="M8" s="12" t="n">
        <x:f>H8*I8</x:f>
        <x:v>70000</x:v>
      </x:c>
      <x:c r="N8" s="12" t="n">
        <x:f>IF(L8="Completed",ROUND(M8*(1-K8),2),0)</x:f>
        <x:v>63000</x:v>
      </x:c>
      <x:c r="O8" s="12" t="n">
        <x:f>IF(L8="Completed",H8*J8,0)</x:f>
        <x:v>45000</x:v>
      </x:c>
      <x:c r="P8" s="12" t="n">
        <x:f>N8-O8</x:f>
        <x:v>18000</x:v>
      </x:c>
    </x:row>
    <x:row r="9" ht="21" customHeight="1">
      <x:c r="A9" s="7" t="n">
        <x:v>4</x:v>
      </x:c>
      <x:c r="B9" s="2" t="str">
        <x:v>TXN-00004</x:v>
      </x:c>
      <x:c r="C9" s="8" t="d">
        <x:v>2025-01-09T00:00:00.000Z</x:v>
      </x:c>
      <x:c r="D9" s="2" t="str">
        <x:v>Abuja</x:v>
      </x:c>
      <x:c r="E9" s="2" t="str">
        <x:v>Electronics</x:v>
      </x:c>
      <x:c r="F9" s="2" t="str">
        <x:v>Power bank</x:v>
      </x:c>
      <x:c r="G9" s="2" t="str">
        <x:v>Online</x:v>
      </x:c>
      <x:c r="H9" s="7" t="n">
        <x:v>3</x:v>
      </x:c>
      <x:c r="I9" s="9" t="n">
        <x:v>15000</x:v>
      </x:c>
      <x:c r="J9" s="9" t="n">
        <x:v>9500</x:v>
      </x:c>
      <x:c r="K9" s="10" t="n">
        <x:v>0</x:v>
      </x:c>
      <x:c r="L9" s="2" t="str">
        <x:v>Completed</x:v>
      </x:c>
      <x:c r="M9" s="12" t="n">
        <x:f>H9*I9</x:f>
        <x:v>45000</x:v>
      </x:c>
      <x:c r="N9" s="12" t="n">
        <x:f>IF(L9="Completed",ROUND(M9*(1-K9),2),0)</x:f>
        <x:v>45000</x:v>
      </x:c>
      <x:c r="O9" s="12" t="n">
        <x:f>IF(L9="Completed",H9*J9,0)</x:f>
        <x:v>28500</x:v>
      </x:c>
      <x:c r="P9" s="12" t="n">
        <x:f>N9-O9</x:f>
        <x:v>16500</x:v>
      </x:c>
    </x:row>
    <x:row r="10" ht="21" customHeight="1">
      <x:c r="A10" s="7" t="n">
        <x:v>5</x:v>
      </x:c>
      <x:c r="B10" s="2" t="str">
        <x:v>TXN-00005</x:v>
      </x:c>
      <x:c r="C10" s="8" t="d">
        <x:v>2025-01-21T00:00:00.000Z</x:v>
      </x:c>
      <x:c r="D10" s="2" t="str">
        <x:v>Port Harcourt</x:v>
      </x:c>
      <x:c r="E10" s="2" t="str">
        <x:v>Home</x:v>
      </x:c>
      <x:c r="F10" s="2" t="str">
        <x:v>Bedsheet</x:v>
      </x:c>
      <x:c r="G10" s="2" t="str">
        <x:v>Online</x:v>
      </x:c>
      <x:c r="H10" s="7" t="n">
        <x:v>2</x:v>
      </x:c>
      <x:c r="I10" s="9" t="n">
        <x:v>14000</x:v>
      </x:c>
      <x:c r="J10" s="9" t="n">
        <x:v>8500</x:v>
      </x:c>
      <x:c r="K10" s="10" t="n">
        <x:v>0</x:v>
      </x:c>
      <x:c r="L10" s="2" t="str">
        <x:v>Completed</x:v>
      </x:c>
      <x:c r="M10" s="12" t="n">
        <x:f>H10*I10</x:f>
        <x:v>28000</x:v>
      </x:c>
      <x:c r="N10" s="12" t="n">
        <x:f>IF(L10="Completed",ROUND(M10*(1-K10),2),0)</x:f>
        <x:v>28000</x:v>
      </x:c>
      <x:c r="O10" s="12" t="n">
        <x:f>IF(L10="Completed",H10*J10,0)</x:f>
        <x:v>17000</x:v>
      </x:c>
      <x:c r="P10" s="12" t="n">
        <x:f>N10-O10</x:f>
        <x:v>11000</x:v>
      </x:c>
    </x:row>
    <x:row r="11" ht="21" customHeight="1">
      <x:c r="A11" s="7" t="n">
        <x:v>6</x:v>
      </x:c>
      <x:c r="B11" s="2" t="str">
        <x:v>TXN-00006</x:v>
      </x:c>
      <x:c r="C11" s="8" t="d">
        <x:v>2025-01-16T00:00:00.000Z</x:v>
      </x:c>
      <x:c r="D11" s="2" t="str">
        <x:v>Kano</x:v>
      </x:c>
      <x:c r="E11" s="2" t="str">
        <x:v>Fashion</x:v>
      </x:c>
      <x:c r="F11" s="2" t="str">
        <x:v>Handbag</x:v>
      </x:c>
      <x:c r="G11" s="2" t="str">
        <x:v>Online</x:v>
      </x:c>
      <x:c r="H11" s="7" t="n">
        <x:v>1</x:v>
      </x:c>
      <x:c r="I11" s="9" t="n">
        <x:v>22000</x:v>
      </x:c>
      <x:c r="J11" s="9" t="n">
        <x:v>13500</x:v>
      </x:c>
      <x:c r="K11" s="10" t="n">
        <x:v>0.05</x:v>
      </x:c>
      <x:c r="L11" s="2" t="str">
        <x:v>Completed</x:v>
      </x:c>
      <x:c r="M11" s="12" t="n">
        <x:f>H11*I11</x:f>
        <x:v>22000</x:v>
      </x:c>
      <x:c r="N11" s="12" t="n">
        <x:f>IF(L11="Completed",ROUND(M11*(1-K11),2),0)</x:f>
        <x:v>20900</x:v>
      </x:c>
      <x:c r="O11" s="12" t="n">
        <x:f>IF(L11="Completed",H11*J11,0)</x:f>
        <x:v>13500</x:v>
      </x:c>
      <x:c r="P11" s="12" t="n">
        <x:f>N11-O11</x:f>
        <x:v>7400</x:v>
      </x:c>
    </x:row>
    <x:row r="12" ht="21" customHeight="1">
      <x:c r="A12" s="7" t="n">
        <x:v>7</x:v>
      </x:c>
      <x:c r="B12" s="2" t="str">
        <x:v>TXN-00007</x:v>
      </x:c>
      <x:c r="C12" s="8" t="d">
        <x:v>2025-01-07T00:00:00.000Z</x:v>
      </x:c>
      <x:c r="D12" s="2" t="str">
        <x:v>Lagos</x:v>
      </x:c>
      <x:c r="E12" s="2" t="str">
        <x:v>Fashion</x:v>
      </x:c>
      <x:c r="F12" s="2" t="str">
        <x:v>T-shirt</x:v>
      </x:c>
      <x:c r="G12" s="2" t="str">
        <x:v>In-store</x:v>
      </x:c>
      <x:c r="H12" s="7" t="n">
        <x:v>1</x:v>
      </x:c>
      <x:c r="I12" s="9" t="n">
        <x:v>9000</x:v>
      </x:c>
      <x:c r="J12" s="9" t="n">
        <x:v>5000</x:v>
      </x:c>
      <x:c r="K12" s="10" t="n">
        <x:v>0</x:v>
      </x:c>
      <x:c r="L12" s="2" t="str">
        <x:v>Completed</x:v>
      </x:c>
      <x:c r="M12" s="12" t="n">
        <x:f>H12*I12</x:f>
        <x:v>9000</x:v>
      </x:c>
      <x:c r="N12" s="12" t="n">
        <x:f>IF(L12="Completed",ROUND(M12*(1-K12),2),0)</x:f>
        <x:v>9000</x:v>
      </x:c>
      <x:c r="O12" s="12" t="n">
        <x:f>IF(L12="Completed",H12*J12,0)</x:f>
        <x:v>5000</x:v>
      </x:c>
      <x:c r="P12" s="12" t="n">
        <x:f>N12-O12</x:f>
        <x:v>4000</x:v>
      </x:c>
    </x:row>
    <x:row r="13" ht="21" customHeight="1">
      <x:c r="A13" s="7" t="n">
        <x:v>8</x:v>
      </x:c>
      <x:c r="B13" s="2" t="str">
        <x:v>TXN-00008</x:v>
      </x:c>
      <x:c r="C13" s="8" t="d">
        <x:v>2025-01-20T00:00:00.000Z</x:v>
      </x:c>
      <x:c r="D13" s="2" t="str">
        <x:v>Lagos</x:v>
      </x:c>
      <x:c r="E13" s="2" t="str">
        <x:v>Electronics</x:v>
      </x:c>
      <x:c r="F13" s="2" t="str">
        <x:v>Power bank</x:v>
      </x:c>
      <x:c r="G13" s="2" t="str">
        <x:v>In-store</x:v>
      </x:c>
      <x:c r="H13" s="7" t="n">
        <x:v>1</x:v>
      </x:c>
      <x:c r="I13" s="9" t="n">
        <x:v>15000</x:v>
      </x:c>
      <x:c r="J13" s="9" t="n">
        <x:v>9500</x:v>
      </x:c>
      <x:c r="K13" s="10" t="n">
        <x:v>0.1</x:v>
      </x:c>
      <x:c r="L13" s="2" t="str">
        <x:v>Completed</x:v>
      </x:c>
      <x:c r="M13" s="12" t="n">
        <x:f>H13*I13</x:f>
        <x:v>15000</x:v>
      </x:c>
      <x:c r="N13" s="12" t="n">
        <x:f>IF(L13="Completed",ROUND(M13*(1-K13),2),0)</x:f>
        <x:v>13500</x:v>
      </x:c>
      <x:c r="O13" s="12" t="n">
        <x:f>IF(L13="Completed",H13*J13,0)</x:f>
        <x:v>9500</x:v>
      </x:c>
      <x:c r="P13" s="12" t="n">
        <x:f>N13-O13</x:f>
        <x:v>4000</x:v>
      </x:c>
    </x:row>
    <x:row r="14" ht="21" customHeight="1">
      <x:c r="A14" s="7" t="n">
        <x:v>9</x:v>
      </x:c>
      <x:c r="B14" s="2" t="str">
        <x:v>TXN-00009</x:v>
      </x:c>
      <x:c r="C14" s="8" t="d">
        <x:v>2025-01-12T00:00:00.000Z</x:v>
      </x:c>
      <x:c r="D14" s="2" t="str">
        <x:v>Abuja</x:v>
      </x:c>
      <x:c r="E14" s="2" t="str">
        <x:v>Fashion</x:v>
      </x:c>
      <x:c r="F14" s="2" t="str">
        <x:v>T-shirt</x:v>
      </x:c>
      <x:c r="G14" s="2" t="str">
        <x:v>In-store</x:v>
      </x:c>
      <x:c r="H14" s="7" t="n">
        <x:v>1</x:v>
      </x:c>
      <x:c r="I14" s="9" t="n">
        <x:v>9000</x:v>
      </x:c>
      <x:c r="J14" s="9" t="n">
        <x:v>5000</x:v>
      </x:c>
      <x:c r="K14" s="10" t="n">
        <x:v>0</x:v>
      </x:c>
      <x:c r="L14" s="2" t="str">
        <x:v>Completed</x:v>
      </x:c>
      <x:c r="M14" s="12" t="n">
        <x:f>H14*I14</x:f>
        <x:v>9000</x:v>
      </x:c>
      <x:c r="N14" s="12" t="n">
        <x:f>IF(L14="Completed",ROUND(M14*(1-K14),2),0)</x:f>
        <x:v>9000</x:v>
      </x:c>
      <x:c r="O14" s="12" t="n">
        <x:f>IF(L14="Completed",H14*J14,0)</x:f>
        <x:v>5000</x:v>
      </x:c>
      <x:c r="P14" s="12" t="n">
        <x:f>N14-O14</x:f>
        <x:v>4000</x:v>
      </x:c>
    </x:row>
    <x:row r="15" ht="21" customHeight="1">
      <x:c r="A15" s="7" t="n">
        <x:v>10</x:v>
      </x:c>
      <x:c r="B15" s="2" t="str">
        <x:v>TXN-00010</x:v>
      </x:c>
      <x:c r="C15" s="8" t="d">
        <x:v>2025-01-18T00:00:00.000Z</x:v>
      </x:c>
      <x:c r="D15" s="2" t="str">
        <x:v>Lagos</x:v>
      </x:c>
      <x:c r="E15" s="2" t="str">
        <x:v>Beauty</x:v>
      </x:c>
      <x:c r="F15" s="2" t="str">
        <x:v>Perfume</x:v>
      </x:c>
      <x:c r="G15" s="2" t="str">
        <x:v>Online</x:v>
      </x:c>
      <x:c r="H15" s="7" t="n">
        <x:v>2</x:v>
      </x:c>
      <x:c r="I15" s="9" t="n">
        <x:v>17000</x:v>
      </x:c>
      <x:c r="J15" s="9" t="n">
        <x:v>9000</x:v>
      </x:c>
      <x:c r="K15" s="10" t="n">
        <x:v>0</x:v>
      </x:c>
      <x:c r="L15" s="2" t="str">
        <x:v>Completed</x:v>
      </x:c>
      <x:c r="M15" s="12" t="n">
        <x:f>H15*I15</x:f>
        <x:v>34000</x:v>
      </x:c>
      <x:c r="N15" s="12" t="n">
        <x:f>IF(L15="Completed",ROUND(M15*(1-K15),2),0)</x:f>
        <x:v>34000</x:v>
      </x:c>
      <x:c r="O15" s="12" t="n">
        <x:f>IF(L15="Completed",H15*J15,0)</x:f>
        <x:v>18000</x:v>
      </x:c>
      <x:c r="P15" s="12" t="n">
        <x:f>N15-O15</x:f>
        <x:v>16000</x:v>
      </x:c>
    </x:row>
    <x:row r="16" ht="21" customHeight="1">
      <x:c r="A16" s="7" t="n">
        <x:v>11</x:v>
      </x:c>
      <x:c r="B16" s="2" t="str">
        <x:v>TXN-00011</x:v>
      </x:c>
      <x:c r="C16" s="8" t="d">
        <x:v>2025-01-19T00:00:00.000Z</x:v>
      </x:c>
      <x:c r="D16" s="2" t="str">
        <x:v>Lagos</x:v>
      </x:c>
      <x:c r="E16" s="2" t="str">
        <x:v>Beauty</x:v>
      </x:c>
      <x:c r="F16" s="2" t="str">
        <x:v>Moisturizer</x:v>
      </x:c>
      <x:c r="G16" s="2" t="str">
        <x:v>In-store</x:v>
      </x:c>
      <x:c r="H16" s="7" t="n">
        <x:v>1</x:v>
      </x:c>
      <x:c r="I16" s="9" t="n">
        <x:v>6500</x:v>
      </x:c>
      <x:c r="J16" s="9" t="n">
        <x:v>3500</x:v>
      </x:c>
      <x:c r="K16" s="10" t="n">
        <x:v>0.1</x:v>
      </x:c>
      <x:c r="L16" s="2" t="str">
        <x:v>Completed</x:v>
      </x:c>
      <x:c r="M16" s="12" t="n">
        <x:f>H16*I16</x:f>
        <x:v>6500</x:v>
      </x:c>
      <x:c r="N16" s="12" t="n">
        <x:f>IF(L16="Completed",ROUND(M16*(1-K16),2),0)</x:f>
        <x:v>5850</x:v>
      </x:c>
      <x:c r="O16" s="12" t="n">
        <x:f>IF(L16="Completed",H16*J16,0)</x:f>
        <x:v>3500</x:v>
      </x:c>
      <x:c r="P16" s="12" t="n">
        <x:f>N16-O16</x:f>
        <x:v>2350</x:v>
      </x:c>
    </x:row>
    <x:row r="17" ht="21" customHeight="1">
      <x:c r="A17" s="7" t="n">
        <x:v>12</x:v>
      </x:c>
      <x:c r="B17" s="2" t="str">
        <x:v>TXN-00012</x:v>
      </x:c>
      <x:c r="C17" s="8" t="d">
        <x:v>2025-01-11T00:00:00.000Z</x:v>
      </x:c>
      <x:c r="D17" s="2" t="str">
        <x:v>Port Harcourt</x:v>
      </x:c>
      <x:c r="E17" s="2" t="str">
        <x:v>Beauty</x:v>
      </x:c>
      <x:c r="F17" s="2" t="str">
        <x:v>Moisturizer</x:v>
      </x:c>
      <x:c r="G17" s="2" t="str">
        <x:v>Online</x:v>
      </x:c>
      <x:c r="H17" s="7" t="n">
        <x:v>2</x:v>
      </x:c>
      <x:c r="I17" s="9" t="n">
        <x:v>6500</x:v>
      </x:c>
      <x:c r="J17" s="9" t="n">
        <x:v>3500</x:v>
      </x:c>
      <x:c r="K17" s="10" t="n">
        <x:v>0</x:v>
      </x:c>
      <x:c r="L17" s="2" t="str">
        <x:v>Completed</x:v>
      </x:c>
      <x:c r="M17" s="12" t="n">
        <x:f>H17*I17</x:f>
        <x:v>13000</x:v>
      </x:c>
      <x:c r="N17" s="12" t="n">
        <x:f>IF(L17="Completed",ROUND(M17*(1-K17),2),0)</x:f>
        <x:v>13000</x:v>
      </x:c>
      <x:c r="O17" s="12" t="n">
        <x:f>IF(L17="Completed",H17*J17,0)</x:f>
        <x:v>7000</x:v>
      </x:c>
      <x:c r="P17" s="12" t="n">
        <x:f>N17-O17</x:f>
        <x:v>6000</x:v>
      </x:c>
    </x:row>
    <x:row r="18" ht="21" customHeight="1">
      <x:c r="A18" s="7" t="n">
        <x:v>13</x:v>
      </x:c>
      <x:c r="B18" s="2" t="str">
        <x:v>TXN-00013</x:v>
      </x:c>
      <x:c r="C18" s="8" t="d">
        <x:v>2025-01-26T00:00:00.000Z</x:v>
      </x:c>
      <x:c r="D18" s="2" t="str">
        <x:v>Lagos</x:v>
      </x:c>
      <x:c r="E18" s="2" t="str">
        <x:v>Home</x:v>
      </x:c>
      <x:c r="F18" s="2" t="str">
        <x:v>Cookware set</x:v>
      </x:c>
      <x:c r="G18" s="2" t="str">
        <x:v>Online</x:v>
      </x:c>
      <x:c r="H18" s="7" t="n">
        <x:v>1</x:v>
      </x:c>
      <x:c r="I18" s="9" t="n">
        <x:v>35000</x:v>
      </x:c>
      <x:c r="J18" s="9" t="n">
        <x:v>22500</x:v>
      </x:c>
      <x:c r="K18" s="10" t="n">
        <x:v>0.05</x:v>
      </x:c>
      <x:c r="L18" s="2" t="str">
        <x:v>Completed</x:v>
      </x:c>
      <x:c r="M18" s="12" t="n">
        <x:f>H18*I18</x:f>
        <x:v>35000</x:v>
      </x:c>
      <x:c r="N18" s="12" t="n">
        <x:f>IF(L18="Completed",ROUND(M18*(1-K18),2),0)</x:f>
        <x:v>33250</x:v>
      </x:c>
      <x:c r="O18" s="12" t="n">
        <x:f>IF(L18="Completed",H18*J18,0)</x:f>
        <x:v>22500</x:v>
      </x:c>
      <x:c r="P18" s="12" t="n">
        <x:f>N18-O18</x:f>
        <x:v>10750</x:v>
      </x:c>
    </x:row>
    <x:row r="19" ht="21" customHeight="1">
      <x:c r="A19" s="7" t="n">
        <x:v>14</x:v>
      </x:c>
      <x:c r="B19" s="2" t="str">
        <x:v>TXN-00014</x:v>
      </x:c>
      <x:c r="C19" s="8" t="d">
        <x:v>2025-01-16T00:00:00.000Z</x:v>
      </x:c>
      <x:c r="D19" s="2" t="str">
        <x:v>Port Harcourt</x:v>
      </x:c>
      <x:c r="E19" s="2" t="str">
        <x:v>Fashion</x:v>
      </x:c>
      <x:c r="F19" s="2" t="str">
        <x:v>T-shirt</x:v>
      </x:c>
      <x:c r="G19" s="2" t="str">
        <x:v>In-store</x:v>
      </x:c>
      <x:c r="H19" s="7" t="n">
        <x:v>1</x:v>
      </x:c>
      <x:c r="I19" s="9" t="n">
        <x:v>9000</x:v>
      </x:c>
      <x:c r="J19" s="9" t="n">
        <x:v>5000</x:v>
      </x:c>
      <x:c r="K19" s="10" t="n">
        <x:v>0</x:v>
      </x:c>
      <x:c r="L19" s="2" t="str">
        <x:v>Completed</x:v>
      </x:c>
      <x:c r="M19" s="12" t="n">
        <x:f>H19*I19</x:f>
        <x:v>9000</x:v>
      </x:c>
      <x:c r="N19" s="12" t="n">
        <x:f>IF(L19="Completed",ROUND(M19*(1-K19),2),0)</x:f>
        <x:v>9000</x:v>
      </x:c>
      <x:c r="O19" s="12" t="n">
        <x:f>IF(L19="Completed",H19*J19,0)</x:f>
        <x:v>5000</x:v>
      </x:c>
      <x:c r="P19" s="12" t="n">
        <x:f>N19-O19</x:f>
        <x:v>4000</x:v>
      </x:c>
    </x:row>
    <x:row r="20" ht="21" customHeight="1">
      <x:c r="A20" s="7" t="n">
        <x:v>15</x:v>
      </x:c>
      <x:c r="B20" s="2" t="str">
        <x:v>TXN-00015</x:v>
      </x:c>
      <x:c r="C20" s="8" t="d">
        <x:v>2025-01-30T00:00:00.000Z</x:v>
      </x:c>
      <x:c r="D20" s="2" t="str">
        <x:v>Kano</x:v>
      </x:c>
      <x:c r="E20" s="2" t="str">
        <x:v>Electronics</x:v>
      </x:c>
      <x:c r="F20" s="2" t="str">
        <x:v>Headphones</x:v>
      </x:c>
      <x:c r="G20" s="2" t="str">
        <x:v>Online</x:v>
      </x:c>
      <x:c r="H20" s="7" t="n">
        <x:v>1</x:v>
      </x:c>
      <x:c r="I20" s="9" t="n">
        <x:v>18000</x:v>
      </x:c>
      <x:c r="J20" s="9" t="n">
        <x:v>10500</x:v>
      </x:c>
      <x:c r="K20" s="10" t="n">
        <x:v>0.05</x:v>
      </x:c>
      <x:c r="L20" s="2" t="str">
        <x:v>Completed</x:v>
      </x:c>
      <x:c r="M20" s="12" t="n">
        <x:f>H20*I20</x:f>
        <x:v>18000</x:v>
      </x:c>
      <x:c r="N20" s="12" t="n">
        <x:f>IF(L20="Completed",ROUND(M20*(1-K20),2),0)</x:f>
        <x:v>17100</x:v>
      </x:c>
      <x:c r="O20" s="12" t="n">
        <x:f>IF(L20="Completed",H20*J20,0)</x:f>
        <x:v>10500</x:v>
      </x:c>
      <x:c r="P20" s="12" t="n">
        <x:f>N20-O20</x:f>
        <x:v>6600</x:v>
      </x:c>
    </x:row>
    <x:row r="21" ht="21" customHeight="1">
      <x:c r="A21" s="7" t="n">
        <x:v>16</x:v>
      </x:c>
      <x:c r="B21" s="2" t="str">
        <x:v>TXN-00016</x:v>
      </x:c>
      <x:c r="C21" s="8" t="d">
        <x:v>2025-01-14T00:00:00.000Z</x:v>
      </x:c>
      <x:c r="D21" s="2" t="str">
        <x:v>Port Harcourt</x:v>
      </x:c>
      <x:c r="E21" s="2" t="str">
        <x:v>Beauty</x:v>
      </x:c>
      <x:c r="F21" s="2" t="str">
        <x:v>Perfume</x:v>
      </x:c>
      <x:c r="G21" s="2" t="str">
        <x:v>Online</x:v>
      </x:c>
      <x:c r="H21" s="7" t="n">
        <x:v>1</x:v>
      </x:c>
      <x:c r="I21" s="9" t="n">
        <x:v>17000</x:v>
      </x:c>
      <x:c r="J21" s="9" t="n">
        <x:v>9000</x:v>
      </x:c>
      <x:c r="K21" s="10" t="n">
        <x:v>0</x:v>
      </x:c>
      <x:c r="L21" s="2" t="str">
        <x:v>Completed</x:v>
      </x:c>
      <x:c r="M21" s="12" t="n">
        <x:f>H21*I21</x:f>
        <x:v>17000</x:v>
      </x:c>
      <x:c r="N21" s="12" t="n">
        <x:f>IF(L21="Completed",ROUND(M21*(1-K21),2),0)</x:f>
        <x:v>17000</x:v>
      </x:c>
      <x:c r="O21" s="12" t="n">
        <x:f>IF(L21="Completed",H21*J21,0)</x:f>
        <x:v>9000</x:v>
      </x:c>
      <x:c r="P21" s="12" t="n">
        <x:f>N21-O21</x:f>
        <x:v>8000</x:v>
      </x:c>
    </x:row>
    <x:row r="22" ht="21" customHeight="1">
      <x:c r="A22" s="7" t="n">
        <x:v>17</x:v>
      </x:c>
      <x:c r="B22" s="2" t="str">
        <x:v>TXN-00017</x:v>
      </x:c>
      <x:c r="C22" s="8" t="d">
        <x:v>2025-01-11T00:00:00.000Z</x:v>
      </x:c>
      <x:c r="D22" s="2" t="str">
        <x:v>Kano</x:v>
      </x:c>
      <x:c r="E22" s="2" t="str">
        <x:v>Fashion</x:v>
      </x:c>
      <x:c r="F22" s="2" t="str">
        <x:v>Sneakers</x:v>
      </x:c>
      <x:c r="G22" s="2" t="str">
        <x:v>In-store</x:v>
      </x:c>
      <x:c r="H22" s="7" t="n">
        <x:v>1</x:v>
      </x:c>
      <x:c r="I22" s="9" t="n">
        <x:v>28000</x:v>
      </x:c>
      <x:c r="J22" s="9" t="n">
        <x:v>17500</x:v>
      </x:c>
      <x:c r="K22" s="10" t="n">
        <x:v>0.05</x:v>
      </x:c>
      <x:c r="L22" s="2" t="str">
        <x:v>Completed</x:v>
      </x:c>
      <x:c r="M22" s="12" t="n">
        <x:f>H22*I22</x:f>
        <x:v>28000</x:v>
      </x:c>
      <x:c r="N22" s="12" t="n">
        <x:f>IF(L22="Completed",ROUND(M22*(1-K22),2),0)</x:f>
        <x:v>26600</x:v>
      </x:c>
      <x:c r="O22" s="12" t="n">
        <x:f>IF(L22="Completed",H22*J22,0)</x:f>
        <x:v>17500</x:v>
      </x:c>
      <x:c r="P22" s="12" t="n">
        <x:f>N22-O22</x:f>
        <x:v>9100</x:v>
      </x:c>
    </x:row>
    <x:row r="23" ht="21" customHeight="1">
      <x:c r="A23" s="7" t="n">
        <x:v>18</x:v>
      </x:c>
      <x:c r="B23" s="2" t="str">
        <x:v>TXN-00018</x:v>
      </x:c>
      <x:c r="C23" s="8" t="d">
        <x:v>2025-01-07T00:00:00.000Z</x:v>
      </x:c>
      <x:c r="D23" s="2" t="str">
        <x:v>Lagos</x:v>
      </x:c>
      <x:c r="E23" s="2" t="str">
        <x:v>Home</x:v>
      </x:c>
      <x:c r="F23" s="2" t="str">
        <x:v>Cookware set</x:v>
      </x:c>
      <x:c r="G23" s="2" t="str">
        <x:v>In-store</x:v>
      </x:c>
      <x:c r="H23" s="7" t="n">
        <x:v>1</x:v>
      </x:c>
      <x:c r="I23" s="9" t="n">
        <x:v>35000</x:v>
      </x:c>
      <x:c r="J23" s="9" t="n">
        <x:v>22500</x:v>
      </x:c>
      <x:c r="K23" s="10" t="n">
        <x:v>0</x:v>
      </x:c>
      <x:c r="L23" s="2" t="str">
        <x:v>Completed</x:v>
      </x:c>
      <x:c r="M23" s="12" t="n">
        <x:f>H23*I23</x:f>
        <x:v>35000</x:v>
      </x:c>
      <x:c r="N23" s="12" t="n">
        <x:f>IF(L23="Completed",ROUND(M23*(1-K23),2),0)</x:f>
        <x:v>35000</x:v>
      </x:c>
      <x:c r="O23" s="12" t="n">
        <x:f>IF(L23="Completed",H23*J23,0)</x:f>
        <x:v>22500</x:v>
      </x:c>
      <x:c r="P23" s="12" t="n">
        <x:f>N23-O23</x:f>
        <x:v>12500</x:v>
      </x:c>
    </x:row>
    <x:row r="24" ht="21" customHeight="1">
      <x:c r="A24" s="7" t="n">
        <x:v>19</x:v>
      </x:c>
      <x:c r="B24" s="2" t="str">
        <x:v>TXN-00019</x:v>
      </x:c>
      <x:c r="C24" s="8" t="d">
        <x:v>2025-01-03T00:00:00.000Z</x:v>
      </x:c>
      <x:c r="D24" s="2" t="str">
        <x:v>Lagos</x:v>
      </x:c>
      <x:c r="E24" s="2" t="str">
        <x:v>Beauty</x:v>
      </x:c>
      <x:c r="F24" s="2" t="str">
        <x:v>Moisturizer</x:v>
      </x:c>
      <x:c r="G24" s="2" t="str">
        <x:v>Online</x:v>
      </x:c>
      <x:c r="H24" s="7" t="n">
        <x:v>1</x:v>
      </x:c>
      <x:c r="I24" s="9" t="n">
        <x:v>6500</x:v>
      </x:c>
      <x:c r="J24" s="9" t="n">
        <x:v>3500</x:v>
      </x:c>
      <x:c r="K24" s="10" t="n">
        <x:v>0</x:v>
      </x:c>
      <x:c r="L24" s="2" t="str">
        <x:v>Completed</x:v>
      </x:c>
      <x:c r="M24" s="12" t="n">
        <x:f>H24*I24</x:f>
        <x:v>6500</x:v>
      </x:c>
      <x:c r="N24" s="12" t="n">
        <x:f>IF(L24="Completed",ROUND(M24*(1-K24),2),0)</x:f>
        <x:v>6500</x:v>
      </x:c>
      <x:c r="O24" s="12" t="n">
        <x:f>IF(L24="Completed",H24*J24,0)</x:f>
        <x:v>3500</x:v>
      </x:c>
      <x:c r="P24" s="12" t="n">
        <x:f>N24-O24</x:f>
        <x:v>3000</x:v>
      </x:c>
    </x:row>
    <x:row r="25" ht="21" customHeight="1">
      <x:c r="A25" s="7" t="n">
        <x:v>20</x:v>
      </x:c>
      <x:c r="B25" s="2" t="str">
        <x:v>TXN-00020</x:v>
      </x:c>
      <x:c r="C25" s="8" t="d">
        <x:v>2025-01-01T00:00:00.000Z</x:v>
      </x:c>
      <x:c r="D25" s="2" t="str">
        <x:v>Lagos</x:v>
      </x:c>
      <x:c r="E25" s="2" t="str">
        <x:v>Fashion</x:v>
      </x:c>
      <x:c r="F25" s="2" t="str">
        <x:v>Handbag</x:v>
      </x:c>
      <x:c r="G25" s="2" t="str">
        <x:v>Online</x:v>
      </x:c>
      <x:c r="H25" s="7" t="n">
        <x:v>4</x:v>
      </x:c>
      <x:c r="I25" s="9" t="n">
        <x:v>22000</x:v>
      </x:c>
      <x:c r="J25" s="9" t="n">
        <x:v>13500</x:v>
      </x:c>
      <x:c r="K25" s="10" t="n">
        <x:v>0</x:v>
      </x:c>
      <x:c r="L25" s="2" t="str">
        <x:v>Completed</x:v>
      </x:c>
      <x:c r="M25" s="12" t="n">
        <x:f>H25*I25</x:f>
        <x:v>88000</x:v>
      </x:c>
      <x:c r="N25" s="12" t="n">
        <x:f>IF(L25="Completed",ROUND(M25*(1-K25),2),0)</x:f>
        <x:v>88000</x:v>
      </x:c>
      <x:c r="O25" s="12" t="n">
        <x:f>IF(L25="Completed",H25*J25,0)</x:f>
        <x:v>54000</x:v>
      </x:c>
      <x:c r="P25" s="12" t="n">
        <x:f>N25-O25</x:f>
        <x:v>34000</x:v>
      </x:c>
    </x:row>
    <x:row r="26" ht="21" customHeight="1">
      <x:c r="A26" s="7" t="n">
        <x:v>21</x:v>
      </x:c>
      <x:c r="B26" s="2" t="str">
        <x:v>TXN-00021</x:v>
      </x:c>
      <x:c r="C26" s="8" t="d">
        <x:v>2025-01-22T00:00:00.000Z</x:v>
      </x:c>
      <x:c r="D26" s="2" t="str">
        <x:v>Lagos</x:v>
      </x:c>
      <x:c r="E26" s="2" t="str">
        <x:v>Home</x:v>
      </x:c>
      <x:c r="F26" s="2" t="str">
        <x:v>Bedsheet</x:v>
      </x:c>
      <x:c r="G26" s="2" t="str">
        <x:v>Online</x:v>
      </x:c>
      <x:c r="H26" s="7" t="n">
        <x:v>3</x:v>
      </x:c>
      <x:c r="I26" s="9" t="n">
        <x:v>14000</x:v>
      </x:c>
      <x:c r="J26" s="9" t="n">
        <x:v>8500</x:v>
      </x:c>
      <x:c r="K26" s="10" t="n">
        <x:v>0</x:v>
      </x:c>
      <x:c r="L26" s="2" t="str">
        <x:v>Completed</x:v>
      </x:c>
      <x:c r="M26" s="12" t="n">
        <x:f>H26*I26</x:f>
        <x:v>42000</x:v>
      </x:c>
      <x:c r="N26" s="12" t="n">
        <x:f>IF(L26="Completed",ROUND(M26*(1-K26),2),0)</x:f>
        <x:v>42000</x:v>
      </x:c>
      <x:c r="O26" s="12" t="n">
        <x:f>IF(L26="Completed",H26*J26,0)</x:f>
        <x:v>25500</x:v>
      </x:c>
      <x:c r="P26" s="12" t="n">
        <x:f>N26-O26</x:f>
        <x:v>16500</x:v>
      </x:c>
    </x:row>
    <x:row r="27" ht="21" customHeight="1">
      <x:c r="A27" s="7" t="n">
        <x:v>22</x:v>
      </x:c>
      <x:c r="B27" s="2" t="str">
        <x:v>TXN-00022</x:v>
      </x:c>
      <x:c r="C27" s="8" t="d">
        <x:v>2025-01-25T00:00:00.000Z</x:v>
      </x:c>
      <x:c r="D27" s="2" t="str">
        <x:v>Lagos</x:v>
      </x:c>
      <x:c r="E27" s="2" t="str">
        <x:v>Beauty</x:v>
      </x:c>
      <x:c r="F27" s="2" t="str">
        <x:v>Body wash</x:v>
      </x:c>
      <x:c r="G27" s="2" t="str">
        <x:v>Online</x:v>
      </x:c>
      <x:c r="H27" s="7" t="n">
        <x:v>3</x:v>
      </x:c>
      <x:c r="I27" s="9" t="n">
        <x:v>4500</x:v>
      </x:c>
      <x:c r="J27" s="9" t="n">
        <x:v>2300</x:v>
      </x:c>
      <x:c r="K27" s="10" t="n">
        <x:v>0</x:v>
      </x:c>
      <x:c r="L27" s="2" t="str">
        <x:v>Completed</x:v>
      </x:c>
      <x:c r="M27" s="12" t="n">
        <x:f>H27*I27</x:f>
        <x:v>13500</x:v>
      </x:c>
      <x:c r="N27" s="12" t="n">
        <x:f>IF(L27="Completed",ROUND(M27*(1-K27),2),0)</x:f>
        <x:v>13500</x:v>
      </x:c>
      <x:c r="O27" s="12" t="n">
        <x:f>IF(L27="Completed",H27*J27,0)</x:f>
        <x:v>6900</x:v>
      </x:c>
      <x:c r="P27" s="12" t="n">
        <x:f>N27-O27</x:f>
        <x:v>6600</x:v>
      </x:c>
    </x:row>
    <x:row r="28" ht="21" customHeight="1">
      <x:c r="A28" s="7" t="n">
        <x:v>23</x:v>
      </x:c>
      <x:c r="B28" s="2" t="str">
        <x:v>TXN-00023</x:v>
      </x:c>
      <x:c r="C28" s="8" t="d">
        <x:v>2025-01-14T00:00:00.000Z</x:v>
      </x:c>
      <x:c r="D28" s="2" t="str">
        <x:v>Abuja</x:v>
      </x:c>
      <x:c r="E28" s="2" t="str">
        <x:v>Fashion</x:v>
      </x:c>
      <x:c r="F28" s="2" t="str">
        <x:v>Sneakers</x:v>
      </x:c>
      <x:c r="G28" s="2" t="str">
        <x:v>In-store</x:v>
      </x:c>
      <x:c r="H28" s="7" t="n">
        <x:v>2</x:v>
      </x:c>
      <x:c r="I28" s="9" t="n">
        <x:v>28000</x:v>
      </x:c>
      <x:c r="J28" s="9" t="n">
        <x:v>17500</x:v>
      </x:c>
      <x:c r="K28" s="10" t="n">
        <x:v>0</x:v>
      </x:c>
      <x:c r="L28" s="2" t="str">
        <x:v>Returned</x:v>
      </x:c>
      <x:c r="M28" s="12" t="n">
        <x:f>H28*I28</x:f>
        <x:v>56000</x:v>
      </x:c>
      <x:c r="N28" s="12" t="n">
        <x:f>IF(L28="Completed",ROUND(M28*(1-K28),2),0)</x:f>
        <x:v>0</x:v>
      </x:c>
      <x:c r="O28" s="12" t="n">
        <x:f>IF(L28="Completed",H28*J28,0)</x:f>
        <x:v>0</x:v>
      </x:c>
      <x:c r="P28" s="12" t="n">
        <x:f>N28-O28</x:f>
        <x:v>0</x:v>
      </x:c>
    </x:row>
    <x:row r="29" ht="21" customHeight="1">
      <x:c r="A29" s="7" t="n">
        <x:v>24</x:v>
      </x:c>
      <x:c r="B29" s="2" t="str">
        <x:v>TXN-00024</x:v>
      </x:c>
      <x:c r="C29" s="8" t="d">
        <x:v>2025-01-30T00:00:00.000Z</x:v>
      </x:c>
      <x:c r="D29" s="2" t="str">
        <x:v>Port Harcourt</x:v>
      </x:c>
      <x:c r="E29" s="2" t="str">
        <x:v>Beauty</x:v>
      </x:c>
      <x:c r="F29" s="2" t="str">
        <x:v>Perfume</x:v>
      </x:c>
      <x:c r="G29" s="2" t="str">
        <x:v>Online</x:v>
      </x:c>
      <x:c r="H29" s="7" t="n">
        <x:v>1</x:v>
      </x:c>
      <x:c r="I29" s="9" t="n">
        <x:v>17000</x:v>
      </x:c>
      <x:c r="J29" s="9" t="n">
        <x:v>9000</x:v>
      </x:c>
      <x:c r="K29" s="10" t="n">
        <x:v>0</x:v>
      </x:c>
      <x:c r="L29" s="2" t="str">
        <x:v>Completed</x:v>
      </x:c>
      <x:c r="M29" s="12" t="n">
        <x:f>H29*I29</x:f>
        <x:v>17000</x:v>
      </x:c>
      <x:c r="N29" s="12" t="n">
        <x:f>IF(L29="Completed",ROUND(M29*(1-K29),2),0)</x:f>
        <x:v>17000</x:v>
      </x:c>
      <x:c r="O29" s="12" t="n">
        <x:f>IF(L29="Completed",H29*J29,0)</x:f>
        <x:v>9000</x:v>
      </x:c>
      <x:c r="P29" s="12" t="n">
        <x:f>N29-O29</x:f>
        <x:v>8000</x:v>
      </x:c>
    </x:row>
    <x:row r="30" ht="21" customHeight="1">
      <x:c r="A30" s="7" t="n">
        <x:v>25</x:v>
      </x:c>
      <x:c r="B30" s="2" t="str">
        <x:v>TXN-00025</x:v>
      </x:c>
      <x:c r="C30" s="8" t="d">
        <x:v>2025-01-14T00:00:00.000Z</x:v>
      </x:c>
      <x:c r="D30" s="2" t="str">
        <x:v>Lagos</x:v>
      </x:c>
      <x:c r="E30" s="2" t="str">
        <x:v>Fashion</x:v>
      </x:c>
      <x:c r="F30" s="2" t="str">
        <x:v>T-shirt</x:v>
      </x:c>
      <x:c r="G30" s="2" t="str">
        <x:v>Online</x:v>
      </x:c>
      <x:c r="H30" s="7" t="n">
        <x:v>2</x:v>
      </x:c>
      <x:c r="I30" s="9" t="n">
        <x:v>9000</x:v>
      </x:c>
      <x:c r="J30" s="9" t="n">
        <x:v>5000</x:v>
      </x:c>
      <x:c r="K30" s="10" t="n">
        <x:v>0</x:v>
      </x:c>
      <x:c r="L30" s="2" t="str">
        <x:v>Returned</x:v>
      </x:c>
      <x:c r="M30" s="12" t="n">
        <x:f>H30*I30</x:f>
        <x:v>18000</x:v>
      </x:c>
      <x:c r="N30" s="12" t="n">
        <x:f>IF(L30="Completed",ROUND(M30*(1-K30),2),0)</x:f>
        <x:v>0</x:v>
      </x:c>
      <x:c r="O30" s="12" t="n">
        <x:f>IF(L30="Completed",H30*J30,0)</x:f>
        <x:v>0</x:v>
      </x:c>
      <x:c r="P30" s="12" t="n">
        <x:f>N30-O30</x:f>
        <x:v>0</x:v>
      </x:c>
    </x:row>
    <x:row r="31" ht="21" customHeight="1">
      <x:c r="A31" s="7" t="n">
        <x:v>26</x:v>
      </x:c>
      <x:c r="B31" s="2" t="str">
        <x:v>TXN-00026</x:v>
      </x:c>
      <x:c r="C31" s="8" t="d">
        <x:v>2025-01-29T00:00:00.000Z</x:v>
      </x:c>
      <x:c r="D31" s="2" t="str">
        <x:v>Lagos</x:v>
      </x:c>
      <x:c r="E31" s="2" t="str">
        <x:v>Electronics</x:v>
      </x:c>
      <x:c r="F31" s="2" t="str">
        <x:v>Power bank</x:v>
      </x:c>
      <x:c r="G31" s="2" t="str">
        <x:v>Online</x:v>
      </x:c>
      <x:c r="H31" s="7" t="n">
        <x:v>4</x:v>
      </x:c>
      <x:c r="I31" s="9" t="n">
        <x:v>15000</x:v>
      </x:c>
      <x:c r="J31" s="9" t="n">
        <x:v>9500</x:v>
      </x:c>
      <x:c r="K31" s="10" t="n">
        <x:v>0.1</x:v>
      </x:c>
      <x:c r="L31" s="2" t="str">
        <x:v>Completed</x:v>
      </x:c>
      <x:c r="M31" s="12" t="n">
        <x:f>H31*I31</x:f>
        <x:v>60000</x:v>
      </x:c>
      <x:c r="N31" s="12" t="n">
        <x:f>IF(L31="Completed",ROUND(M31*(1-K31),2),0)</x:f>
        <x:v>54000</x:v>
      </x:c>
      <x:c r="O31" s="12" t="n">
        <x:f>IF(L31="Completed",H31*J31,0)</x:f>
        <x:v>38000</x:v>
      </x:c>
      <x:c r="P31" s="12" t="n">
        <x:f>N31-O31</x:f>
        <x:v>16000</x:v>
      </x:c>
    </x:row>
    <x:row r="32" ht="21" customHeight="1">
      <x:c r="A32" s="7" t="n">
        <x:v>27</x:v>
      </x:c>
      <x:c r="B32" s="2" t="str">
        <x:v>TXN-00027</x:v>
      </x:c>
      <x:c r="C32" s="8" t="d">
        <x:v>2025-01-19T00:00:00.000Z</x:v>
      </x:c>
      <x:c r="D32" s="2" t="str">
        <x:v>Lagos</x:v>
      </x:c>
      <x:c r="E32" s="2" t="str">
        <x:v>Home</x:v>
      </x:c>
      <x:c r="F32" s="2" t="str">
        <x:v>Bedsheet</x:v>
      </x:c>
      <x:c r="G32" s="2" t="str">
        <x:v>In-store</x:v>
      </x:c>
      <x:c r="H32" s="7" t="n">
        <x:v>1</x:v>
      </x:c>
      <x:c r="I32" s="9" t="n">
        <x:v>14000</x:v>
      </x:c>
      <x:c r="J32" s="9" t="n">
        <x:v>8500</x:v>
      </x:c>
      <x:c r="K32" s="10" t="n">
        <x:v>0</x:v>
      </x:c>
      <x:c r="L32" s="2" t="str">
        <x:v>Completed</x:v>
      </x:c>
      <x:c r="M32" s="12" t="n">
        <x:f>H32*I32</x:f>
        <x:v>14000</x:v>
      </x:c>
      <x:c r="N32" s="12" t="n">
        <x:f>IF(L32="Completed",ROUND(M32*(1-K32),2),0)</x:f>
        <x:v>14000</x:v>
      </x:c>
      <x:c r="O32" s="12" t="n">
        <x:f>IF(L32="Completed",H32*J32,0)</x:f>
        <x:v>8500</x:v>
      </x:c>
      <x:c r="P32" s="12" t="n">
        <x:f>N32-O32</x:f>
        <x:v>5500</x:v>
      </x:c>
    </x:row>
    <x:row r="33" ht="21" customHeight="1">
      <x:c r="A33" s="7" t="n">
        <x:v>28</x:v>
      </x:c>
      <x:c r="B33" s="2" t="str">
        <x:v>TXN-00028</x:v>
      </x:c>
      <x:c r="C33" s="8" t="d">
        <x:v>2025-01-17T00:00:00.000Z</x:v>
      </x:c>
      <x:c r="D33" s="2" t="str">
        <x:v>Lagos</x:v>
      </x:c>
      <x:c r="E33" s="2" t="str">
        <x:v>Electronics</x:v>
      </x:c>
      <x:c r="F33" s="2" t="str">
        <x:v>Headphones</x:v>
      </x:c>
      <x:c r="G33" s="2" t="str">
        <x:v>In-store</x:v>
      </x:c>
      <x:c r="H33" s="7" t="n">
        <x:v>2</x:v>
      </x:c>
      <x:c r="I33" s="9" t="n">
        <x:v>18000</x:v>
      </x:c>
      <x:c r="J33" s="9" t="n">
        <x:v>10500</x:v>
      </x:c>
      <x:c r="K33" s="10" t="n">
        <x:v>0</x:v>
      </x:c>
      <x:c r="L33" s="2" t="str">
        <x:v>Completed</x:v>
      </x:c>
      <x:c r="M33" s="12" t="n">
        <x:f>H33*I33</x:f>
        <x:v>36000</x:v>
      </x:c>
      <x:c r="N33" s="12" t="n">
        <x:f>IF(L33="Completed",ROUND(M33*(1-K33),2),0)</x:f>
        <x:v>36000</x:v>
      </x:c>
      <x:c r="O33" s="12" t="n">
        <x:f>IF(L33="Completed",H33*J33,0)</x:f>
        <x:v>21000</x:v>
      </x:c>
      <x:c r="P33" s="12" t="n">
        <x:f>N33-O33</x:f>
        <x:v>15000</x:v>
      </x:c>
    </x:row>
    <x:row r="34" ht="21" customHeight="1">
      <x:c r="A34" s="7" t="n">
        <x:v>29</x:v>
      </x:c>
      <x:c r="B34" s="2" t="str">
        <x:v>TXN-00029</x:v>
      </x:c>
      <x:c r="C34" s="8" t="d">
        <x:v>2025-01-03T00:00:00.000Z</x:v>
      </x:c>
      <x:c r="D34" s="2" t="str">
        <x:v>Abuja</x:v>
      </x:c>
      <x:c r="E34" s="2" t="str">
        <x:v>Beauty</x:v>
      </x:c>
      <x:c r="F34" s="2" t="str">
        <x:v>Moisturizer</x:v>
      </x:c>
      <x:c r="G34" s="2" t="str">
        <x:v>In-store</x:v>
      </x:c>
      <x:c r="H34" s="7" t="n">
        <x:v>1</x:v>
      </x:c>
      <x:c r="I34" s="9" t="n">
        <x:v>6500</x:v>
      </x:c>
      <x:c r="J34" s="9" t="n">
        <x:v>3500</x:v>
      </x:c>
      <x:c r="K34" s="10" t="n">
        <x:v>0.05</x:v>
      </x:c>
      <x:c r="L34" s="2" t="str">
        <x:v>Completed</x:v>
      </x:c>
      <x:c r="M34" s="12" t="n">
        <x:f>H34*I34</x:f>
        <x:v>6500</x:v>
      </x:c>
      <x:c r="N34" s="12" t="n">
        <x:f>IF(L34="Completed",ROUND(M34*(1-K34),2),0)</x:f>
        <x:v>6175</x:v>
      </x:c>
      <x:c r="O34" s="12" t="n">
        <x:f>IF(L34="Completed",H34*J34,0)</x:f>
        <x:v>3500</x:v>
      </x:c>
      <x:c r="P34" s="12" t="n">
        <x:f>N34-O34</x:f>
        <x:v>2675</x:v>
      </x:c>
    </x:row>
    <x:row r="35" ht="21" customHeight="1">
      <x:c r="A35" s="7" t="n">
        <x:v>30</x:v>
      </x:c>
      <x:c r="B35" s="2" t="str">
        <x:v>TXN-00030</x:v>
      </x:c>
      <x:c r="C35" s="8" t="d">
        <x:v>2025-01-23T00:00:00.000Z</x:v>
      </x:c>
      <x:c r="D35" s="2" t="str">
        <x:v>Abuja</x:v>
      </x:c>
      <x:c r="E35" s="2" t="str">
        <x:v>Fashion</x:v>
      </x:c>
      <x:c r="F35" s="2" t="str">
        <x:v>Sneakers</x:v>
      </x:c>
      <x:c r="G35" s="2" t="str">
        <x:v>Online</x:v>
      </x:c>
      <x:c r="H35" s="7" t="n">
        <x:v>1</x:v>
      </x:c>
      <x:c r="I35" s="9" t="n">
        <x:v>28000</x:v>
      </x:c>
      <x:c r="J35" s="9" t="n">
        <x:v>17500</x:v>
      </x:c>
      <x:c r="K35" s="10" t="n">
        <x:v>0</x:v>
      </x:c>
      <x:c r="L35" s="2" t="str">
        <x:v>Completed</x:v>
      </x:c>
      <x:c r="M35" s="12" t="n">
        <x:f>H35*I35</x:f>
        <x:v>28000</x:v>
      </x:c>
      <x:c r="N35" s="12" t="n">
        <x:f>IF(L35="Completed",ROUND(M35*(1-K35),2),0)</x:f>
        <x:v>28000</x:v>
      </x:c>
      <x:c r="O35" s="12" t="n">
        <x:f>IF(L35="Completed",H35*J35,0)</x:f>
        <x:v>17500</x:v>
      </x:c>
      <x:c r="P35" s="12" t="n">
        <x:f>N35-O35</x:f>
        <x:v>10500</x:v>
      </x:c>
    </x:row>
    <x:row r="36" ht="21" customHeight="1">
      <x:c r="A36" s="7" t="n">
        <x:v>31</x:v>
      </x:c>
      <x:c r="B36" s="2" t="str">
        <x:v>TXN-00031</x:v>
      </x:c>
      <x:c r="C36" s="8" t="d">
        <x:v>2025-01-26T00:00:00.000Z</x:v>
      </x:c>
      <x:c r="D36" s="2" t="str">
        <x:v>Port Harcourt</x:v>
      </x:c>
      <x:c r="E36" s="2" t="str">
        <x:v>Beauty</x:v>
      </x:c>
      <x:c r="F36" s="2" t="str">
        <x:v>Moisturizer</x:v>
      </x:c>
      <x:c r="G36" s="2" t="str">
        <x:v>Online</x:v>
      </x:c>
      <x:c r="H36" s="7" t="n">
        <x:v>1</x:v>
      </x:c>
      <x:c r="I36" s="9" t="n">
        <x:v>6500</x:v>
      </x:c>
      <x:c r="J36" s="9" t="n">
        <x:v>3500</x:v>
      </x:c>
      <x:c r="K36" s="10" t="n">
        <x:v>0</x:v>
      </x:c>
      <x:c r="L36" s="2" t="str">
        <x:v>Completed</x:v>
      </x:c>
      <x:c r="M36" s="12" t="n">
        <x:f>H36*I36</x:f>
        <x:v>6500</x:v>
      </x:c>
      <x:c r="N36" s="12" t="n">
        <x:f>IF(L36="Completed",ROUND(M36*(1-K36),2),0)</x:f>
        <x:v>6500</x:v>
      </x:c>
      <x:c r="O36" s="12" t="n">
        <x:f>IF(L36="Completed",H36*J36,0)</x:f>
        <x:v>3500</x:v>
      </x:c>
      <x:c r="P36" s="12" t="n">
        <x:f>N36-O36</x:f>
        <x:v>3000</x:v>
      </x:c>
    </x:row>
    <x:row r="37" ht="21" customHeight="1">
      <x:c r="A37" s="7" t="n">
        <x:v>32</x:v>
      </x:c>
      <x:c r="B37" s="2" t="str">
        <x:v>TXN-00032</x:v>
      </x:c>
      <x:c r="C37" s="8" t="d">
        <x:v>2025-01-10T00:00:00.000Z</x:v>
      </x:c>
      <x:c r="D37" s="2" t="str">
        <x:v>Lagos</x:v>
      </x:c>
      <x:c r="E37" s="2" t="str">
        <x:v>Electronics</x:v>
      </x:c>
      <x:c r="F37" s="2" t="str">
        <x:v>Power bank</x:v>
      </x:c>
      <x:c r="G37" s="2" t="str">
        <x:v>Online</x:v>
      </x:c>
      <x:c r="H37" s="7" t="n">
        <x:v>1</x:v>
      </x:c>
      <x:c r="I37" s="9" t="n">
        <x:v>15000</x:v>
      </x:c>
      <x:c r="J37" s="9" t="n">
        <x:v>9500</x:v>
      </x:c>
      <x:c r="K37" s="10" t="n">
        <x:v>0</x:v>
      </x:c>
      <x:c r="L37" s="2" t="str">
        <x:v>Completed</x:v>
      </x:c>
      <x:c r="M37" s="12" t="n">
        <x:f>H37*I37</x:f>
        <x:v>15000</x:v>
      </x:c>
      <x:c r="N37" s="12" t="n">
        <x:f>IF(L37="Completed",ROUND(M37*(1-K37),2),0)</x:f>
        <x:v>15000</x:v>
      </x:c>
      <x:c r="O37" s="12" t="n">
        <x:f>IF(L37="Completed",H37*J37,0)</x:f>
        <x:v>9500</x:v>
      </x:c>
      <x:c r="P37" s="12" t="n">
        <x:f>N37-O37</x:f>
        <x:v>5500</x:v>
      </x:c>
    </x:row>
    <x:row r="38" ht="21" customHeight="1">
      <x:c r="A38" s="7" t="n">
        <x:v>33</x:v>
      </x:c>
      <x:c r="B38" s="2" t="str">
        <x:v>TXN-00033</x:v>
      </x:c>
      <x:c r="C38" s="8" t="d">
        <x:v>2025-01-27T00:00:00.000Z</x:v>
      </x:c>
      <x:c r="D38" s="2" t="str">
        <x:v>Port Harcourt</x:v>
      </x:c>
      <x:c r="E38" s="2" t="str">
        <x:v>Fashion</x:v>
      </x:c>
      <x:c r="F38" s="2" t="str">
        <x:v>Handbag</x:v>
      </x:c>
      <x:c r="G38" s="2" t="str">
        <x:v>Online</x:v>
      </x:c>
      <x:c r="H38" s="7" t="n">
        <x:v>2</x:v>
      </x:c>
      <x:c r="I38" s="9" t="n">
        <x:v>22000</x:v>
      </x:c>
      <x:c r="J38" s="9" t="n">
        <x:v>13500</x:v>
      </x:c>
      <x:c r="K38" s="10" t="n">
        <x:v>0.1</x:v>
      </x:c>
      <x:c r="L38" s="2" t="str">
        <x:v>Returned</x:v>
      </x:c>
      <x:c r="M38" s="12" t="n">
        <x:f>H38*I38</x:f>
        <x:v>44000</x:v>
      </x:c>
      <x:c r="N38" s="12" t="n">
        <x:f>IF(L38="Completed",ROUND(M38*(1-K38),2),0)</x:f>
        <x:v>0</x:v>
      </x:c>
      <x:c r="O38" s="12" t="n">
        <x:f>IF(L38="Completed",H38*J38,0)</x:f>
        <x:v>0</x:v>
      </x:c>
      <x:c r="P38" s="12" t="n">
        <x:f>N38-O38</x:f>
        <x:v>0</x:v>
      </x:c>
    </x:row>
    <x:row r="39" ht="21" customHeight="1">
      <x:c r="A39" s="7" t="n">
        <x:v>34</x:v>
      </x:c>
      <x:c r="B39" s="2" t="str">
        <x:v>TXN-00034</x:v>
      </x:c>
      <x:c r="C39" s="8" t="d">
        <x:v>2025-01-01T00:00:00.000Z</x:v>
      </x:c>
      <x:c r="D39" s="2" t="str">
        <x:v>Abuja</x:v>
      </x:c>
      <x:c r="E39" s="2" t="str">
        <x:v>Electronics</x:v>
      </x:c>
      <x:c r="F39" s="2" t="str">
        <x:v>Power bank</x:v>
      </x:c>
      <x:c r="G39" s="2" t="str">
        <x:v>Online</x:v>
      </x:c>
      <x:c r="H39" s="7" t="n">
        <x:v>3</x:v>
      </x:c>
      <x:c r="I39" s="9" t="n">
        <x:v>15000</x:v>
      </x:c>
      <x:c r="J39" s="9" t="n">
        <x:v>9500</x:v>
      </x:c>
      <x:c r="K39" s="10" t="n">
        <x:v>0</x:v>
      </x:c>
      <x:c r="L39" s="2" t="str">
        <x:v>Completed</x:v>
      </x:c>
      <x:c r="M39" s="12" t="n">
        <x:f>H39*I39</x:f>
        <x:v>45000</x:v>
      </x:c>
      <x:c r="N39" s="12" t="n">
        <x:f>IF(L39="Completed",ROUND(M39*(1-K39),2),0)</x:f>
        <x:v>45000</x:v>
      </x:c>
      <x:c r="O39" s="12" t="n">
        <x:f>IF(L39="Completed",H39*J39,0)</x:f>
        <x:v>28500</x:v>
      </x:c>
      <x:c r="P39" s="12" t="n">
        <x:f>N39-O39</x:f>
        <x:v>16500</x:v>
      </x:c>
    </x:row>
    <x:row r="40" ht="21" customHeight="1">
      <x:c r="A40" s="7" t="n">
        <x:v>35</x:v>
      </x:c>
      <x:c r="B40" s="2" t="str">
        <x:v>TXN-00035</x:v>
      </x:c>
      <x:c r="C40" s="8" t="d">
        <x:v>2025-01-14T00:00:00.000Z</x:v>
      </x:c>
      <x:c r="D40" s="2" t="str">
        <x:v>Lagos</x:v>
      </x:c>
      <x:c r="E40" s="2" t="str">
        <x:v>Home</x:v>
      </x:c>
      <x:c r="F40" s="2" t="str">
        <x:v>Desk lamp</x:v>
      </x:c>
      <x:c r="G40" s="2" t="str">
        <x:v>Online</x:v>
      </x:c>
      <x:c r="H40" s="7" t="n">
        <x:v>1</x:v>
      </x:c>
      <x:c r="I40" s="9" t="n">
        <x:v>12000</x:v>
      </x:c>
      <x:c r="J40" s="9" t="n">
        <x:v>7200</x:v>
      </x:c>
      <x:c r="K40" s="10" t="n">
        <x:v>0.05</x:v>
      </x:c>
      <x:c r="L40" s="2" t="str">
        <x:v>Completed</x:v>
      </x:c>
      <x:c r="M40" s="12" t="n">
        <x:f>H40*I40</x:f>
        <x:v>12000</x:v>
      </x:c>
      <x:c r="N40" s="12" t="n">
        <x:f>IF(L40="Completed",ROUND(M40*(1-K40),2),0)</x:f>
        <x:v>11400</x:v>
      </x:c>
      <x:c r="O40" s="12" t="n">
        <x:f>IF(L40="Completed",H40*J40,0)</x:f>
        <x:v>7200</x:v>
      </x:c>
      <x:c r="P40" s="12" t="n">
        <x:f>N40-O40</x:f>
        <x:v>4200</x:v>
      </x:c>
    </x:row>
    <x:row r="41" ht="21" customHeight="1">
      <x:c r="A41" s="7" t="n">
        <x:v>36</x:v>
      </x:c>
      <x:c r="B41" s="2" t="str">
        <x:v>TXN-00036</x:v>
      </x:c>
      <x:c r="C41" s="8" t="d">
        <x:v>2025-01-08T00:00:00.000Z</x:v>
      </x:c>
      <x:c r="D41" s="2" t="str">
        <x:v>Abuja</x:v>
      </x:c>
      <x:c r="E41" s="2" t="str">
        <x:v>Electronics</x:v>
      </x:c>
      <x:c r="F41" s="2" t="str">
        <x:v>Bluetooth speaker</x:v>
      </x:c>
      <x:c r="G41" s="2" t="str">
        <x:v>In-store</x:v>
      </x:c>
      <x:c r="H41" s="7" t="n">
        <x:v>1</x:v>
      </x:c>
      <x:c r="I41" s="9" t="n">
        <x:v>26000</x:v>
      </x:c>
      <x:c r="J41" s="9" t="n">
        <x:v>17000</x:v>
      </x:c>
      <x:c r="K41" s="10" t="n">
        <x:v>0</x:v>
      </x:c>
      <x:c r="L41" s="2" t="str">
        <x:v>Completed</x:v>
      </x:c>
      <x:c r="M41" s="12" t="n">
        <x:f>H41*I41</x:f>
        <x:v>26000</x:v>
      </x:c>
      <x:c r="N41" s="12" t="n">
        <x:f>IF(L41="Completed",ROUND(M41*(1-K41),2),0)</x:f>
        <x:v>26000</x:v>
      </x:c>
      <x:c r="O41" s="12" t="n">
        <x:f>IF(L41="Completed",H41*J41,0)</x:f>
        <x:v>17000</x:v>
      </x:c>
      <x:c r="P41" s="12" t="n">
        <x:f>N41-O41</x:f>
        <x:v>9000</x:v>
      </x:c>
    </x:row>
    <x:row r="42" ht="21" customHeight="1">
      <x:c r="A42" s="7" t="n">
        <x:v>37</x:v>
      </x:c>
      <x:c r="B42" s="2" t="str">
        <x:v>TXN-00037</x:v>
      </x:c>
      <x:c r="C42" s="8" t="d">
        <x:v>2025-01-09T00:00:00.000Z</x:v>
      </x:c>
      <x:c r="D42" s="2" t="str">
        <x:v>Kano</x:v>
      </x:c>
      <x:c r="E42" s="2" t="str">
        <x:v>Home</x:v>
      </x:c>
      <x:c r="F42" s="2" t="str">
        <x:v>Bedsheet</x:v>
      </x:c>
      <x:c r="G42" s="2" t="str">
        <x:v>Online</x:v>
      </x:c>
      <x:c r="H42" s="7" t="n">
        <x:v>1</x:v>
      </x:c>
      <x:c r="I42" s="9" t="n">
        <x:v>14000</x:v>
      </x:c>
      <x:c r="J42" s="9" t="n">
        <x:v>8500</x:v>
      </x:c>
      <x:c r="K42" s="10" t="n">
        <x:v>0.05</x:v>
      </x:c>
      <x:c r="L42" s="2" t="str">
        <x:v>Completed</x:v>
      </x:c>
      <x:c r="M42" s="12" t="n">
        <x:f>H42*I42</x:f>
        <x:v>14000</x:v>
      </x:c>
      <x:c r="N42" s="12" t="n">
        <x:f>IF(L42="Completed",ROUND(M42*(1-K42),2),0)</x:f>
        <x:v>13300</x:v>
      </x:c>
      <x:c r="O42" s="12" t="n">
        <x:f>IF(L42="Completed",H42*J42,0)</x:f>
        <x:v>8500</x:v>
      </x:c>
      <x:c r="P42" s="12" t="n">
        <x:f>N42-O42</x:f>
        <x:v>4800</x:v>
      </x:c>
    </x:row>
    <x:row r="43" ht="21" customHeight="1">
      <x:c r="A43" s="7" t="n">
        <x:v>38</x:v>
      </x:c>
      <x:c r="B43" s="2" t="str">
        <x:v>TXN-00038</x:v>
      </x:c>
      <x:c r="C43" s="8" t="d">
        <x:v>2025-01-19T00:00:00.000Z</x:v>
      </x:c>
      <x:c r="D43" s="2" t="str">
        <x:v>Port Harcourt</x:v>
      </x:c>
      <x:c r="E43" s="2" t="str">
        <x:v>Electronics</x:v>
      </x:c>
      <x:c r="F43" s="2" t="str">
        <x:v>Bluetooth speaker</x:v>
      </x:c>
      <x:c r="G43" s="2" t="str">
        <x:v>Online</x:v>
      </x:c>
      <x:c r="H43" s="7" t="n">
        <x:v>1</x:v>
      </x:c>
      <x:c r="I43" s="9" t="n">
        <x:v>26000</x:v>
      </x:c>
      <x:c r="J43" s="9" t="n">
        <x:v>17000</x:v>
      </x:c>
      <x:c r="K43" s="10" t="n">
        <x:v>0.05</x:v>
      </x:c>
      <x:c r="L43" s="2" t="str">
        <x:v>Completed</x:v>
      </x:c>
      <x:c r="M43" s="12" t="n">
        <x:f>H43*I43</x:f>
        <x:v>26000</x:v>
      </x:c>
      <x:c r="N43" s="12" t="n">
        <x:f>IF(L43="Completed",ROUND(M43*(1-K43),2),0)</x:f>
        <x:v>24700</x:v>
      </x:c>
      <x:c r="O43" s="12" t="n">
        <x:f>IF(L43="Completed",H43*J43,0)</x:f>
        <x:v>17000</x:v>
      </x:c>
      <x:c r="P43" s="12" t="n">
        <x:f>N43-O43</x:f>
        <x:v>7700</x:v>
      </x:c>
    </x:row>
    <x:row r="44" ht="21" customHeight="1">
      <x:c r="A44" s="7" t="n">
        <x:v>39</x:v>
      </x:c>
      <x:c r="B44" s="2" t="str">
        <x:v>TXN-00039</x:v>
      </x:c>
      <x:c r="C44" s="8" t="d">
        <x:v>2025-01-09T00:00:00.000Z</x:v>
      </x:c>
      <x:c r="D44" s="2" t="str">
        <x:v>Port Harcourt</x:v>
      </x:c>
      <x:c r="E44" s="2" t="str">
        <x:v>Beauty</x:v>
      </x:c>
      <x:c r="F44" s="2" t="str">
        <x:v>Perfume</x:v>
      </x:c>
      <x:c r="G44" s="2" t="str">
        <x:v>In-store</x:v>
      </x:c>
      <x:c r="H44" s="7" t="n">
        <x:v>1</x:v>
      </x:c>
      <x:c r="I44" s="9" t="n">
        <x:v>17000</x:v>
      </x:c>
      <x:c r="J44" s="9" t="n">
        <x:v>9000</x:v>
      </x:c>
      <x:c r="K44" s="10" t="n">
        <x:v>0</x:v>
      </x:c>
      <x:c r="L44" s="2" t="str">
        <x:v>Completed</x:v>
      </x:c>
      <x:c r="M44" s="12" t="n">
        <x:f>H44*I44</x:f>
        <x:v>17000</x:v>
      </x:c>
      <x:c r="N44" s="12" t="n">
        <x:f>IF(L44="Completed",ROUND(M44*(1-K44),2),0)</x:f>
        <x:v>17000</x:v>
      </x:c>
      <x:c r="O44" s="12" t="n">
        <x:f>IF(L44="Completed",H44*J44,0)</x:f>
        <x:v>9000</x:v>
      </x:c>
      <x:c r="P44" s="12" t="n">
        <x:f>N44-O44</x:f>
        <x:v>8000</x:v>
      </x:c>
    </x:row>
    <x:row r="45" ht="21" customHeight="1">
      <x:c r="A45" s="7" t="n">
        <x:v>40</x:v>
      </x:c>
      <x:c r="B45" s="2" t="str">
        <x:v>TXN-00040</x:v>
      </x:c>
      <x:c r="C45" s="8" t="d">
        <x:v>2025-01-20T00:00:00.000Z</x:v>
      </x:c>
      <x:c r="D45" s="2" t="str">
        <x:v>Lagos</x:v>
      </x:c>
      <x:c r="E45" s="2" t="str">
        <x:v>Home</x:v>
      </x:c>
      <x:c r="F45" s="2" t="str">
        <x:v>Cookware set</x:v>
      </x:c>
      <x:c r="G45" s="2" t="str">
        <x:v>In-store</x:v>
      </x:c>
      <x:c r="H45" s="7" t="n">
        <x:v>3</x:v>
      </x:c>
      <x:c r="I45" s="9" t="n">
        <x:v>35000</x:v>
      </x:c>
      <x:c r="J45" s="9" t="n">
        <x:v>22500</x:v>
      </x:c>
      <x:c r="K45" s="10" t="n">
        <x:v>0</x:v>
      </x:c>
      <x:c r="L45" s="2" t="str">
        <x:v>Completed</x:v>
      </x:c>
      <x:c r="M45" s="12" t="n">
        <x:f>H45*I45</x:f>
        <x:v>105000</x:v>
      </x:c>
      <x:c r="N45" s="12" t="n">
        <x:f>IF(L45="Completed",ROUND(M45*(1-K45),2),0)</x:f>
        <x:v>105000</x:v>
      </x:c>
      <x:c r="O45" s="12" t="n">
        <x:f>IF(L45="Completed",H45*J45,0)</x:f>
        <x:v>67500</x:v>
      </x:c>
      <x:c r="P45" s="12" t="n">
        <x:f>N45-O45</x:f>
        <x:v>37500</x:v>
      </x:c>
    </x:row>
    <x:row r="46" ht="21" customHeight="1">
      <x:c r="A46" s="7" t="n">
        <x:v>41</x:v>
      </x:c>
      <x:c r="B46" s="2" t="str">
        <x:v>TXN-00041</x:v>
      </x:c>
      <x:c r="C46" s="8" t="d">
        <x:v>2025-01-28T00:00:00.000Z</x:v>
      </x:c>
      <x:c r="D46" s="2" t="str">
        <x:v>Port Harcourt</x:v>
      </x:c>
      <x:c r="E46" s="2" t="str">
        <x:v>Fashion</x:v>
      </x:c>
      <x:c r="F46" s="2" t="str">
        <x:v>Sneakers</x:v>
      </x:c>
      <x:c r="G46" s="2" t="str">
        <x:v>Online</x:v>
      </x:c>
      <x:c r="H46" s="7" t="n">
        <x:v>1</x:v>
      </x:c>
      <x:c r="I46" s="9" t="n">
        <x:v>28000</x:v>
      </x:c>
      <x:c r="J46" s="9" t="n">
        <x:v>17500</x:v>
      </x:c>
      <x:c r="K46" s="10" t="n">
        <x:v>0</x:v>
      </x:c>
      <x:c r="L46" s="2" t="str">
        <x:v>Completed</x:v>
      </x:c>
      <x:c r="M46" s="12" t="n">
        <x:f>H46*I46</x:f>
        <x:v>28000</x:v>
      </x:c>
      <x:c r="N46" s="12" t="n">
        <x:f>IF(L46="Completed",ROUND(M46*(1-K46),2),0)</x:f>
        <x:v>28000</x:v>
      </x:c>
      <x:c r="O46" s="12" t="n">
        <x:f>IF(L46="Completed",H46*J46,0)</x:f>
        <x:v>17500</x:v>
      </x:c>
      <x:c r="P46" s="12" t="n">
        <x:f>N46-O46</x:f>
        <x:v>10500</x:v>
      </x:c>
    </x:row>
    <x:row r="47" ht="21" customHeight="1">
      <x:c r="A47" s="7" t="n">
        <x:v>42</x:v>
      </x:c>
      <x:c r="B47" s="2" t="str">
        <x:v>TXN-00042</x:v>
      </x:c>
      <x:c r="C47" s="8" t="d">
        <x:v>2025-01-12T00:00:00.000Z</x:v>
      </x:c>
      <x:c r="D47" s="2" t="str">
        <x:v>Lagos</x:v>
      </x:c>
      <x:c r="E47" s="2" t="str">
        <x:v>Home</x:v>
      </x:c>
      <x:c r="F47" s="2" t="str">
        <x:v>Cookware set</x:v>
      </x:c>
      <x:c r="G47" s="2" t="str">
        <x:v>In-store</x:v>
      </x:c>
      <x:c r="H47" s="7" t="n">
        <x:v>1</x:v>
      </x:c>
      <x:c r="I47" s="9" t="n">
        <x:v>35000</x:v>
      </x:c>
      <x:c r="J47" s="9" t="n">
        <x:v>22500</x:v>
      </x:c>
      <x:c r="K47" s="10" t="n">
        <x:v>0.05</x:v>
      </x:c>
      <x:c r="L47" s="2" t="str">
        <x:v>Completed</x:v>
      </x:c>
      <x:c r="M47" s="12" t="n">
        <x:f>H47*I47</x:f>
        <x:v>35000</x:v>
      </x:c>
      <x:c r="N47" s="12" t="n">
        <x:f>IF(L47="Completed",ROUND(M47*(1-K47),2),0)</x:f>
        <x:v>33250</x:v>
      </x:c>
      <x:c r="O47" s="12" t="n">
        <x:f>IF(L47="Completed",H47*J47,0)</x:f>
        <x:v>22500</x:v>
      </x:c>
      <x:c r="P47" s="12" t="n">
        <x:f>N47-O47</x:f>
        <x:v>10750</x:v>
      </x:c>
    </x:row>
    <x:row r="48" ht="21" customHeight="1">
      <x:c r="A48" s="7" t="n">
        <x:v>43</x:v>
      </x:c>
      <x:c r="B48" s="2" t="str">
        <x:v>TXN-00043</x:v>
      </x:c>
      <x:c r="C48" s="8" t="d">
        <x:v>2025-01-13T00:00:00.000Z</x:v>
      </x:c>
      <x:c r="D48" s="2" t="str">
        <x:v>Kano</x:v>
      </x:c>
      <x:c r="E48" s="2" t="str">
        <x:v>Beauty</x:v>
      </x:c>
      <x:c r="F48" s="2" t="str">
        <x:v>Moisturizer</x:v>
      </x:c>
      <x:c r="G48" s="2" t="str">
        <x:v>In-store</x:v>
      </x:c>
      <x:c r="H48" s="7" t="n">
        <x:v>1</x:v>
      </x:c>
      <x:c r="I48" s="9" t="n">
        <x:v>6500</x:v>
      </x:c>
      <x:c r="J48" s="9" t="n">
        <x:v>3500</x:v>
      </x:c>
      <x:c r="K48" s="10" t="n">
        <x:v>0.1</x:v>
      </x:c>
      <x:c r="L48" s="2" t="str">
        <x:v>Completed</x:v>
      </x:c>
      <x:c r="M48" s="12" t="n">
        <x:f>H48*I48</x:f>
        <x:v>6500</x:v>
      </x:c>
      <x:c r="N48" s="12" t="n">
        <x:f>IF(L48="Completed",ROUND(M48*(1-K48),2),0)</x:f>
        <x:v>5850</x:v>
      </x:c>
      <x:c r="O48" s="12" t="n">
        <x:f>IF(L48="Completed",H48*J48,0)</x:f>
        <x:v>3500</x:v>
      </x:c>
      <x:c r="P48" s="12" t="n">
        <x:f>N48-O48</x:f>
        <x:v>2350</x:v>
      </x:c>
    </x:row>
    <x:row r="49" ht="21" customHeight="1">
      <x:c r="A49" s="7" t="n">
        <x:v>44</x:v>
      </x:c>
      <x:c r="B49" s="2" t="str">
        <x:v>TXN-00044</x:v>
      </x:c>
      <x:c r="C49" s="8" t="d">
        <x:v>2025-01-22T00:00:00.000Z</x:v>
      </x:c>
      <x:c r="D49" s="2" t="str">
        <x:v>Lagos</x:v>
      </x:c>
      <x:c r="E49" s="2" t="str">
        <x:v>Home</x:v>
      </x:c>
      <x:c r="F49" s="2" t="str">
        <x:v>Bedsheet</x:v>
      </x:c>
      <x:c r="G49" s="2" t="str">
        <x:v>In-store</x:v>
      </x:c>
      <x:c r="H49" s="7" t="n">
        <x:v>1</x:v>
      </x:c>
      <x:c r="I49" s="9" t="n">
        <x:v>14000</x:v>
      </x:c>
      <x:c r="J49" s="9" t="n">
        <x:v>8500</x:v>
      </x:c>
      <x:c r="K49" s="10" t="n">
        <x:v>0.05</x:v>
      </x:c>
      <x:c r="L49" s="2" t="str">
        <x:v>Completed</x:v>
      </x:c>
      <x:c r="M49" s="12" t="n">
        <x:f>H49*I49</x:f>
        <x:v>14000</x:v>
      </x:c>
      <x:c r="N49" s="12" t="n">
        <x:f>IF(L49="Completed",ROUND(M49*(1-K49),2),0)</x:f>
        <x:v>13300</x:v>
      </x:c>
      <x:c r="O49" s="12" t="n">
        <x:f>IF(L49="Completed",H49*J49,0)</x:f>
        <x:v>8500</x:v>
      </x:c>
      <x:c r="P49" s="12" t="n">
        <x:f>N49-O49</x:f>
        <x:v>4800</x:v>
      </x:c>
    </x:row>
    <x:row r="50" ht="21" customHeight="1">
      <x:c r="A50" s="7" t="n">
        <x:v>45</x:v>
      </x:c>
      <x:c r="B50" s="2" t="str">
        <x:v>TXN-00045</x:v>
      </x:c>
      <x:c r="C50" s="8" t="d">
        <x:v>2025-01-20T00:00:00.000Z</x:v>
      </x:c>
      <x:c r="D50" s="2" t="str">
        <x:v>Kano</x:v>
      </x:c>
      <x:c r="E50" s="2" t="str">
        <x:v>Electronics</x:v>
      </x:c>
      <x:c r="F50" s="2" t="str">
        <x:v>Bluetooth speaker</x:v>
      </x:c>
      <x:c r="G50" s="2" t="str">
        <x:v>In-store</x:v>
      </x:c>
      <x:c r="H50" s="7" t="n">
        <x:v>1</x:v>
      </x:c>
      <x:c r="I50" s="9" t="n">
        <x:v>26000</x:v>
      </x:c>
      <x:c r="J50" s="9" t="n">
        <x:v>17000</x:v>
      </x:c>
      <x:c r="K50" s="10" t="n">
        <x:v>0.1</x:v>
      </x:c>
      <x:c r="L50" s="2" t="str">
        <x:v>Completed</x:v>
      </x:c>
      <x:c r="M50" s="12" t="n">
        <x:f>H50*I50</x:f>
        <x:v>26000</x:v>
      </x:c>
      <x:c r="N50" s="12" t="n">
        <x:f>IF(L50="Completed",ROUND(M50*(1-K50),2),0)</x:f>
        <x:v>23400</x:v>
      </x:c>
      <x:c r="O50" s="12" t="n">
        <x:f>IF(L50="Completed",H50*J50,0)</x:f>
        <x:v>17000</x:v>
      </x:c>
      <x:c r="P50" s="12" t="n">
        <x:f>N50-O50</x:f>
        <x:v>6400</x:v>
      </x:c>
    </x:row>
    <x:row r="51" ht="21" customHeight="1">
      <x:c r="A51" s="7" t="n">
        <x:v>46</x:v>
      </x:c>
      <x:c r="B51" s="2" t="str">
        <x:v>TXN-00046</x:v>
      </x:c>
      <x:c r="C51" s="8" t="d">
        <x:v>2025-01-04T00:00:00.000Z</x:v>
      </x:c>
      <x:c r="D51" s="2" t="str">
        <x:v>Kano</x:v>
      </x:c>
      <x:c r="E51" s="2" t="str">
        <x:v>Fashion</x:v>
      </x:c>
      <x:c r="F51" s="2" t="str">
        <x:v>Sneakers</x:v>
      </x:c>
      <x:c r="G51" s="2" t="str">
        <x:v>Online</x:v>
      </x:c>
      <x:c r="H51" s="7" t="n">
        <x:v>3</x:v>
      </x:c>
      <x:c r="I51" s="9" t="n">
        <x:v>28000</x:v>
      </x:c>
      <x:c r="J51" s="9" t="n">
        <x:v>17500</x:v>
      </x:c>
      <x:c r="K51" s="10" t="n">
        <x:v>0</x:v>
      </x:c>
      <x:c r="L51" s="2" t="str">
        <x:v>Completed</x:v>
      </x:c>
      <x:c r="M51" s="12" t="n">
        <x:f>H51*I51</x:f>
        <x:v>84000</x:v>
      </x:c>
      <x:c r="N51" s="12" t="n">
        <x:f>IF(L51="Completed",ROUND(M51*(1-K51),2),0)</x:f>
        <x:v>84000</x:v>
      </x:c>
      <x:c r="O51" s="12" t="n">
        <x:f>IF(L51="Completed",H51*J51,0)</x:f>
        <x:v>52500</x:v>
      </x:c>
      <x:c r="P51" s="12" t="n">
        <x:f>N51-O51</x:f>
        <x:v>31500</x:v>
      </x:c>
    </x:row>
    <x:row r="52" ht="21" customHeight="1">
      <x:c r="A52" s="7" t="n">
        <x:v>47</x:v>
      </x:c>
      <x:c r="B52" s="2" t="str">
        <x:v>TXN-00047</x:v>
      </x:c>
      <x:c r="C52" s="8" t="d">
        <x:v>2025-01-05T00:00:00.000Z</x:v>
      </x:c>
      <x:c r="D52" s="2" t="str">
        <x:v>Lagos</x:v>
      </x:c>
      <x:c r="E52" s="2" t="str">
        <x:v>Fashion</x:v>
      </x:c>
      <x:c r="F52" s="2" t="str">
        <x:v>T-shirt</x:v>
      </x:c>
      <x:c r="G52" s="2" t="str">
        <x:v>Online</x:v>
      </x:c>
      <x:c r="H52" s="7" t="n">
        <x:v>2</x:v>
      </x:c>
      <x:c r="I52" s="9" t="n">
        <x:v>9000</x:v>
      </x:c>
      <x:c r="J52" s="9" t="n">
        <x:v>5000</x:v>
      </x:c>
      <x:c r="K52" s="10" t="n">
        <x:v>0.05</x:v>
      </x:c>
      <x:c r="L52" s="2" t="str">
        <x:v>Completed</x:v>
      </x:c>
      <x:c r="M52" s="12" t="n">
        <x:f>H52*I52</x:f>
        <x:v>18000</x:v>
      </x:c>
      <x:c r="N52" s="12" t="n">
        <x:f>IF(L52="Completed",ROUND(M52*(1-K52),2),0)</x:f>
        <x:v>17100</x:v>
      </x:c>
      <x:c r="O52" s="12" t="n">
        <x:f>IF(L52="Completed",H52*J52,0)</x:f>
        <x:v>10000</x:v>
      </x:c>
      <x:c r="P52" s="12" t="n">
        <x:f>N52-O52</x:f>
        <x:v>7100</x:v>
      </x:c>
    </x:row>
    <x:row r="53" ht="21" customHeight="1">
      <x:c r="A53" s="7" t="n">
        <x:v>48</x:v>
      </x:c>
      <x:c r="B53" s="2" t="str">
        <x:v>TXN-00048</x:v>
      </x:c>
      <x:c r="C53" s="8" t="d">
        <x:v>2025-01-22T00:00:00.000Z</x:v>
      </x:c>
      <x:c r="D53" s="2" t="str">
        <x:v>Kano</x:v>
      </x:c>
      <x:c r="E53" s="2" t="str">
        <x:v>Electronics</x:v>
      </x:c>
      <x:c r="F53" s="2" t="str">
        <x:v>Headphones</x:v>
      </x:c>
      <x:c r="G53" s="2" t="str">
        <x:v>Online</x:v>
      </x:c>
      <x:c r="H53" s="7" t="n">
        <x:v>1</x:v>
      </x:c>
      <x:c r="I53" s="9" t="n">
        <x:v>18000</x:v>
      </x:c>
      <x:c r="J53" s="9" t="n">
        <x:v>10500</x:v>
      </x:c>
      <x:c r="K53" s="10" t="n">
        <x:v>0</x:v>
      </x:c>
      <x:c r="L53" s="2" t="str">
        <x:v>Completed</x:v>
      </x:c>
      <x:c r="M53" s="12" t="n">
        <x:f>H53*I53</x:f>
        <x:v>18000</x:v>
      </x:c>
      <x:c r="N53" s="12" t="n">
        <x:f>IF(L53="Completed",ROUND(M53*(1-K53),2),0)</x:f>
        <x:v>18000</x:v>
      </x:c>
      <x:c r="O53" s="12" t="n">
        <x:f>IF(L53="Completed",H53*J53,0)</x:f>
        <x:v>10500</x:v>
      </x:c>
      <x:c r="P53" s="12" t="n">
        <x:f>N53-O53</x:f>
        <x:v>7500</x:v>
      </x:c>
    </x:row>
    <x:row r="54" ht="21" customHeight="1">
      <x:c r="A54" s="7" t="n">
        <x:v>49</x:v>
      </x:c>
      <x:c r="B54" s="2" t="str">
        <x:v>TXN-00049</x:v>
      </x:c>
      <x:c r="C54" s="8" t="d">
        <x:v>2025-01-22T00:00:00.000Z</x:v>
      </x:c>
      <x:c r="D54" s="2" t="str">
        <x:v>Lagos</x:v>
      </x:c>
      <x:c r="E54" s="2" t="str">
        <x:v>Fashion</x:v>
      </x:c>
      <x:c r="F54" s="2" t="str">
        <x:v>Handbag</x:v>
      </x:c>
      <x:c r="G54" s="2" t="str">
        <x:v>In-store</x:v>
      </x:c>
      <x:c r="H54" s="7" t="n">
        <x:v>2</x:v>
      </x:c>
      <x:c r="I54" s="9" t="n">
        <x:v>22000</x:v>
      </x:c>
      <x:c r="J54" s="9" t="n">
        <x:v>13500</x:v>
      </x:c>
      <x:c r="K54" s="10" t="n">
        <x:v>0.05</x:v>
      </x:c>
      <x:c r="L54" s="2" t="str">
        <x:v>Completed</x:v>
      </x:c>
      <x:c r="M54" s="12" t="n">
        <x:f>H54*I54</x:f>
        <x:v>44000</x:v>
      </x:c>
      <x:c r="N54" s="12" t="n">
        <x:f>IF(L54="Completed",ROUND(M54*(1-K54),2),0)</x:f>
        <x:v>41800</x:v>
      </x:c>
      <x:c r="O54" s="12" t="n">
        <x:f>IF(L54="Completed",H54*J54,0)</x:f>
        <x:v>27000</x:v>
      </x:c>
      <x:c r="P54" s="12" t="n">
        <x:f>N54-O54</x:f>
        <x:v>14800</x:v>
      </x:c>
    </x:row>
    <x:row r="55" ht="21" customHeight="1">
      <x:c r="A55" s="7" t="n">
        <x:v>50</x:v>
      </x:c>
      <x:c r="B55" s="2" t="str">
        <x:v>TXN-00050</x:v>
      </x:c>
      <x:c r="C55" s="8" t="d">
        <x:v>2025-01-09T00:00:00.000Z</x:v>
      </x:c>
      <x:c r="D55" s="2" t="str">
        <x:v>Kano</x:v>
      </x:c>
      <x:c r="E55" s="2" t="str">
        <x:v>Fashion</x:v>
      </x:c>
      <x:c r="F55" s="2" t="str">
        <x:v>T-shirt</x:v>
      </x:c>
      <x:c r="G55" s="2" t="str">
        <x:v>Online</x:v>
      </x:c>
      <x:c r="H55" s="7" t="n">
        <x:v>3</x:v>
      </x:c>
      <x:c r="I55" s="9" t="n">
        <x:v>9000</x:v>
      </x:c>
      <x:c r="J55" s="9" t="n">
        <x:v>5000</x:v>
      </x:c>
      <x:c r="K55" s="10" t="n">
        <x:v>0</x:v>
      </x:c>
      <x:c r="L55" s="2" t="str">
        <x:v>Completed</x:v>
      </x:c>
      <x:c r="M55" s="12" t="n">
        <x:f>H55*I55</x:f>
        <x:v>27000</x:v>
      </x:c>
      <x:c r="N55" s="12" t="n">
        <x:f>IF(L55="Completed",ROUND(M55*(1-K55),2),0)</x:f>
        <x:v>27000</x:v>
      </x:c>
      <x:c r="O55" s="12" t="n">
        <x:f>IF(L55="Completed",H55*J55,0)</x:f>
        <x:v>15000</x:v>
      </x:c>
      <x:c r="P55" s="12" t="n">
        <x:f>N55-O55</x:f>
        <x:v>12000</x:v>
      </x:c>
    </x:row>
    <x:row r="56" ht="21" customHeight="1">
      <x:c r="A56" s="7" t="n">
        <x:v>51</x:v>
      </x:c>
      <x:c r="B56" s="2" t="str">
        <x:v>TXN-00051</x:v>
      </x:c>
      <x:c r="C56" s="8" t="d">
        <x:v>2025-01-21T00:00:00.000Z</x:v>
      </x:c>
      <x:c r="D56" s="2" t="str">
        <x:v>Lagos</x:v>
      </x:c>
      <x:c r="E56" s="2" t="str">
        <x:v>Fashion</x:v>
      </x:c>
      <x:c r="F56" s="2" t="str">
        <x:v>Handbag</x:v>
      </x:c>
      <x:c r="G56" s="2" t="str">
        <x:v>In-store</x:v>
      </x:c>
      <x:c r="H56" s="7" t="n">
        <x:v>1</x:v>
      </x:c>
      <x:c r="I56" s="9" t="n">
        <x:v>22000</x:v>
      </x:c>
      <x:c r="J56" s="9" t="n">
        <x:v>13500</x:v>
      </x:c>
      <x:c r="K56" s="10" t="n">
        <x:v>0</x:v>
      </x:c>
      <x:c r="L56" s="2" t="str">
        <x:v>Returned</x:v>
      </x:c>
      <x:c r="M56" s="12" t="n">
        <x:f>H56*I56</x:f>
        <x:v>22000</x:v>
      </x:c>
      <x:c r="N56" s="12" t="n">
        <x:f>IF(L56="Completed",ROUND(M56*(1-K56),2),0)</x:f>
        <x:v>0</x:v>
      </x:c>
      <x:c r="O56" s="12" t="n">
        <x:f>IF(L56="Completed",H56*J56,0)</x:f>
        <x:v>0</x:v>
      </x:c>
      <x:c r="P56" s="12" t="n">
        <x:f>N56-O56</x:f>
        <x:v>0</x:v>
      </x:c>
    </x:row>
    <x:row r="57" ht="21" customHeight="1">
      <x:c r="A57" s="7" t="n">
        <x:v>52</x:v>
      </x:c>
      <x:c r="B57" s="2" t="str">
        <x:v>TXN-00052</x:v>
      </x:c>
      <x:c r="C57" s="8" t="d">
        <x:v>2025-01-29T00:00:00.000Z</x:v>
      </x:c>
      <x:c r="D57" s="2" t="str">
        <x:v>Abuja</x:v>
      </x:c>
      <x:c r="E57" s="2" t="str">
        <x:v>Fashion</x:v>
      </x:c>
      <x:c r="F57" s="2" t="str">
        <x:v>Sneakers</x:v>
      </x:c>
      <x:c r="G57" s="2" t="str">
        <x:v>Online</x:v>
      </x:c>
      <x:c r="H57" s="7" t="n">
        <x:v>2</x:v>
      </x:c>
      <x:c r="I57" s="9" t="n">
        <x:v>28000</x:v>
      </x:c>
      <x:c r="J57" s="9" t="n">
        <x:v>17500</x:v>
      </x:c>
      <x:c r="K57" s="10" t="n">
        <x:v>0</x:v>
      </x:c>
      <x:c r="L57" s="2" t="str">
        <x:v>Returned</x:v>
      </x:c>
      <x:c r="M57" s="12" t="n">
        <x:f>H57*I57</x:f>
        <x:v>56000</x:v>
      </x:c>
      <x:c r="N57" s="12" t="n">
        <x:f>IF(L57="Completed",ROUND(M57*(1-K57),2),0)</x:f>
        <x:v>0</x:v>
      </x:c>
      <x:c r="O57" s="12" t="n">
        <x:f>IF(L57="Completed",H57*J57,0)</x:f>
        <x:v>0</x:v>
      </x:c>
      <x:c r="P57" s="12" t="n">
        <x:f>N57-O57</x:f>
        <x:v>0</x:v>
      </x:c>
    </x:row>
    <x:row r="58" ht="21" customHeight="1">
      <x:c r="A58" s="7" t="n">
        <x:v>53</x:v>
      </x:c>
      <x:c r="B58" s="2" t="str">
        <x:v>TXN-00053</x:v>
      </x:c>
      <x:c r="C58" s="8" t="d">
        <x:v>2025-01-22T00:00:00.000Z</x:v>
      </x:c>
      <x:c r="D58" s="2" t="str">
        <x:v>Lagos</x:v>
      </x:c>
      <x:c r="E58" s="2" t="str">
        <x:v>Electronics</x:v>
      </x:c>
      <x:c r="F58" s="2" t="str">
        <x:v>Bluetooth speaker</x:v>
      </x:c>
      <x:c r="G58" s="2" t="str">
        <x:v>Online</x:v>
      </x:c>
      <x:c r="H58" s="7" t="n">
        <x:v>1</x:v>
      </x:c>
      <x:c r="I58" s="9" t="n">
        <x:v>26000</x:v>
      </x:c>
      <x:c r="J58" s="9" t="n">
        <x:v>17000</x:v>
      </x:c>
      <x:c r="K58" s="10" t="n">
        <x:v>0.05</x:v>
      </x:c>
      <x:c r="L58" s="2" t="str">
        <x:v>Completed</x:v>
      </x:c>
      <x:c r="M58" s="12" t="n">
        <x:f>H58*I58</x:f>
        <x:v>26000</x:v>
      </x:c>
      <x:c r="N58" s="12" t="n">
        <x:f>IF(L58="Completed",ROUND(M58*(1-K58),2),0)</x:f>
        <x:v>24700</x:v>
      </x:c>
      <x:c r="O58" s="12" t="n">
        <x:f>IF(L58="Completed",H58*J58,0)</x:f>
        <x:v>17000</x:v>
      </x:c>
      <x:c r="P58" s="12" t="n">
        <x:f>N58-O58</x:f>
        <x:v>7700</x:v>
      </x:c>
    </x:row>
    <x:row r="59" ht="21" customHeight="1">
      <x:c r="A59" s="7" t="n">
        <x:v>54</x:v>
      </x:c>
      <x:c r="B59" s="2" t="str">
        <x:v>TXN-00054</x:v>
      </x:c>
      <x:c r="C59" s="8" t="d">
        <x:v>2025-01-23T00:00:00.000Z</x:v>
      </x:c>
      <x:c r="D59" s="2" t="str">
        <x:v>Lagos</x:v>
      </x:c>
      <x:c r="E59" s="2" t="str">
        <x:v>Electronics</x:v>
      </x:c>
      <x:c r="F59" s="2" t="str">
        <x:v>Headphones</x:v>
      </x:c>
      <x:c r="G59" s="2" t="str">
        <x:v>In-store</x:v>
      </x:c>
      <x:c r="H59" s="7" t="n">
        <x:v>3</x:v>
      </x:c>
      <x:c r="I59" s="9" t="n">
        <x:v>18000</x:v>
      </x:c>
      <x:c r="J59" s="9" t="n">
        <x:v>10500</x:v>
      </x:c>
      <x:c r="K59" s="10" t="n">
        <x:v>0</x:v>
      </x:c>
      <x:c r="L59" s="2" t="str">
        <x:v>Completed</x:v>
      </x:c>
      <x:c r="M59" s="12" t="n">
        <x:f>H59*I59</x:f>
        <x:v>54000</x:v>
      </x:c>
      <x:c r="N59" s="12" t="n">
        <x:f>IF(L59="Completed",ROUND(M59*(1-K59),2),0)</x:f>
        <x:v>54000</x:v>
      </x:c>
      <x:c r="O59" s="12" t="n">
        <x:f>IF(L59="Completed",H59*J59,0)</x:f>
        <x:v>31500</x:v>
      </x:c>
      <x:c r="P59" s="12" t="n">
        <x:f>N59-O59</x:f>
        <x:v>22500</x:v>
      </x:c>
    </x:row>
    <x:row r="60" ht="21" customHeight="1">
      <x:c r="A60" s="7" t="n">
        <x:v>55</x:v>
      </x:c>
      <x:c r="B60" s="2" t="str">
        <x:v>TXN-00055</x:v>
      </x:c>
      <x:c r="C60" s="8" t="d">
        <x:v>2025-01-05T00:00:00.000Z</x:v>
      </x:c>
      <x:c r="D60" s="2" t="str">
        <x:v>Kano</x:v>
      </x:c>
      <x:c r="E60" s="2" t="str">
        <x:v>Electronics</x:v>
      </x:c>
      <x:c r="F60" s="2" t="str">
        <x:v>Power bank</x:v>
      </x:c>
      <x:c r="G60" s="2" t="str">
        <x:v>In-store</x:v>
      </x:c>
      <x:c r="H60" s="7" t="n">
        <x:v>1</x:v>
      </x:c>
      <x:c r="I60" s="9" t="n">
        <x:v>15000</x:v>
      </x:c>
      <x:c r="J60" s="9" t="n">
        <x:v>9500</x:v>
      </x:c>
      <x:c r="K60" s="10" t="n">
        <x:v>0.05</x:v>
      </x:c>
      <x:c r="L60" s="2" t="str">
        <x:v>Completed</x:v>
      </x:c>
      <x:c r="M60" s="12" t="n">
        <x:f>H60*I60</x:f>
        <x:v>15000</x:v>
      </x:c>
      <x:c r="N60" s="12" t="n">
        <x:f>IF(L60="Completed",ROUND(M60*(1-K60),2),0)</x:f>
        <x:v>14250</x:v>
      </x:c>
      <x:c r="O60" s="12" t="n">
        <x:f>IF(L60="Completed",H60*J60,0)</x:f>
        <x:v>9500</x:v>
      </x:c>
      <x:c r="P60" s="12" t="n">
        <x:f>N60-O60</x:f>
        <x:v>4750</x:v>
      </x:c>
    </x:row>
    <x:row r="61" ht="21" customHeight="1">
      <x:c r="A61" s="7" t="n">
        <x:v>56</x:v>
      </x:c>
      <x:c r="B61" s="2" t="str">
        <x:v>TXN-00056</x:v>
      </x:c>
      <x:c r="C61" s="8" t="d">
        <x:v>2025-01-22T00:00:00.000Z</x:v>
      </x:c>
      <x:c r="D61" s="2" t="str">
        <x:v>Kano</x:v>
      </x:c>
      <x:c r="E61" s="2" t="str">
        <x:v>Beauty</x:v>
      </x:c>
      <x:c r="F61" s="2" t="str">
        <x:v>Perfume</x:v>
      </x:c>
      <x:c r="G61" s="2" t="str">
        <x:v>In-store</x:v>
      </x:c>
      <x:c r="H61" s="7" t="n">
        <x:v>1</x:v>
      </x:c>
      <x:c r="I61" s="9" t="n">
        <x:v>17000</x:v>
      </x:c>
      <x:c r="J61" s="9" t="n">
        <x:v>9000</x:v>
      </x:c>
      <x:c r="K61" s="10" t="n">
        <x:v>0.1</x:v>
      </x:c>
      <x:c r="L61" s="2" t="str">
        <x:v>Completed</x:v>
      </x:c>
      <x:c r="M61" s="12" t="n">
        <x:f>H61*I61</x:f>
        <x:v>17000</x:v>
      </x:c>
      <x:c r="N61" s="12" t="n">
        <x:f>IF(L61="Completed",ROUND(M61*(1-K61),2),0)</x:f>
        <x:v>15300</x:v>
      </x:c>
      <x:c r="O61" s="12" t="n">
        <x:f>IF(L61="Completed",H61*J61,0)</x:f>
        <x:v>9000</x:v>
      </x:c>
      <x:c r="P61" s="12" t="n">
        <x:f>N61-O61</x:f>
        <x:v>6300</x:v>
      </x:c>
    </x:row>
    <x:row r="62" ht="21" customHeight="1">
      <x:c r="A62" s="7" t="n">
        <x:v>57</x:v>
      </x:c>
      <x:c r="B62" s="2" t="str">
        <x:v>TXN-00057</x:v>
      </x:c>
      <x:c r="C62" s="8" t="d">
        <x:v>2025-01-20T00:00:00.000Z</x:v>
      </x:c>
      <x:c r="D62" s="2" t="str">
        <x:v>Abuja</x:v>
      </x:c>
      <x:c r="E62" s="2" t="str">
        <x:v>Fashion</x:v>
      </x:c>
      <x:c r="F62" s="2" t="str">
        <x:v>Handbag</x:v>
      </x:c>
      <x:c r="G62" s="2" t="str">
        <x:v>Online</x:v>
      </x:c>
      <x:c r="H62" s="7" t="n">
        <x:v>3</x:v>
      </x:c>
      <x:c r="I62" s="9" t="n">
        <x:v>22000</x:v>
      </x:c>
      <x:c r="J62" s="9" t="n">
        <x:v>13500</x:v>
      </x:c>
      <x:c r="K62" s="10" t="n">
        <x:v>0</x:v>
      </x:c>
      <x:c r="L62" s="2" t="str">
        <x:v>Returned</x:v>
      </x:c>
      <x:c r="M62" s="12" t="n">
        <x:f>H62*I62</x:f>
        <x:v>66000</x:v>
      </x:c>
      <x:c r="N62" s="12" t="n">
        <x:f>IF(L62="Completed",ROUND(M62*(1-K62),2),0)</x:f>
        <x:v>0</x:v>
      </x:c>
      <x:c r="O62" s="12" t="n">
        <x:f>IF(L62="Completed",H62*J62,0)</x:f>
        <x:v>0</x:v>
      </x:c>
      <x:c r="P62" s="12" t="n">
        <x:f>N62-O62</x:f>
        <x:v>0</x:v>
      </x:c>
    </x:row>
    <x:row r="63" ht="21" customHeight="1">
      <x:c r="A63" s="7" t="n">
        <x:v>58</x:v>
      </x:c>
      <x:c r="B63" s="2" t="str">
        <x:v>TXN-00058</x:v>
      </x:c>
      <x:c r="C63" s="8" t="d">
        <x:v>2025-01-26T00:00:00.000Z</x:v>
      </x:c>
      <x:c r="D63" s="2" t="str">
        <x:v>Port Harcourt</x:v>
      </x:c>
      <x:c r="E63" s="2" t="str">
        <x:v>Fashion</x:v>
      </x:c>
      <x:c r="F63" s="2" t="str">
        <x:v>T-shirt</x:v>
      </x:c>
      <x:c r="G63" s="2" t="str">
        <x:v>In-store</x:v>
      </x:c>
      <x:c r="H63" s="7" t="n">
        <x:v>4</x:v>
      </x:c>
      <x:c r="I63" s="9" t="n">
        <x:v>9000</x:v>
      </x:c>
      <x:c r="J63" s="9" t="n">
        <x:v>5000</x:v>
      </x:c>
      <x:c r="K63" s="10" t="n">
        <x:v>0.05</x:v>
      </x:c>
      <x:c r="L63" s="2" t="str">
        <x:v>Completed</x:v>
      </x:c>
      <x:c r="M63" s="12" t="n">
        <x:f>H63*I63</x:f>
        <x:v>36000</x:v>
      </x:c>
      <x:c r="N63" s="12" t="n">
        <x:f>IF(L63="Completed",ROUND(M63*(1-K63),2),0)</x:f>
        <x:v>34200</x:v>
      </x:c>
      <x:c r="O63" s="12" t="n">
        <x:f>IF(L63="Completed",H63*J63,0)</x:f>
        <x:v>20000</x:v>
      </x:c>
      <x:c r="P63" s="12" t="n">
        <x:f>N63-O63</x:f>
        <x:v>14200</x:v>
      </x:c>
    </x:row>
    <x:row r="64" ht="21" customHeight="1">
      <x:c r="A64" s="7" t="n">
        <x:v>59</x:v>
      </x:c>
      <x:c r="B64" s="2" t="str">
        <x:v>TXN-00059</x:v>
      </x:c>
      <x:c r="C64" s="8" t="d">
        <x:v>2025-01-25T00:00:00.000Z</x:v>
      </x:c>
      <x:c r="D64" s="2" t="str">
        <x:v>Abuja</x:v>
      </x:c>
      <x:c r="E64" s="2" t="str">
        <x:v>Electronics</x:v>
      </x:c>
      <x:c r="F64" s="2" t="str">
        <x:v>Power bank</x:v>
      </x:c>
      <x:c r="G64" s="2" t="str">
        <x:v>In-store</x:v>
      </x:c>
      <x:c r="H64" s="7" t="n">
        <x:v>1</x:v>
      </x:c>
      <x:c r="I64" s="9" t="n">
        <x:v>15000</x:v>
      </x:c>
      <x:c r="J64" s="9" t="n">
        <x:v>9500</x:v>
      </x:c>
      <x:c r="K64" s="10" t="n">
        <x:v>0</x:v>
      </x:c>
      <x:c r="L64" s="2" t="str">
        <x:v>Completed</x:v>
      </x:c>
      <x:c r="M64" s="12" t="n">
        <x:f>H64*I64</x:f>
        <x:v>15000</x:v>
      </x:c>
      <x:c r="N64" s="12" t="n">
        <x:f>IF(L64="Completed",ROUND(M64*(1-K64),2),0)</x:f>
        <x:v>15000</x:v>
      </x:c>
      <x:c r="O64" s="12" t="n">
        <x:f>IF(L64="Completed",H64*J64,0)</x:f>
        <x:v>9500</x:v>
      </x:c>
      <x:c r="P64" s="12" t="n">
        <x:f>N64-O64</x:f>
        <x:v>5500</x:v>
      </x:c>
    </x:row>
    <x:row r="65" ht="21" customHeight="1">
      <x:c r="A65" s="7" t="n">
        <x:v>60</x:v>
      </x:c>
      <x:c r="B65" s="2" t="str">
        <x:v>TXN-00060</x:v>
      </x:c>
      <x:c r="C65" s="8" t="d">
        <x:v>2025-01-16T00:00:00.000Z</x:v>
      </x:c>
      <x:c r="D65" s="2" t="str">
        <x:v>Port Harcourt</x:v>
      </x:c>
      <x:c r="E65" s="2" t="str">
        <x:v>Electronics</x:v>
      </x:c>
      <x:c r="F65" s="2" t="str">
        <x:v>Bluetooth speaker</x:v>
      </x:c>
      <x:c r="G65" s="2" t="str">
        <x:v>Online</x:v>
      </x:c>
      <x:c r="H65" s="7" t="n">
        <x:v>2</x:v>
      </x:c>
      <x:c r="I65" s="9" t="n">
        <x:v>26000</x:v>
      </x:c>
      <x:c r="J65" s="9" t="n">
        <x:v>17000</x:v>
      </x:c>
      <x:c r="K65" s="10" t="n">
        <x:v>0</x:v>
      </x:c>
      <x:c r="L65" s="2" t="str">
        <x:v>Completed</x:v>
      </x:c>
      <x:c r="M65" s="12" t="n">
        <x:f>H65*I65</x:f>
        <x:v>52000</x:v>
      </x:c>
      <x:c r="N65" s="12" t="n">
        <x:f>IF(L65="Completed",ROUND(M65*(1-K65),2),0)</x:f>
        <x:v>52000</x:v>
      </x:c>
      <x:c r="O65" s="12" t="n">
        <x:f>IF(L65="Completed",H65*J65,0)</x:f>
        <x:v>34000</x:v>
      </x:c>
      <x:c r="P65" s="12" t="n">
        <x:f>N65-O65</x:f>
        <x:v>18000</x:v>
      </x:c>
    </x:row>
    <x:row r="66" ht="21" customHeight="1">
      <x:c r="A66" s="7" t="n">
        <x:v>61</x:v>
      </x:c>
      <x:c r="B66" s="2" t="str">
        <x:v>TXN-00061</x:v>
      </x:c>
      <x:c r="C66" s="8" t="d">
        <x:v>2025-01-04T00:00:00.000Z</x:v>
      </x:c>
      <x:c r="D66" s="2" t="str">
        <x:v>Lagos</x:v>
      </x:c>
      <x:c r="E66" s="2" t="str">
        <x:v>Home</x:v>
      </x:c>
      <x:c r="F66" s="2" t="str">
        <x:v>Bedsheet</x:v>
      </x:c>
      <x:c r="G66" s="2" t="str">
        <x:v>Online</x:v>
      </x:c>
      <x:c r="H66" s="7" t="n">
        <x:v>1</x:v>
      </x:c>
      <x:c r="I66" s="9" t="n">
        <x:v>14000</x:v>
      </x:c>
      <x:c r="J66" s="9" t="n">
        <x:v>8500</x:v>
      </x:c>
      <x:c r="K66" s="10" t="n">
        <x:v>0.05</x:v>
      </x:c>
      <x:c r="L66" s="2" t="str">
        <x:v>Completed</x:v>
      </x:c>
      <x:c r="M66" s="12" t="n">
        <x:f>H66*I66</x:f>
        <x:v>14000</x:v>
      </x:c>
      <x:c r="N66" s="12" t="n">
        <x:f>IF(L66="Completed",ROUND(M66*(1-K66),2),0)</x:f>
        <x:v>13300</x:v>
      </x:c>
      <x:c r="O66" s="12" t="n">
        <x:f>IF(L66="Completed",H66*J66,0)</x:f>
        <x:v>8500</x:v>
      </x:c>
      <x:c r="P66" s="12" t="n">
        <x:f>N66-O66</x:f>
        <x:v>4800</x:v>
      </x:c>
    </x:row>
    <x:row r="67" ht="21" customHeight="1">
      <x:c r="A67" s="7" t="n">
        <x:v>62</x:v>
      </x:c>
      <x:c r="B67" s="2" t="str">
        <x:v>TXN-00062</x:v>
      </x:c>
      <x:c r="C67" s="8" t="d">
        <x:v>2025-01-24T00:00:00.000Z</x:v>
      </x:c>
      <x:c r="D67" s="2" t="str">
        <x:v>Port Harcourt</x:v>
      </x:c>
      <x:c r="E67" s="2" t="str">
        <x:v>Fashion</x:v>
      </x:c>
      <x:c r="F67" s="2" t="str">
        <x:v>Handbag</x:v>
      </x:c>
      <x:c r="G67" s="2" t="str">
        <x:v>Online</x:v>
      </x:c>
      <x:c r="H67" s="7" t="n">
        <x:v>2</x:v>
      </x:c>
      <x:c r="I67" s="9" t="n">
        <x:v>22000</x:v>
      </x:c>
      <x:c r="J67" s="9" t="n">
        <x:v>13500</x:v>
      </x:c>
      <x:c r="K67" s="10" t="n">
        <x:v>0.05</x:v>
      </x:c>
      <x:c r="L67" s="2" t="str">
        <x:v>Completed</x:v>
      </x:c>
      <x:c r="M67" s="12" t="n">
        <x:f>H67*I67</x:f>
        <x:v>44000</x:v>
      </x:c>
      <x:c r="N67" s="12" t="n">
        <x:f>IF(L67="Completed",ROUND(M67*(1-K67),2),0)</x:f>
        <x:v>41800</x:v>
      </x:c>
      <x:c r="O67" s="12" t="n">
        <x:f>IF(L67="Completed",H67*J67,0)</x:f>
        <x:v>27000</x:v>
      </x:c>
      <x:c r="P67" s="12" t="n">
        <x:f>N67-O67</x:f>
        <x:v>14800</x:v>
      </x:c>
    </x:row>
    <x:row r="68" ht="21" customHeight="1">
      <x:c r="A68" s="7" t="n">
        <x:v>63</x:v>
      </x:c>
      <x:c r="B68" s="2" t="str">
        <x:v>TXN-00063</x:v>
      </x:c>
      <x:c r="C68" s="8" t="d">
        <x:v>2025-01-19T00:00:00.000Z</x:v>
      </x:c>
      <x:c r="D68" s="2" t="str">
        <x:v>Abuja</x:v>
      </x:c>
      <x:c r="E68" s="2" t="str">
        <x:v>Electronics</x:v>
      </x:c>
      <x:c r="F68" s="2" t="str">
        <x:v>Bluetooth speaker</x:v>
      </x:c>
      <x:c r="G68" s="2" t="str">
        <x:v>Online</x:v>
      </x:c>
      <x:c r="H68" s="7" t="n">
        <x:v>1</x:v>
      </x:c>
      <x:c r="I68" s="9" t="n">
        <x:v>26000</x:v>
      </x:c>
      <x:c r="J68" s="9" t="n">
        <x:v>17000</x:v>
      </x:c>
      <x:c r="K68" s="10" t="n">
        <x:v>0</x:v>
      </x:c>
      <x:c r="L68" s="2" t="str">
        <x:v>Completed</x:v>
      </x:c>
      <x:c r="M68" s="12" t="n">
        <x:f>H68*I68</x:f>
        <x:v>26000</x:v>
      </x:c>
      <x:c r="N68" s="12" t="n">
        <x:f>IF(L68="Completed",ROUND(M68*(1-K68),2),0)</x:f>
        <x:v>26000</x:v>
      </x:c>
      <x:c r="O68" s="12" t="n">
        <x:f>IF(L68="Completed",H68*J68,0)</x:f>
        <x:v>17000</x:v>
      </x:c>
      <x:c r="P68" s="12" t="n">
        <x:f>N68-O68</x:f>
        <x:v>9000</x:v>
      </x:c>
    </x:row>
    <x:row r="69" ht="21" customHeight="1">
      <x:c r="A69" s="7" t="n">
        <x:v>64</x:v>
      </x:c>
      <x:c r="B69" s="2" t="str">
        <x:v>TXN-00064</x:v>
      </x:c>
      <x:c r="C69" s="8" t="d">
        <x:v>2025-01-17T00:00:00.000Z</x:v>
      </x:c>
      <x:c r="D69" s="2" t="str">
        <x:v>Abuja</x:v>
      </x:c>
      <x:c r="E69" s="2" t="str">
        <x:v>Beauty</x:v>
      </x:c>
      <x:c r="F69" s="2" t="str">
        <x:v>Body wash</x:v>
      </x:c>
      <x:c r="G69" s="2" t="str">
        <x:v>Online</x:v>
      </x:c>
      <x:c r="H69" s="7" t="n">
        <x:v>1</x:v>
      </x:c>
      <x:c r="I69" s="9" t="n">
        <x:v>4500</x:v>
      </x:c>
      <x:c r="J69" s="9" t="n">
        <x:v>2300</x:v>
      </x:c>
      <x:c r="K69" s="10" t="n">
        <x:v>0</x:v>
      </x:c>
      <x:c r="L69" s="2" t="str">
        <x:v>Completed</x:v>
      </x:c>
      <x:c r="M69" s="12" t="n">
        <x:f>H69*I69</x:f>
        <x:v>4500</x:v>
      </x:c>
      <x:c r="N69" s="12" t="n">
        <x:f>IF(L69="Completed",ROUND(M69*(1-K69),2),0)</x:f>
        <x:v>4500</x:v>
      </x:c>
      <x:c r="O69" s="12" t="n">
        <x:f>IF(L69="Completed",H69*J69,0)</x:f>
        <x:v>2300</x:v>
      </x:c>
      <x:c r="P69" s="12" t="n">
        <x:f>N69-O69</x:f>
        <x:v>2200</x:v>
      </x:c>
    </x:row>
    <x:row r="70" ht="21" customHeight="1">
      <x:c r="A70" s="7" t="n">
        <x:v>65</x:v>
      </x:c>
      <x:c r="B70" s="2" t="str">
        <x:v>TXN-00065</x:v>
      </x:c>
      <x:c r="C70" s="8" t="d">
        <x:v>2025-01-28T00:00:00.000Z</x:v>
      </x:c>
      <x:c r="D70" s="2" t="str">
        <x:v>Abuja</x:v>
      </x:c>
      <x:c r="E70" s="2" t="str">
        <x:v>Home</x:v>
      </x:c>
      <x:c r="F70" s="2" t="str">
        <x:v>Bedsheet</x:v>
      </x:c>
      <x:c r="G70" s="2" t="str">
        <x:v>Online</x:v>
      </x:c>
      <x:c r="H70" s="7" t="n">
        <x:v>2</x:v>
      </x:c>
      <x:c r="I70" s="9" t="n">
        <x:v>14000</x:v>
      </x:c>
      <x:c r="J70" s="9" t="n">
        <x:v>8500</x:v>
      </x:c>
      <x:c r="K70" s="10" t="n">
        <x:v>0</x:v>
      </x:c>
      <x:c r="L70" s="2" t="str">
        <x:v>Completed</x:v>
      </x:c>
      <x:c r="M70" s="12" t="n">
        <x:f>H70*I70</x:f>
        <x:v>28000</x:v>
      </x:c>
      <x:c r="N70" s="12" t="n">
        <x:f>IF(L70="Completed",ROUND(M70*(1-K70),2),0)</x:f>
        <x:v>28000</x:v>
      </x:c>
      <x:c r="O70" s="12" t="n">
        <x:f>IF(L70="Completed",H70*J70,0)</x:f>
        <x:v>17000</x:v>
      </x:c>
      <x:c r="P70" s="12" t="n">
        <x:f>N70-O70</x:f>
        <x:v>11000</x:v>
      </x:c>
    </x:row>
    <x:row r="71" ht="21" customHeight="1">
      <x:c r="A71" s="7" t="n">
        <x:v>66</x:v>
      </x:c>
      <x:c r="B71" s="2" t="str">
        <x:v>TXN-00066</x:v>
      </x:c>
      <x:c r="C71" s="8" t="d">
        <x:v>2025-01-26T00:00:00.000Z</x:v>
      </x:c>
      <x:c r="D71" s="2" t="str">
        <x:v>Unknown</x:v>
      </x:c>
      <x:c r="E71" s="2" t="str">
        <x:v>Home</x:v>
      </x:c>
      <x:c r="F71" s="2" t="str">
        <x:v>Bedsheet</x:v>
      </x:c>
      <x:c r="G71" s="2" t="str">
        <x:v>In-store</x:v>
      </x:c>
      <x:c r="H71" s="7" t="n">
        <x:v>2</x:v>
      </x:c>
      <x:c r="I71" s="9" t="n">
        <x:v>14000</x:v>
      </x:c>
      <x:c r="J71" s="9" t="n">
        <x:v>8500</x:v>
      </x:c>
      <x:c r="K71" s="10" t="n">
        <x:v>0</x:v>
      </x:c>
      <x:c r="L71" s="2" t="str">
        <x:v>Completed</x:v>
      </x:c>
      <x:c r="M71" s="12" t="n">
        <x:f>H71*I71</x:f>
        <x:v>28000</x:v>
      </x:c>
      <x:c r="N71" s="12" t="n">
        <x:f>IF(L71="Completed",ROUND(M71*(1-K71),2),0)</x:f>
        <x:v>28000</x:v>
      </x:c>
      <x:c r="O71" s="12" t="n">
        <x:f>IF(L71="Completed",H71*J71,0)</x:f>
        <x:v>17000</x:v>
      </x:c>
      <x:c r="P71" s="12" t="n">
        <x:f>N71-O71</x:f>
        <x:v>11000</x:v>
      </x:c>
    </x:row>
    <x:row r="72" ht="21" customHeight="1">
      <x:c r="A72" s="7" t="n">
        <x:v>67</x:v>
      </x:c>
      <x:c r="B72" s="2" t="str">
        <x:v>TXN-00067</x:v>
      </x:c>
      <x:c r="C72" s="8" t="d">
        <x:v>2025-01-23T00:00:00.000Z</x:v>
      </x:c>
      <x:c r="D72" s="2" t="str">
        <x:v>Abuja</x:v>
      </x:c>
      <x:c r="E72" s="2" t="str">
        <x:v>Electronics</x:v>
      </x:c>
      <x:c r="F72" s="2" t="str">
        <x:v>Bluetooth speaker</x:v>
      </x:c>
      <x:c r="G72" s="2" t="str">
        <x:v>Online</x:v>
      </x:c>
      <x:c r="H72" s="7" t="n">
        <x:v>1</x:v>
      </x:c>
      <x:c r="I72" s="9" t="n">
        <x:v>26000</x:v>
      </x:c>
      <x:c r="J72" s="9" t="n">
        <x:v>17000</x:v>
      </x:c>
      <x:c r="K72" s="10" t="n">
        <x:v>0.05</x:v>
      </x:c>
      <x:c r="L72" s="2" t="str">
        <x:v>Completed</x:v>
      </x:c>
      <x:c r="M72" s="12" t="n">
        <x:f>H72*I72</x:f>
        <x:v>26000</x:v>
      </x:c>
      <x:c r="N72" s="12" t="n">
        <x:f>IF(L72="Completed",ROUND(M72*(1-K72),2),0)</x:f>
        <x:v>24700</x:v>
      </x:c>
      <x:c r="O72" s="12" t="n">
        <x:f>IF(L72="Completed",H72*J72,0)</x:f>
        <x:v>17000</x:v>
      </x:c>
      <x:c r="P72" s="12" t="n">
        <x:f>N72-O72</x:f>
        <x:v>7700</x:v>
      </x:c>
    </x:row>
    <x:row r="73" ht="21" customHeight="1">
      <x:c r="A73" s="7" t="n">
        <x:v>68</x:v>
      </x:c>
      <x:c r="B73" s="2" t="str">
        <x:v>TXN-00068</x:v>
      </x:c>
      <x:c r="C73" s="8" t="d">
        <x:v>2025-01-27T00:00:00.000Z</x:v>
      </x:c>
      <x:c r="D73" s="2" t="str">
        <x:v>Lagos</x:v>
      </x:c>
      <x:c r="E73" s="2" t="str">
        <x:v>Fashion</x:v>
      </x:c>
      <x:c r="F73" s="2" t="str">
        <x:v>T-shirt</x:v>
      </x:c>
      <x:c r="G73" s="2" t="str">
        <x:v>Online</x:v>
      </x:c>
      <x:c r="H73" s="7" t="n">
        <x:v>2</x:v>
      </x:c>
      <x:c r="I73" s="9" t="n">
        <x:v>9000</x:v>
      </x:c>
      <x:c r="J73" s="9" t="n">
        <x:v>5000</x:v>
      </x:c>
      <x:c r="K73" s="10" t="n">
        <x:v>0</x:v>
      </x:c>
      <x:c r="L73" s="2" t="str">
        <x:v>Completed</x:v>
      </x:c>
      <x:c r="M73" s="12" t="n">
        <x:f>H73*I73</x:f>
        <x:v>18000</x:v>
      </x:c>
      <x:c r="N73" s="12" t="n">
        <x:f>IF(L73="Completed",ROUND(M73*(1-K73),2),0)</x:f>
        <x:v>18000</x:v>
      </x:c>
      <x:c r="O73" s="12" t="n">
        <x:f>IF(L73="Completed",H73*J73,0)</x:f>
        <x:v>10000</x:v>
      </x:c>
      <x:c r="P73" s="12" t="n">
        <x:f>N73-O73</x:f>
        <x:v>8000</x:v>
      </x:c>
    </x:row>
    <x:row r="74" ht="21" customHeight="1">
      <x:c r="A74" s="7" t="n">
        <x:v>69</x:v>
      </x:c>
      <x:c r="B74" s="2" t="str">
        <x:v>TXN-00069</x:v>
      </x:c>
      <x:c r="C74" s="8" t="d">
        <x:v>2025-01-11T00:00:00.000Z</x:v>
      </x:c>
      <x:c r="D74" s="2" t="str">
        <x:v>Port Harcourt</x:v>
      </x:c>
      <x:c r="E74" s="2" t="str">
        <x:v>Fashion</x:v>
      </x:c>
      <x:c r="F74" s="2" t="str">
        <x:v>T-shirt</x:v>
      </x:c>
      <x:c r="G74" s="2" t="str">
        <x:v>In-store</x:v>
      </x:c>
      <x:c r="H74" s="7" t="n">
        <x:v>1</x:v>
      </x:c>
      <x:c r="I74" s="9" t="n">
        <x:v>9000</x:v>
      </x:c>
      <x:c r="J74" s="9" t="n">
        <x:v>5000</x:v>
      </x:c>
      <x:c r="K74" s="10" t="n">
        <x:v>0</x:v>
      </x:c>
      <x:c r="L74" s="2" t="str">
        <x:v>Completed</x:v>
      </x:c>
      <x:c r="M74" s="12" t="n">
        <x:f>H74*I74</x:f>
        <x:v>9000</x:v>
      </x:c>
      <x:c r="N74" s="12" t="n">
        <x:f>IF(L74="Completed",ROUND(M74*(1-K74),2),0)</x:f>
        <x:v>9000</x:v>
      </x:c>
      <x:c r="O74" s="12" t="n">
        <x:f>IF(L74="Completed",H74*J74,0)</x:f>
        <x:v>5000</x:v>
      </x:c>
      <x:c r="P74" s="12" t="n">
        <x:f>N74-O74</x:f>
        <x:v>4000</x:v>
      </x:c>
    </x:row>
    <x:row r="75" ht="21" customHeight="1">
      <x:c r="A75" s="7" t="n">
        <x:v>70</x:v>
      </x:c>
      <x:c r="B75" s="2" t="str">
        <x:v>TXN-00070</x:v>
      </x:c>
      <x:c r="C75" s="8" t="d">
        <x:v>2025-01-22T00:00:00.000Z</x:v>
      </x:c>
      <x:c r="D75" s="2" t="str">
        <x:v>Abuja</x:v>
      </x:c>
      <x:c r="E75" s="2" t="str">
        <x:v>Electronics</x:v>
      </x:c>
      <x:c r="F75" s="2" t="str">
        <x:v>Power bank</x:v>
      </x:c>
      <x:c r="G75" s="2" t="str">
        <x:v>In-store</x:v>
      </x:c>
      <x:c r="H75" s="7" t="n">
        <x:v>2</x:v>
      </x:c>
      <x:c r="I75" s="9" t="n">
        <x:v>15000</x:v>
      </x:c>
      <x:c r="J75" s="9" t="n">
        <x:v>9500</x:v>
      </x:c>
      <x:c r="K75" s="10" t="n">
        <x:v>0.05</x:v>
      </x:c>
      <x:c r="L75" s="2" t="str">
        <x:v>Completed</x:v>
      </x:c>
      <x:c r="M75" s="12" t="n">
        <x:f>H75*I75</x:f>
        <x:v>30000</x:v>
      </x:c>
      <x:c r="N75" s="12" t="n">
        <x:f>IF(L75="Completed",ROUND(M75*(1-K75),2),0)</x:f>
        <x:v>28500</x:v>
      </x:c>
      <x:c r="O75" s="12" t="n">
        <x:f>IF(L75="Completed",H75*J75,0)</x:f>
        <x:v>19000</x:v>
      </x:c>
      <x:c r="P75" s="12" t="n">
        <x:f>N75-O75</x:f>
        <x:v>9500</x:v>
      </x:c>
    </x:row>
    <x:row r="76" ht="21" customHeight="1">
      <x:c r="A76" s="7" t="n">
        <x:v>71</x:v>
      </x:c>
      <x:c r="B76" s="2" t="str">
        <x:v>TXN-00071</x:v>
      </x:c>
      <x:c r="C76" s="8" t="d">
        <x:v>2025-01-22T00:00:00.000Z</x:v>
      </x:c>
      <x:c r="D76" s="2" t="str">
        <x:v>Lagos</x:v>
      </x:c>
      <x:c r="E76" s="2" t="str">
        <x:v>Electronics</x:v>
      </x:c>
      <x:c r="F76" s="2" t="str">
        <x:v>Power bank</x:v>
      </x:c>
      <x:c r="G76" s="2" t="str">
        <x:v>In-store</x:v>
      </x:c>
      <x:c r="H76" s="7" t="n">
        <x:v>1</x:v>
      </x:c>
      <x:c r="I76" s="9" t="n">
        <x:v>15000</x:v>
      </x:c>
      <x:c r="J76" s="9" t="n">
        <x:v>9500</x:v>
      </x:c>
      <x:c r="K76" s="10" t="n">
        <x:v>0</x:v>
      </x:c>
      <x:c r="L76" s="2" t="str">
        <x:v>Completed</x:v>
      </x:c>
      <x:c r="M76" s="12" t="n">
        <x:f>H76*I76</x:f>
        <x:v>15000</x:v>
      </x:c>
      <x:c r="N76" s="12" t="n">
        <x:f>IF(L76="Completed",ROUND(M76*(1-K76),2),0)</x:f>
        <x:v>15000</x:v>
      </x:c>
      <x:c r="O76" s="12" t="n">
        <x:f>IF(L76="Completed",H76*J76,0)</x:f>
        <x:v>9500</x:v>
      </x:c>
      <x:c r="P76" s="12" t="n">
        <x:f>N76-O76</x:f>
        <x:v>5500</x:v>
      </x:c>
    </x:row>
    <x:row r="77" ht="21" customHeight="1">
      <x:c r="A77" s="7" t="n">
        <x:v>72</x:v>
      </x:c>
      <x:c r="B77" s="2" t="str">
        <x:v>TXN-00072</x:v>
      </x:c>
      <x:c r="C77" s="8" t="d">
        <x:v>2025-01-24T00:00:00.000Z</x:v>
      </x:c>
      <x:c r="D77" s="2" t="str">
        <x:v>Port Harcourt</x:v>
      </x:c>
      <x:c r="E77" s="2" t="str">
        <x:v>Electronics</x:v>
      </x:c>
      <x:c r="F77" s="2" t="str">
        <x:v>Power bank</x:v>
      </x:c>
      <x:c r="G77" s="2" t="str">
        <x:v>Online</x:v>
      </x:c>
      <x:c r="H77" s="7" t="n">
        <x:v>4</x:v>
      </x:c>
      <x:c r="I77" s="9" t="n">
        <x:v>15000</x:v>
      </x:c>
      <x:c r="J77" s="9" t="n">
        <x:v>9500</x:v>
      </x:c>
      <x:c r="K77" s="10" t="n">
        <x:v>0.15</x:v>
      </x:c>
      <x:c r="L77" s="2" t="str">
        <x:v>Completed</x:v>
      </x:c>
      <x:c r="M77" s="12" t="n">
        <x:f>H77*I77</x:f>
        <x:v>60000</x:v>
      </x:c>
      <x:c r="N77" s="12" t="n">
        <x:f>IF(L77="Completed",ROUND(M77*(1-K77),2),0)</x:f>
        <x:v>51000</x:v>
      </x:c>
      <x:c r="O77" s="12" t="n">
        <x:f>IF(L77="Completed",H77*J77,0)</x:f>
        <x:v>38000</x:v>
      </x:c>
      <x:c r="P77" s="12" t="n">
        <x:f>N77-O77</x:f>
        <x:v>13000</x:v>
      </x:c>
    </x:row>
    <x:row r="78" ht="21" customHeight="1">
      <x:c r="A78" s="7" t="n">
        <x:v>73</x:v>
      </x:c>
      <x:c r="B78" s="2" t="str">
        <x:v>TXN-00073</x:v>
      </x:c>
      <x:c r="C78" s="8" t="d">
        <x:v>2025-01-30T00:00:00.000Z</x:v>
      </x:c>
      <x:c r="D78" s="2" t="str">
        <x:v>Lagos</x:v>
      </x:c>
      <x:c r="E78" s="2" t="str">
        <x:v>Electronics</x:v>
      </x:c>
      <x:c r="F78" s="2" t="str">
        <x:v>Power bank</x:v>
      </x:c>
      <x:c r="G78" s="2" t="str">
        <x:v>In-store</x:v>
      </x:c>
      <x:c r="H78" s="7" t="n">
        <x:v>1</x:v>
      </x:c>
      <x:c r="I78" s="9" t="n">
        <x:v>15000</x:v>
      </x:c>
      <x:c r="J78" s="9" t="n">
        <x:v>9500</x:v>
      </x:c>
      <x:c r="K78" s="10" t="n">
        <x:v>0</x:v>
      </x:c>
      <x:c r="L78" s="2" t="str">
        <x:v>Completed</x:v>
      </x:c>
      <x:c r="M78" s="12" t="n">
        <x:f>H78*I78</x:f>
        <x:v>15000</x:v>
      </x:c>
      <x:c r="N78" s="12" t="n">
        <x:f>IF(L78="Completed",ROUND(M78*(1-K78),2),0)</x:f>
        <x:v>15000</x:v>
      </x:c>
      <x:c r="O78" s="12" t="n">
        <x:f>IF(L78="Completed",H78*J78,0)</x:f>
        <x:v>9500</x:v>
      </x:c>
      <x:c r="P78" s="12" t="n">
        <x:f>N78-O78</x:f>
        <x:v>5500</x:v>
      </x:c>
    </x:row>
    <x:row r="79" ht="21" customHeight="1">
      <x:c r="A79" s="7" t="n">
        <x:v>74</x:v>
      </x:c>
      <x:c r="B79" s="2" t="str">
        <x:v>TXN-00074</x:v>
      </x:c>
      <x:c r="C79" s="8" t="d">
        <x:v>2025-01-09T00:00:00.000Z</x:v>
      </x:c>
      <x:c r="D79" s="2" t="str">
        <x:v>Lagos</x:v>
      </x:c>
      <x:c r="E79" s="2" t="str">
        <x:v>Fashion</x:v>
      </x:c>
      <x:c r="F79" s="2" t="str">
        <x:v>T-shirt</x:v>
      </x:c>
      <x:c r="G79" s="2" t="str">
        <x:v>In-store</x:v>
      </x:c>
      <x:c r="H79" s="7" t="n">
        <x:v>2</x:v>
      </x:c>
      <x:c r="I79" s="9" t="n">
        <x:v>9000</x:v>
      </x:c>
      <x:c r="J79" s="9" t="n">
        <x:v>5000</x:v>
      </x:c>
      <x:c r="K79" s="10" t="n">
        <x:v>0</x:v>
      </x:c>
      <x:c r="L79" s="2" t="str">
        <x:v>Completed</x:v>
      </x:c>
      <x:c r="M79" s="12" t="n">
        <x:f>H79*I79</x:f>
        <x:v>18000</x:v>
      </x:c>
      <x:c r="N79" s="12" t="n">
        <x:f>IF(L79="Completed",ROUND(M79*(1-K79),2),0)</x:f>
        <x:v>18000</x:v>
      </x:c>
      <x:c r="O79" s="12" t="n">
        <x:f>IF(L79="Completed",H79*J79,0)</x:f>
        <x:v>10000</x:v>
      </x:c>
      <x:c r="P79" s="12" t="n">
        <x:f>N79-O79</x:f>
        <x:v>8000</x:v>
      </x:c>
    </x:row>
    <x:row r="80" ht="21" customHeight="1">
      <x:c r="A80" s="7" t="n">
        <x:v>75</x:v>
      </x:c>
      <x:c r="B80" s="2" t="str">
        <x:v>TXN-00075</x:v>
      </x:c>
      <x:c r="C80" s="8" t="d">
        <x:v>2025-01-14T00:00:00.000Z</x:v>
      </x:c>
      <x:c r="D80" s="2" t="str">
        <x:v>Lagos</x:v>
      </x:c>
      <x:c r="E80" s="2" t="str">
        <x:v>Home</x:v>
      </x:c>
      <x:c r="F80" s="2" t="str">
        <x:v>Cookware set</x:v>
      </x:c>
      <x:c r="G80" s="2" t="str">
        <x:v>In-store</x:v>
      </x:c>
      <x:c r="H80" s="7" t="n">
        <x:v>1</x:v>
      </x:c>
      <x:c r="I80" s="9" t="n">
        <x:v>35000</x:v>
      </x:c>
      <x:c r="J80" s="9" t="n">
        <x:v>22500</x:v>
      </x:c>
      <x:c r="K80" s="10" t="n">
        <x:v>0</x:v>
      </x:c>
      <x:c r="L80" s="2" t="str">
        <x:v>Completed</x:v>
      </x:c>
      <x:c r="M80" s="12" t="n">
        <x:f>H80*I80</x:f>
        <x:v>35000</x:v>
      </x:c>
      <x:c r="N80" s="12" t="n">
        <x:f>IF(L80="Completed",ROUND(M80*(1-K80),2),0)</x:f>
        <x:v>35000</x:v>
      </x:c>
      <x:c r="O80" s="12" t="n">
        <x:f>IF(L80="Completed",H80*J80,0)</x:f>
        <x:v>22500</x:v>
      </x:c>
      <x:c r="P80" s="12" t="n">
        <x:f>N80-O80</x:f>
        <x:v>12500</x:v>
      </x:c>
    </x:row>
    <x:row r="81" ht="21" customHeight="1">
      <x:c r="A81" s="7" t="n">
        <x:v>76</x:v>
      </x:c>
      <x:c r="B81" s="2" t="str">
        <x:v>TXN-00076</x:v>
      </x:c>
      <x:c r="C81" s="8" t="d">
        <x:v>2025-01-12T00:00:00.000Z</x:v>
      </x:c>
      <x:c r="D81" s="2" t="str">
        <x:v>Lagos</x:v>
      </x:c>
      <x:c r="E81" s="2" t="str">
        <x:v>Beauty</x:v>
      </x:c>
      <x:c r="F81" s="2" t="str">
        <x:v>Perfume</x:v>
      </x:c>
      <x:c r="G81" s="2" t="str">
        <x:v>Online</x:v>
      </x:c>
      <x:c r="H81" s="7" t="n">
        <x:v>2</x:v>
      </x:c>
      <x:c r="I81" s="9" t="n">
        <x:v>17000</x:v>
      </x:c>
      <x:c r="J81" s="9" t="n">
        <x:v>9000</x:v>
      </x:c>
      <x:c r="K81" s="10" t="n">
        <x:v>0</x:v>
      </x:c>
      <x:c r="L81" s="2" t="str">
        <x:v>Completed</x:v>
      </x:c>
      <x:c r="M81" s="12" t="n">
        <x:f>H81*I81</x:f>
        <x:v>34000</x:v>
      </x:c>
      <x:c r="N81" s="12" t="n">
        <x:f>IF(L81="Completed",ROUND(M81*(1-K81),2),0)</x:f>
        <x:v>34000</x:v>
      </x:c>
      <x:c r="O81" s="12" t="n">
        <x:f>IF(L81="Completed",H81*J81,0)</x:f>
        <x:v>18000</x:v>
      </x:c>
      <x:c r="P81" s="12" t="n">
        <x:f>N81-O81</x:f>
        <x:v>16000</x:v>
      </x:c>
    </x:row>
    <x:row r="82" ht="21" customHeight="1">
      <x:c r="A82" s="7" t="n">
        <x:v>77</x:v>
      </x:c>
      <x:c r="B82" s="2" t="str">
        <x:v>TXN-00077</x:v>
      </x:c>
      <x:c r="C82" s="8" t="d">
        <x:v>2025-01-19T00:00:00.000Z</x:v>
      </x:c>
      <x:c r="D82" s="2" t="str">
        <x:v>Port Harcourt</x:v>
      </x:c>
      <x:c r="E82" s="2" t="str">
        <x:v>Fashion</x:v>
      </x:c>
      <x:c r="F82" s="2" t="str">
        <x:v>T-shirt</x:v>
      </x:c>
      <x:c r="G82" s="2" t="str">
        <x:v>Online</x:v>
      </x:c>
      <x:c r="H82" s="7" t="n">
        <x:v>2</x:v>
      </x:c>
      <x:c r="I82" s="9" t="n">
        <x:v>9000</x:v>
      </x:c>
      <x:c r="J82" s="9" t="n">
        <x:v>5000</x:v>
      </x:c>
      <x:c r="K82" s="10" t="n">
        <x:v>0</x:v>
      </x:c>
      <x:c r="L82" s="2" t="str">
        <x:v>Completed</x:v>
      </x:c>
      <x:c r="M82" s="12" t="n">
        <x:f>H82*I82</x:f>
        <x:v>18000</x:v>
      </x:c>
      <x:c r="N82" s="12" t="n">
        <x:f>IF(L82="Completed",ROUND(M82*(1-K82),2),0)</x:f>
        <x:v>18000</x:v>
      </x:c>
      <x:c r="O82" s="12" t="n">
        <x:f>IF(L82="Completed",H82*J82,0)</x:f>
        <x:v>10000</x:v>
      </x:c>
      <x:c r="P82" s="12" t="n">
        <x:f>N82-O82</x:f>
        <x:v>8000</x:v>
      </x:c>
    </x:row>
    <x:row r="83" ht="21" customHeight="1">
      <x:c r="A83" s="7" t="n">
        <x:v>78</x:v>
      </x:c>
      <x:c r="B83" s="2" t="str">
        <x:v>TXN-00078</x:v>
      </x:c>
      <x:c r="C83" s="8" t="d">
        <x:v>2025-01-13T00:00:00.000Z</x:v>
      </x:c>
      <x:c r="D83" s="2" t="str">
        <x:v>Abuja</x:v>
      </x:c>
      <x:c r="E83" s="2" t="str">
        <x:v>Fashion</x:v>
      </x:c>
      <x:c r="F83" s="2" t="str">
        <x:v>T-shirt</x:v>
      </x:c>
      <x:c r="G83" s="2" t="str">
        <x:v>Online</x:v>
      </x:c>
      <x:c r="H83" s="7" t="n">
        <x:v>2</x:v>
      </x:c>
      <x:c r="I83" s="9" t="n">
        <x:v>9000</x:v>
      </x:c>
      <x:c r="J83" s="9" t="n">
        <x:v>5000</x:v>
      </x:c>
      <x:c r="K83" s="10" t="n">
        <x:v>0</x:v>
      </x:c>
      <x:c r="L83" s="2" t="str">
        <x:v>Completed</x:v>
      </x:c>
      <x:c r="M83" s="12" t="n">
        <x:f>H83*I83</x:f>
        <x:v>18000</x:v>
      </x:c>
      <x:c r="N83" s="12" t="n">
        <x:f>IF(L83="Completed",ROUND(M83*(1-K83),2),0)</x:f>
        <x:v>18000</x:v>
      </x:c>
      <x:c r="O83" s="12" t="n">
        <x:f>IF(L83="Completed",H83*J83,0)</x:f>
        <x:v>10000</x:v>
      </x:c>
      <x:c r="P83" s="12" t="n">
        <x:f>N83-O83</x:f>
        <x:v>8000</x:v>
      </x:c>
    </x:row>
    <x:row r="84" ht="21" customHeight="1">
      <x:c r="A84" s="7" t="n">
        <x:v>79</x:v>
      </x:c>
      <x:c r="B84" s="2" t="str">
        <x:v>TXN-00079</x:v>
      </x:c>
      <x:c r="C84" s="8" t="d">
        <x:v>2025-01-16T00:00:00.000Z</x:v>
      </x:c>
      <x:c r="D84" s="2" t="str">
        <x:v>Port Harcourt</x:v>
      </x:c>
      <x:c r="E84" s="2" t="str">
        <x:v>Beauty</x:v>
      </x:c>
      <x:c r="F84" s="2" t="str">
        <x:v>Moisturizer</x:v>
      </x:c>
      <x:c r="G84" s="2" t="str">
        <x:v>In-store</x:v>
      </x:c>
      <x:c r="H84" s="7" t="n">
        <x:v>1</x:v>
      </x:c>
      <x:c r="I84" s="9" t="n">
        <x:v>6500</x:v>
      </x:c>
      <x:c r="J84" s="9" t="n">
        <x:v>3500</x:v>
      </x:c>
      <x:c r="K84" s="10" t="n">
        <x:v>0</x:v>
      </x:c>
      <x:c r="L84" s="2" t="str">
        <x:v>Completed</x:v>
      </x:c>
      <x:c r="M84" s="12" t="n">
        <x:f>H84*I84</x:f>
        <x:v>6500</x:v>
      </x:c>
      <x:c r="N84" s="12" t="n">
        <x:f>IF(L84="Completed",ROUND(M84*(1-K84),2),0)</x:f>
        <x:v>6500</x:v>
      </x:c>
      <x:c r="O84" s="12" t="n">
        <x:f>IF(L84="Completed",H84*J84,0)</x:f>
        <x:v>3500</x:v>
      </x:c>
      <x:c r="P84" s="12" t="n">
        <x:f>N84-O84</x:f>
        <x:v>3000</x:v>
      </x:c>
    </x:row>
    <x:row r="85" ht="21" customHeight="1">
      <x:c r="A85" s="7" t="n">
        <x:v>80</x:v>
      </x:c>
      <x:c r="B85" s="2" t="str">
        <x:v>TXN-00080</x:v>
      </x:c>
      <x:c r="C85" s="8" t="d">
        <x:v>2025-01-23T00:00:00.000Z</x:v>
      </x:c>
      <x:c r="D85" s="2" t="str">
        <x:v>Port Harcourt</x:v>
      </x:c>
      <x:c r="E85" s="2" t="str">
        <x:v>Electronics</x:v>
      </x:c>
      <x:c r="F85" s="2" t="str">
        <x:v>Bluetooth speaker</x:v>
      </x:c>
      <x:c r="G85" s="2" t="str">
        <x:v>Online</x:v>
      </x:c>
      <x:c r="H85" s="7" t="n">
        <x:v>1</x:v>
      </x:c>
      <x:c r="I85" s="9" t="n">
        <x:v>26000</x:v>
      </x:c>
      <x:c r="J85" s="9" t="n">
        <x:v>17000</x:v>
      </x:c>
      <x:c r="K85" s="10" t="n">
        <x:v>0</x:v>
      </x:c>
      <x:c r="L85" s="2" t="str">
        <x:v>Completed</x:v>
      </x:c>
      <x:c r="M85" s="12" t="n">
        <x:f>H85*I85</x:f>
        <x:v>26000</x:v>
      </x:c>
      <x:c r="N85" s="12" t="n">
        <x:f>IF(L85="Completed",ROUND(M85*(1-K85),2),0)</x:f>
        <x:v>26000</x:v>
      </x:c>
      <x:c r="O85" s="12" t="n">
        <x:f>IF(L85="Completed",H85*J85,0)</x:f>
        <x:v>17000</x:v>
      </x:c>
      <x:c r="P85" s="12" t="n">
        <x:f>N85-O85</x:f>
        <x:v>9000</x:v>
      </x:c>
    </x:row>
    <x:row r="86" ht="21" customHeight="1">
      <x:c r="A86" s="7" t="n">
        <x:v>81</x:v>
      </x:c>
      <x:c r="B86" s="2" t="str">
        <x:v>TXN-00081</x:v>
      </x:c>
      <x:c r="C86" s="8" t="d">
        <x:v>2025-01-30T00:00:00.000Z</x:v>
      </x:c>
      <x:c r="D86" s="2" t="str">
        <x:v>Abuja</x:v>
      </x:c>
      <x:c r="E86" s="2" t="str">
        <x:v>Electronics</x:v>
      </x:c>
      <x:c r="F86" s="2" t="str">
        <x:v>Headphones</x:v>
      </x:c>
      <x:c r="G86" s="2" t="str">
        <x:v>Online</x:v>
      </x:c>
      <x:c r="H86" s="7" t="n">
        <x:v>2</x:v>
      </x:c>
      <x:c r="I86" s="9" t="n">
        <x:v>18000</x:v>
      </x:c>
      <x:c r="J86" s="9" t="n">
        <x:v>10500</x:v>
      </x:c>
      <x:c r="K86" s="10" t="n">
        <x:v>0.05</x:v>
      </x:c>
      <x:c r="L86" s="2" t="str">
        <x:v>Completed</x:v>
      </x:c>
      <x:c r="M86" s="12" t="n">
        <x:f>H86*I86</x:f>
        <x:v>36000</x:v>
      </x:c>
      <x:c r="N86" s="12" t="n">
        <x:f>IF(L86="Completed",ROUND(M86*(1-K86),2),0)</x:f>
        <x:v>34200</x:v>
      </x:c>
      <x:c r="O86" s="12" t="n">
        <x:f>IF(L86="Completed",H86*J86,0)</x:f>
        <x:v>21000</x:v>
      </x:c>
      <x:c r="P86" s="12" t="n">
        <x:f>N86-O86</x:f>
        <x:v>13200</x:v>
      </x:c>
    </x:row>
    <x:row r="87" ht="21" customHeight="1">
      <x:c r="A87" s="7" t="n">
        <x:v>82</x:v>
      </x:c>
      <x:c r="B87" s="2" t="str">
        <x:v>TXN-00082</x:v>
      </x:c>
      <x:c r="C87" s="8" t="d">
        <x:v>2025-01-20T00:00:00.000Z</x:v>
      </x:c>
      <x:c r="D87" s="2" t="str">
        <x:v>Lagos</x:v>
      </x:c>
      <x:c r="E87" s="2" t="str">
        <x:v>Electronics</x:v>
      </x:c>
      <x:c r="F87" s="2" t="str">
        <x:v>Headphones</x:v>
      </x:c>
      <x:c r="G87" s="2" t="str">
        <x:v>Online</x:v>
      </x:c>
      <x:c r="H87" s="7" t="n">
        <x:v>1</x:v>
      </x:c>
      <x:c r="I87" s="9" t="n">
        <x:v>18000</x:v>
      </x:c>
      <x:c r="J87" s="9" t="n">
        <x:v>10500</x:v>
      </x:c>
      <x:c r="K87" s="10" t="n">
        <x:v>0.05</x:v>
      </x:c>
      <x:c r="L87" s="2" t="str">
        <x:v>Completed</x:v>
      </x:c>
      <x:c r="M87" s="12" t="n">
        <x:f>H87*I87</x:f>
        <x:v>18000</x:v>
      </x:c>
      <x:c r="N87" s="12" t="n">
        <x:f>IF(L87="Completed",ROUND(M87*(1-K87),2),0)</x:f>
        <x:v>17100</x:v>
      </x:c>
      <x:c r="O87" s="12" t="n">
        <x:f>IF(L87="Completed",H87*J87,0)</x:f>
        <x:v>10500</x:v>
      </x:c>
      <x:c r="P87" s="12" t="n">
        <x:f>N87-O87</x:f>
        <x:v>6600</x:v>
      </x:c>
    </x:row>
    <x:row r="88" ht="21" customHeight="1">
      <x:c r="A88" s="7" t="n">
        <x:v>83</x:v>
      </x:c>
      <x:c r="B88" s="2" t="str">
        <x:v>TXN-00083</x:v>
      </x:c>
      <x:c r="C88" s="8" t="d">
        <x:v>2025-01-20T00:00:00.000Z</x:v>
      </x:c>
      <x:c r="D88" s="2" t="str">
        <x:v>Port Harcourt</x:v>
      </x:c>
      <x:c r="E88" s="2" t="str">
        <x:v>Fashion</x:v>
      </x:c>
      <x:c r="F88" s="2" t="str">
        <x:v>T-shirt</x:v>
      </x:c>
      <x:c r="G88" s="2" t="str">
        <x:v>Online</x:v>
      </x:c>
      <x:c r="H88" s="7" t="n">
        <x:v>2</x:v>
      </x:c>
      <x:c r="I88" s="9" t="n">
        <x:v>9000</x:v>
      </x:c>
      <x:c r="J88" s="9" t="n">
        <x:v>5000</x:v>
      </x:c>
      <x:c r="K88" s="10" t="n">
        <x:v>0</x:v>
      </x:c>
      <x:c r="L88" s="2" t="str">
        <x:v>Completed</x:v>
      </x:c>
      <x:c r="M88" s="12" t="n">
        <x:f>H88*I88</x:f>
        <x:v>18000</x:v>
      </x:c>
      <x:c r="N88" s="12" t="n">
        <x:f>IF(L88="Completed",ROUND(M88*(1-K88),2),0)</x:f>
        <x:v>18000</x:v>
      </x:c>
      <x:c r="O88" s="12" t="n">
        <x:f>IF(L88="Completed",H88*J88,0)</x:f>
        <x:v>10000</x:v>
      </x:c>
      <x:c r="P88" s="12" t="n">
        <x:f>N88-O88</x:f>
        <x:v>8000</x:v>
      </x:c>
    </x:row>
    <x:row r="89" ht="21" customHeight="1">
      <x:c r="A89" s="7" t="n">
        <x:v>84</x:v>
      </x:c>
      <x:c r="B89" s="2" t="str">
        <x:v>TXN-00084</x:v>
      </x:c>
      <x:c r="C89" s="8" t="d">
        <x:v>2025-01-05T00:00:00.000Z</x:v>
      </x:c>
      <x:c r="D89" s="2" t="str">
        <x:v>Port Harcourt</x:v>
      </x:c>
      <x:c r="E89" s="2" t="str">
        <x:v>Electronics</x:v>
      </x:c>
      <x:c r="F89" s="2" t="str">
        <x:v>Bluetooth speaker</x:v>
      </x:c>
      <x:c r="G89" s="2" t="str">
        <x:v>Online</x:v>
      </x:c>
      <x:c r="H89" s="7" t="n">
        <x:v>2</x:v>
      </x:c>
      <x:c r="I89" s="9" t="n">
        <x:v>26000</x:v>
      </x:c>
      <x:c r="J89" s="9" t="n">
        <x:v>17000</x:v>
      </x:c>
      <x:c r="K89" s="10" t="n">
        <x:v>0</x:v>
      </x:c>
      <x:c r="L89" s="2" t="str">
        <x:v>Completed</x:v>
      </x:c>
      <x:c r="M89" s="12" t="n">
        <x:f>H89*I89</x:f>
        <x:v>52000</x:v>
      </x:c>
      <x:c r="N89" s="12" t="n">
        <x:f>IF(L89="Completed",ROUND(M89*(1-K89),2),0)</x:f>
        <x:v>52000</x:v>
      </x:c>
      <x:c r="O89" s="12" t="n">
        <x:f>IF(L89="Completed",H89*J89,0)</x:f>
        <x:v>34000</x:v>
      </x:c>
      <x:c r="P89" s="12" t="n">
        <x:f>N89-O89</x:f>
        <x:v>18000</x:v>
      </x:c>
    </x:row>
    <x:row r="90" ht="21" customHeight="1">
      <x:c r="A90" s="7" t="n">
        <x:v>85</x:v>
      </x:c>
      <x:c r="B90" s="2" t="str">
        <x:v>TXN-00085</x:v>
      </x:c>
      <x:c r="C90" s="8" t="d">
        <x:v>2025-01-27T00:00:00.000Z</x:v>
      </x:c>
      <x:c r="D90" s="2" t="str">
        <x:v>Lagos</x:v>
      </x:c>
      <x:c r="E90" s="2" t="str">
        <x:v>Fashion</x:v>
      </x:c>
      <x:c r="F90" s="2" t="str">
        <x:v>T-shirt</x:v>
      </x:c>
      <x:c r="G90" s="2" t="str">
        <x:v>Online</x:v>
      </x:c>
      <x:c r="H90" s="7" t="n">
        <x:v>1</x:v>
      </x:c>
      <x:c r="I90" s="9" t="n">
        <x:v>9000</x:v>
      </x:c>
      <x:c r="J90" s="9" t="n">
        <x:v>5000</x:v>
      </x:c>
      <x:c r="K90" s="10" t="n">
        <x:v>0</x:v>
      </x:c>
      <x:c r="L90" s="2" t="str">
        <x:v>Completed</x:v>
      </x:c>
      <x:c r="M90" s="12" t="n">
        <x:f>H90*I90</x:f>
        <x:v>9000</x:v>
      </x:c>
      <x:c r="N90" s="12" t="n">
        <x:f>IF(L90="Completed",ROUND(M90*(1-K90),2),0)</x:f>
        <x:v>9000</x:v>
      </x:c>
      <x:c r="O90" s="12" t="n">
        <x:f>IF(L90="Completed",H90*J90,0)</x:f>
        <x:v>5000</x:v>
      </x:c>
      <x:c r="P90" s="12" t="n">
        <x:f>N90-O90</x:f>
        <x:v>4000</x:v>
      </x:c>
    </x:row>
    <x:row r="91" ht="21" customHeight="1">
      <x:c r="A91" s="7" t="n">
        <x:v>86</x:v>
      </x:c>
      <x:c r="B91" s="2" t="str">
        <x:v>TXN-00086</x:v>
      </x:c>
      <x:c r="C91" s="8" t="d">
        <x:v>2025-01-18T00:00:00.000Z</x:v>
      </x:c>
      <x:c r="D91" s="2" t="str">
        <x:v>Abuja</x:v>
      </x:c>
      <x:c r="E91" s="2" t="str">
        <x:v>Fashion</x:v>
      </x:c>
      <x:c r="F91" s="2" t="str">
        <x:v>Handbag</x:v>
      </x:c>
      <x:c r="G91" s="2" t="str">
        <x:v>Online</x:v>
      </x:c>
      <x:c r="H91" s="7" t="n">
        <x:v>1</x:v>
      </x:c>
      <x:c r="I91" s="9" t="n">
        <x:v>22000</x:v>
      </x:c>
      <x:c r="J91" s="9" t="n">
        <x:v>13500</x:v>
      </x:c>
      <x:c r="K91" s="10" t="n">
        <x:v>0</x:v>
      </x:c>
      <x:c r="L91" s="2" t="str">
        <x:v>Returned</x:v>
      </x:c>
      <x:c r="M91" s="12" t="n">
        <x:f>H91*I91</x:f>
        <x:v>22000</x:v>
      </x:c>
      <x:c r="N91" s="12" t="n">
        <x:f>IF(L91="Completed",ROUND(M91*(1-K91),2),0)</x:f>
        <x:v>0</x:v>
      </x:c>
      <x:c r="O91" s="12" t="n">
        <x:f>IF(L91="Completed",H91*J91,0)</x:f>
        <x:v>0</x:v>
      </x:c>
      <x:c r="P91" s="12" t="n">
        <x:f>N91-O91</x:f>
        <x:v>0</x:v>
      </x:c>
    </x:row>
    <x:row r="92" ht="21" customHeight="1">
      <x:c r="A92" s="7" t="n">
        <x:v>87</x:v>
      </x:c>
      <x:c r="B92" s="2" t="str">
        <x:v>TXN-00087</x:v>
      </x:c>
      <x:c r="C92" s="8" t="d">
        <x:v>2025-01-30T00:00:00.000Z</x:v>
      </x:c>
      <x:c r="D92" s="2" t="str">
        <x:v>Lagos</x:v>
      </x:c>
      <x:c r="E92" s="2" t="str">
        <x:v>Fashion</x:v>
      </x:c>
      <x:c r="F92" s="2" t="str">
        <x:v>Handbag</x:v>
      </x:c>
      <x:c r="G92" s="2" t="str">
        <x:v>Online</x:v>
      </x:c>
      <x:c r="H92" s="7" t="n">
        <x:v>2</x:v>
      </x:c>
      <x:c r="I92" s="9" t="n">
        <x:v>22000</x:v>
      </x:c>
      <x:c r="J92" s="9" t="n">
        <x:v>13500</x:v>
      </x:c>
      <x:c r="K92" s="10" t="n">
        <x:v>0</x:v>
      </x:c>
      <x:c r="L92" s="2" t="str">
        <x:v>Completed</x:v>
      </x:c>
      <x:c r="M92" s="12" t="n">
        <x:f>H92*I92</x:f>
        <x:v>44000</x:v>
      </x:c>
      <x:c r="N92" s="12" t="n">
        <x:f>IF(L92="Completed",ROUND(M92*(1-K92),2),0)</x:f>
        <x:v>44000</x:v>
      </x:c>
      <x:c r="O92" s="12" t="n">
        <x:f>IF(L92="Completed",H92*J92,0)</x:f>
        <x:v>27000</x:v>
      </x:c>
      <x:c r="P92" s="12" t="n">
        <x:f>N92-O92</x:f>
        <x:v>17000</x:v>
      </x:c>
    </x:row>
    <x:row r="93" ht="21" customHeight="1">
      <x:c r="A93" s="7" t="n">
        <x:v>88</x:v>
      </x:c>
      <x:c r="B93" s="2" t="str">
        <x:v>TXN-00088</x:v>
      </x:c>
      <x:c r="C93" s="8" t="d">
        <x:v>2025-01-02T00:00:00.000Z</x:v>
      </x:c>
      <x:c r="D93" s="2" t="str">
        <x:v>Lagos</x:v>
      </x:c>
      <x:c r="E93" s="2" t="str">
        <x:v>Home</x:v>
      </x:c>
      <x:c r="F93" s="2" t="str">
        <x:v>Desk lamp</x:v>
      </x:c>
      <x:c r="G93" s="2" t="str">
        <x:v>In-store</x:v>
      </x:c>
      <x:c r="H93" s="7" t="n">
        <x:v>2</x:v>
      </x:c>
      <x:c r="I93" s="9" t="n">
        <x:v>12000</x:v>
      </x:c>
      <x:c r="J93" s="9" t="n">
        <x:v>7200</x:v>
      </x:c>
      <x:c r="K93" s="10" t="n">
        <x:v>0</x:v>
      </x:c>
      <x:c r="L93" s="2" t="str">
        <x:v>Completed</x:v>
      </x:c>
      <x:c r="M93" s="12" t="n">
        <x:f>H93*I93</x:f>
        <x:v>24000</x:v>
      </x:c>
      <x:c r="N93" s="12" t="n">
        <x:f>IF(L93="Completed",ROUND(M93*(1-K93),2),0)</x:f>
        <x:v>24000</x:v>
      </x:c>
      <x:c r="O93" s="12" t="n">
        <x:f>IF(L93="Completed",H93*J93,0)</x:f>
        <x:v>14400</x:v>
      </x:c>
      <x:c r="P93" s="12" t="n">
        <x:f>N93-O93</x:f>
        <x:v>9600</x:v>
      </x:c>
    </x:row>
    <x:row r="94" ht="21" customHeight="1">
      <x:c r="A94" s="7" t="n">
        <x:v>89</x:v>
      </x:c>
      <x:c r="B94" s="2" t="str">
        <x:v>TXN-00089</x:v>
      </x:c>
      <x:c r="C94" s="8" t="d">
        <x:v>2025-01-03T00:00:00.000Z</x:v>
      </x:c>
      <x:c r="D94" s="2" t="str">
        <x:v>Port Harcourt</x:v>
      </x:c>
      <x:c r="E94" s="2" t="str">
        <x:v>Electronics</x:v>
      </x:c>
      <x:c r="F94" s="2" t="str">
        <x:v>Headphones</x:v>
      </x:c>
      <x:c r="G94" s="2" t="str">
        <x:v>Online</x:v>
      </x:c>
      <x:c r="H94" s="7" t="n">
        <x:v>1</x:v>
      </x:c>
      <x:c r="I94" s="9" t="n">
        <x:v>18000</x:v>
      </x:c>
      <x:c r="J94" s="9" t="n">
        <x:v>10500</x:v>
      </x:c>
      <x:c r="K94" s="10" t="n">
        <x:v>0</x:v>
      </x:c>
      <x:c r="L94" s="2" t="str">
        <x:v>Completed</x:v>
      </x:c>
      <x:c r="M94" s="12" t="n">
        <x:f>H94*I94</x:f>
        <x:v>18000</x:v>
      </x:c>
      <x:c r="N94" s="12" t="n">
        <x:f>IF(L94="Completed",ROUND(M94*(1-K94),2),0)</x:f>
        <x:v>18000</x:v>
      </x:c>
      <x:c r="O94" s="12" t="n">
        <x:f>IF(L94="Completed",H94*J94,0)</x:f>
        <x:v>10500</x:v>
      </x:c>
      <x:c r="P94" s="12" t="n">
        <x:f>N94-O94</x:f>
        <x:v>7500</x:v>
      </x:c>
    </x:row>
    <x:row r="95" ht="21" customHeight="1">
      <x:c r="A95" s="7" t="n">
        <x:v>90</x:v>
      </x:c>
      <x:c r="B95" s="2" t="str">
        <x:v>TXN-00090</x:v>
      </x:c>
      <x:c r="C95" s="8" t="d">
        <x:v>2025-01-21T00:00:00.000Z</x:v>
      </x:c>
      <x:c r="D95" s="2" t="str">
        <x:v>Lagos</x:v>
      </x:c>
      <x:c r="E95" s="2" t="str">
        <x:v>Electronics</x:v>
      </x:c>
      <x:c r="F95" s="2" t="str">
        <x:v>Power bank</x:v>
      </x:c>
      <x:c r="G95" s="2" t="str">
        <x:v>In-store</x:v>
      </x:c>
      <x:c r="H95" s="7" t="n">
        <x:v>4</x:v>
      </x:c>
      <x:c r="I95" s="9" t="n">
        <x:v>15000</x:v>
      </x:c>
      <x:c r="J95" s="9" t="n">
        <x:v>9500</x:v>
      </x:c>
      <x:c r="K95" s="10" t="n">
        <x:v>0</x:v>
      </x:c>
      <x:c r="L95" s="2" t="str">
        <x:v>Completed</x:v>
      </x:c>
      <x:c r="M95" s="12" t="n">
        <x:f>H95*I95</x:f>
        <x:v>60000</x:v>
      </x:c>
      <x:c r="N95" s="12" t="n">
        <x:f>IF(L95="Completed",ROUND(M95*(1-K95),2),0)</x:f>
        <x:v>60000</x:v>
      </x:c>
      <x:c r="O95" s="12" t="n">
        <x:f>IF(L95="Completed",H95*J95,0)</x:f>
        <x:v>38000</x:v>
      </x:c>
      <x:c r="P95" s="12" t="n">
        <x:f>N95-O95</x:f>
        <x:v>22000</x:v>
      </x:c>
    </x:row>
    <x:row r="96" ht="21" customHeight="1">
      <x:c r="A96" s="7" t="n">
        <x:v>91</x:v>
      </x:c>
      <x:c r="B96" s="2" t="str">
        <x:v>TXN-00091</x:v>
      </x:c>
      <x:c r="C96" s="8" t="d">
        <x:v>2025-01-21T00:00:00.000Z</x:v>
      </x:c>
      <x:c r="D96" s="2" t="str">
        <x:v>Lagos</x:v>
      </x:c>
      <x:c r="E96" s="2" t="str">
        <x:v>Electronics</x:v>
      </x:c>
      <x:c r="F96" s="2" t="str">
        <x:v>Power bank</x:v>
      </x:c>
      <x:c r="G96" s="2" t="str">
        <x:v>Online</x:v>
      </x:c>
      <x:c r="H96" s="7" t="n">
        <x:v>1</x:v>
      </x:c>
      <x:c r="I96" s="9" t="n">
        <x:v>15000</x:v>
      </x:c>
      <x:c r="J96" s="9" t="n">
        <x:v>9500</x:v>
      </x:c>
      <x:c r="K96" s="10" t="n">
        <x:v>0</x:v>
      </x:c>
      <x:c r="L96" s="2" t="str">
        <x:v>Completed</x:v>
      </x:c>
      <x:c r="M96" s="12" t="n">
        <x:f>H96*I96</x:f>
        <x:v>15000</x:v>
      </x:c>
      <x:c r="N96" s="12" t="n">
        <x:f>IF(L96="Completed",ROUND(M96*(1-K96),2),0)</x:f>
        <x:v>15000</x:v>
      </x:c>
      <x:c r="O96" s="12" t="n">
        <x:f>IF(L96="Completed",H96*J96,0)</x:f>
        <x:v>9500</x:v>
      </x:c>
      <x:c r="P96" s="12" t="n">
        <x:f>N96-O96</x:f>
        <x:v>5500</x:v>
      </x:c>
    </x:row>
    <x:row r="97" ht="21" customHeight="1">
      <x:c r="A97" s="7" t="n">
        <x:v>92</x:v>
      </x:c>
      <x:c r="B97" s="2" t="str">
        <x:v>TXN-00092</x:v>
      </x:c>
      <x:c r="C97" s="8" t="d">
        <x:v>2025-01-04T00:00:00.000Z</x:v>
      </x:c>
      <x:c r="D97" s="2" t="str">
        <x:v>Lagos</x:v>
      </x:c>
      <x:c r="E97" s="2" t="str">
        <x:v>Beauty</x:v>
      </x:c>
      <x:c r="F97" s="2" t="str">
        <x:v>Perfume</x:v>
      </x:c>
      <x:c r="G97" s="2" t="str">
        <x:v>Online</x:v>
      </x:c>
      <x:c r="H97" s="7" t="n">
        <x:v>1</x:v>
      </x:c>
      <x:c r="I97" s="9" t="n">
        <x:v>17000</x:v>
      </x:c>
      <x:c r="J97" s="9" t="n">
        <x:v>9000</x:v>
      </x:c>
      <x:c r="K97" s="10" t="n">
        <x:v>0</x:v>
      </x:c>
      <x:c r="L97" s="2" t="str">
        <x:v>Returned</x:v>
      </x:c>
      <x:c r="M97" s="12" t="n">
        <x:f>H97*I97</x:f>
        <x:v>17000</x:v>
      </x:c>
      <x:c r="N97" s="12" t="n">
        <x:f>IF(L97="Completed",ROUND(M97*(1-K97),2),0)</x:f>
        <x:v>0</x:v>
      </x:c>
      <x:c r="O97" s="12" t="n">
        <x:f>IF(L97="Completed",H97*J97,0)</x:f>
        <x:v>0</x:v>
      </x:c>
      <x:c r="P97" s="12" t="n">
        <x:f>N97-O97</x:f>
        <x:v>0</x:v>
      </x:c>
    </x:row>
    <x:row r="98" ht="21" customHeight="1">
      <x:c r="A98" s="7" t="n">
        <x:v>93</x:v>
      </x:c>
      <x:c r="B98" s="2" t="str">
        <x:v>TXN-00093</x:v>
      </x:c>
      <x:c r="C98" s="8" t="d">
        <x:v>2025-01-27T00:00:00.000Z</x:v>
      </x:c>
      <x:c r="D98" s="2" t="str">
        <x:v>Lagos</x:v>
      </x:c>
      <x:c r="E98" s="2" t="str">
        <x:v>Home</x:v>
      </x:c>
      <x:c r="F98" s="2" t="str">
        <x:v>Bedsheet</x:v>
      </x:c>
      <x:c r="G98" s="2" t="str">
        <x:v>In-store</x:v>
      </x:c>
      <x:c r="H98" s="7" t="n">
        <x:v>2</x:v>
      </x:c>
      <x:c r="I98" s="9" t="n">
        <x:v>14000</x:v>
      </x:c>
      <x:c r="J98" s="9" t="n">
        <x:v>8500</x:v>
      </x:c>
      <x:c r="K98" s="10" t="n">
        <x:v>0.1</x:v>
      </x:c>
      <x:c r="L98" s="2" t="str">
        <x:v>Completed</x:v>
      </x:c>
      <x:c r="M98" s="12" t="n">
        <x:f>H98*I98</x:f>
        <x:v>28000</x:v>
      </x:c>
      <x:c r="N98" s="12" t="n">
        <x:f>IF(L98="Completed",ROUND(M98*(1-K98),2),0)</x:f>
        <x:v>25200</x:v>
      </x:c>
      <x:c r="O98" s="12" t="n">
        <x:f>IF(L98="Completed",H98*J98,0)</x:f>
        <x:v>17000</x:v>
      </x:c>
      <x:c r="P98" s="12" t="n">
        <x:f>N98-O98</x:f>
        <x:v>8200</x:v>
      </x:c>
    </x:row>
    <x:row r="99" ht="21" customHeight="1">
      <x:c r="A99" s="7" t="n">
        <x:v>94</x:v>
      </x:c>
      <x:c r="B99" s="2" t="str">
        <x:v>TXN-00094</x:v>
      </x:c>
      <x:c r="C99" s="8" t="d">
        <x:v>2025-01-06T00:00:00.000Z</x:v>
      </x:c>
      <x:c r="D99" s="2" t="str">
        <x:v>Lagos</x:v>
      </x:c>
      <x:c r="E99" s="2" t="str">
        <x:v>Fashion</x:v>
      </x:c>
      <x:c r="F99" s="2" t="str">
        <x:v>Sneakers</x:v>
      </x:c>
      <x:c r="G99" s="2" t="str">
        <x:v>In-store</x:v>
      </x:c>
      <x:c r="H99" s="7" t="n">
        <x:v>2</x:v>
      </x:c>
      <x:c r="I99" s="9" t="n">
        <x:v>28000</x:v>
      </x:c>
      <x:c r="J99" s="9" t="n">
        <x:v>17500</x:v>
      </x:c>
      <x:c r="K99" s="10" t="n">
        <x:v>0.05</x:v>
      </x:c>
      <x:c r="L99" s="2" t="str">
        <x:v>Returned</x:v>
      </x:c>
      <x:c r="M99" s="12" t="n">
        <x:f>H99*I99</x:f>
        <x:v>56000</x:v>
      </x:c>
      <x:c r="N99" s="12" t="n">
        <x:f>IF(L99="Completed",ROUND(M99*(1-K99),2),0)</x:f>
        <x:v>0</x:v>
      </x:c>
      <x:c r="O99" s="12" t="n">
        <x:f>IF(L99="Completed",H99*J99,0)</x:f>
        <x:v>0</x:v>
      </x:c>
      <x:c r="P99" s="12" t="n">
        <x:f>N99-O99</x:f>
        <x:v>0</x:v>
      </x:c>
    </x:row>
    <x:row r="100" ht="21" customHeight="1">
      <x:c r="A100" s="7" t="n">
        <x:v>95</x:v>
      </x:c>
      <x:c r="B100" s="2" t="str">
        <x:v>TXN-00095</x:v>
      </x:c>
      <x:c r="C100" s="8" t="d">
        <x:v>2025-01-25T00:00:00.000Z</x:v>
      </x:c>
      <x:c r="D100" s="2" t="str">
        <x:v>Lagos</x:v>
      </x:c>
      <x:c r="E100" s="2" t="str">
        <x:v>Electronics</x:v>
      </x:c>
      <x:c r="F100" s="2" t="str">
        <x:v>Power bank</x:v>
      </x:c>
      <x:c r="G100" s="2" t="str">
        <x:v>Online</x:v>
      </x:c>
      <x:c r="H100" s="7" t="n">
        <x:v>1</x:v>
      </x:c>
      <x:c r="I100" s="9" t="n">
        <x:v>15000</x:v>
      </x:c>
      <x:c r="J100" s="9" t="n">
        <x:v>9500</x:v>
      </x:c>
      <x:c r="K100" s="10" t="n">
        <x:v>0.1</x:v>
      </x:c>
      <x:c r="L100" s="2" t="str">
        <x:v>Returned</x:v>
      </x:c>
      <x:c r="M100" s="12" t="n">
        <x:f>H100*I100</x:f>
        <x:v>15000</x:v>
      </x:c>
      <x:c r="N100" s="12" t="n">
        <x:f>IF(L100="Completed",ROUND(M100*(1-K100),2),0)</x:f>
        <x:v>0</x:v>
      </x:c>
      <x:c r="O100" s="12" t="n">
        <x:f>IF(L100="Completed",H100*J100,0)</x:f>
        <x:v>0</x:v>
      </x:c>
      <x:c r="P100" s="12" t="n">
        <x:f>N100-O100</x:f>
        <x:v>0</x:v>
      </x:c>
    </x:row>
    <x:row r="101" ht="21" customHeight="1">
      <x:c r="A101" s="7" t="n">
        <x:v>96</x:v>
      </x:c>
      <x:c r="B101" s="2" t="str">
        <x:v>TXN-00096</x:v>
      </x:c>
      <x:c r="C101" s="8" t="d">
        <x:v>2025-01-25T00:00:00.000Z</x:v>
      </x:c>
      <x:c r="D101" s="2" t="str">
        <x:v>Kano</x:v>
      </x:c>
      <x:c r="E101" s="2" t="str">
        <x:v>Electronics</x:v>
      </x:c>
      <x:c r="F101" s="2" t="str">
        <x:v>Power bank</x:v>
      </x:c>
      <x:c r="G101" s="2" t="str">
        <x:v>Online</x:v>
      </x:c>
      <x:c r="H101" s="7" t="n">
        <x:v>1</x:v>
      </x:c>
      <x:c r="I101" s="9" t="n">
        <x:v>15000</x:v>
      </x:c>
      <x:c r="J101" s="9" t="n">
        <x:v>9500</x:v>
      </x:c>
      <x:c r="K101" s="10" t="n">
        <x:v>0.15</x:v>
      </x:c>
      <x:c r="L101" s="2" t="str">
        <x:v>Completed</x:v>
      </x:c>
      <x:c r="M101" s="12" t="n">
        <x:f>H101*I101</x:f>
        <x:v>15000</x:v>
      </x:c>
      <x:c r="N101" s="12" t="n">
        <x:f>IF(L101="Completed",ROUND(M101*(1-K101),2),0)</x:f>
        <x:v>12750</x:v>
      </x:c>
      <x:c r="O101" s="12" t="n">
        <x:f>IF(L101="Completed",H101*J101,0)</x:f>
        <x:v>9500</x:v>
      </x:c>
      <x:c r="P101" s="12" t="n">
        <x:f>N101-O101</x:f>
        <x:v>3250</x:v>
      </x:c>
    </x:row>
    <x:row r="102" ht="21" customHeight="1">
      <x:c r="A102" s="7" t="n">
        <x:v>97</x:v>
      </x:c>
      <x:c r="B102" s="2" t="str">
        <x:v>TXN-00097</x:v>
      </x:c>
      <x:c r="C102" s="8" t="d">
        <x:v>2025-02-25T00:00:00.000Z</x:v>
      </x:c>
      <x:c r="D102" s="2" t="str">
        <x:v>Lagos</x:v>
      </x:c>
      <x:c r="E102" s="2" t="str">
        <x:v>Home</x:v>
      </x:c>
      <x:c r="F102" s="2" t="str">
        <x:v>Desk lamp</x:v>
      </x:c>
      <x:c r="G102" s="2" t="str">
        <x:v>In-store</x:v>
      </x:c>
      <x:c r="H102" s="7" t="n">
        <x:v>2</x:v>
      </x:c>
      <x:c r="I102" s="9" t="n">
        <x:v>12000</x:v>
      </x:c>
      <x:c r="J102" s="9" t="n">
        <x:v>7200</x:v>
      </x:c>
      <x:c r="K102" s="10" t="n">
        <x:v>0.05</x:v>
      </x:c>
      <x:c r="L102" s="2" t="str">
        <x:v>Completed</x:v>
      </x:c>
      <x:c r="M102" s="12" t="n">
        <x:f>H102*I102</x:f>
        <x:v>24000</x:v>
      </x:c>
      <x:c r="N102" s="12" t="n">
        <x:f>IF(L102="Completed",ROUND(M102*(1-K102),2),0)</x:f>
        <x:v>22800</x:v>
      </x:c>
      <x:c r="O102" s="12" t="n">
        <x:f>IF(L102="Completed",H102*J102,0)</x:f>
        <x:v>14400</x:v>
      </x:c>
      <x:c r="P102" s="12" t="n">
        <x:f>N102-O102</x:f>
        <x:v>8400</x:v>
      </x:c>
    </x:row>
    <x:row r="103" ht="21" customHeight="1">
      <x:c r="A103" s="7" t="n">
        <x:v>98</x:v>
      </x:c>
      <x:c r="B103" s="2" t="str">
        <x:v>TXN-00098</x:v>
      </x:c>
      <x:c r="C103" s="8" t="d">
        <x:v>2025-02-01T00:00:00.000Z</x:v>
      </x:c>
      <x:c r="D103" s="2" t="str">
        <x:v>Lagos</x:v>
      </x:c>
      <x:c r="E103" s="2" t="str">
        <x:v>Fashion</x:v>
      </x:c>
      <x:c r="F103" s="2" t="str">
        <x:v>Sneakers</x:v>
      </x:c>
      <x:c r="G103" s="2" t="str">
        <x:v>Online</x:v>
      </x:c>
      <x:c r="H103" s="7" t="n">
        <x:v>3</x:v>
      </x:c>
      <x:c r="I103" s="9" t="n">
        <x:v>28000</x:v>
      </x:c>
      <x:c r="J103" s="9" t="n">
        <x:v>17500</x:v>
      </x:c>
      <x:c r="K103" s="10" t="n">
        <x:v>0</x:v>
      </x:c>
      <x:c r="L103" s="2" t="str">
        <x:v>Completed</x:v>
      </x:c>
      <x:c r="M103" s="12" t="n">
        <x:f>H103*I103</x:f>
        <x:v>84000</x:v>
      </x:c>
      <x:c r="N103" s="12" t="n">
        <x:f>IF(L103="Completed",ROUND(M103*(1-K103),2),0)</x:f>
        <x:v>84000</x:v>
      </x:c>
      <x:c r="O103" s="12" t="n">
        <x:f>IF(L103="Completed",H103*J103,0)</x:f>
        <x:v>52500</x:v>
      </x:c>
      <x:c r="P103" s="12" t="n">
        <x:f>N103-O103</x:f>
        <x:v>31500</x:v>
      </x:c>
    </x:row>
    <x:row r="104" ht="21" customHeight="1">
      <x:c r="A104" s="7" t="n">
        <x:v>99</x:v>
      </x:c>
      <x:c r="B104" s="2" t="str">
        <x:v>TXN-00099</x:v>
      </x:c>
      <x:c r="C104" s="8" t="d">
        <x:v>2025-02-06T00:00:00.000Z</x:v>
      </x:c>
      <x:c r="D104" s="2" t="str">
        <x:v>Lagos</x:v>
      </x:c>
      <x:c r="E104" s="2" t="str">
        <x:v>Fashion</x:v>
      </x:c>
      <x:c r="F104" s="2" t="str">
        <x:v>Handbag</x:v>
      </x:c>
      <x:c r="G104" s="2" t="str">
        <x:v>In-store</x:v>
      </x:c>
      <x:c r="H104" s="7" t="n">
        <x:v>1</x:v>
      </x:c>
      <x:c r="I104" s="9" t="n">
        <x:v>22000</x:v>
      </x:c>
      <x:c r="J104" s="9" t="n">
        <x:v>13500</x:v>
      </x:c>
      <x:c r="K104" s="10" t="n">
        <x:v>0.05</x:v>
      </x:c>
      <x:c r="L104" s="2" t="str">
        <x:v>Completed</x:v>
      </x:c>
      <x:c r="M104" s="12" t="n">
        <x:f>H104*I104</x:f>
        <x:v>22000</x:v>
      </x:c>
      <x:c r="N104" s="12" t="n">
        <x:f>IF(L104="Completed",ROUND(M104*(1-K104),2),0)</x:f>
        <x:v>20900</x:v>
      </x:c>
      <x:c r="O104" s="12" t="n">
        <x:f>IF(L104="Completed",H104*J104,0)</x:f>
        <x:v>13500</x:v>
      </x:c>
      <x:c r="P104" s="12" t="n">
        <x:f>N104-O104</x:f>
        <x:v>7400</x:v>
      </x:c>
    </x:row>
    <x:row r="105" ht="21" customHeight="1">
      <x:c r="A105" s="7" t="n">
        <x:v>100</x:v>
      </x:c>
      <x:c r="B105" s="2" t="str">
        <x:v>TXN-00100</x:v>
      </x:c>
      <x:c r="C105" s="8" t="d">
        <x:v>2025-02-22T00:00:00.000Z</x:v>
      </x:c>
      <x:c r="D105" s="2" t="str">
        <x:v>Kano</x:v>
      </x:c>
      <x:c r="E105" s="2" t="str">
        <x:v>Fashion</x:v>
      </x:c>
      <x:c r="F105" s="2" t="str">
        <x:v>Handbag</x:v>
      </x:c>
      <x:c r="G105" s="2" t="str">
        <x:v>Online</x:v>
      </x:c>
      <x:c r="H105" s="7" t="n">
        <x:v>3</x:v>
      </x:c>
      <x:c r="I105" s="9" t="n">
        <x:v>22000</x:v>
      </x:c>
      <x:c r="J105" s="9" t="n">
        <x:v>13500</x:v>
      </x:c>
      <x:c r="K105" s="10" t="n">
        <x:v>0</x:v>
      </x:c>
      <x:c r="L105" s="2" t="str">
        <x:v>Completed</x:v>
      </x:c>
      <x:c r="M105" s="12" t="n">
        <x:f>H105*I105</x:f>
        <x:v>66000</x:v>
      </x:c>
      <x:c r="N105" s="12" t="n">
        <x:f>IF(L105="Completed",ROUND(M105*(1-K105),2),0)</x:f>
        <x:v>66000</x:v>
      </x:c>
      <x:c r="O105" s="12" t="n">
        <x:f>IF(L105="Completed",H105*J105,0)</x:f>
        <x:v>40500</x:v>
      </x:c>
      <x:c r="P105" s="12" t="n">
        <x:f>N105-O105</x:f>
        <x:v>25500</x:v>
      </x:c>
    </x:row>
    <x:row r="106" ht="21" customHeight="1">
      <x:c r="A106" s="7" t="n">
        <x:v>101</x:v>
      </x:c>
      <x:c r="B106" s="2" t="str">
        <x:v>TXN-00101</x:v>
      </x:c>
      <x:c r="C106" s="8" t="d">
        <x:v>2025-02-21T00:00:00.000Z</x:v>
      </x:c>
      <x:c r="D106" s="2" t="str">
        <x:v>Abuja</x:v>
      </x:c>
      <x:c r="E106" s="2" t="str">
        <x:v>Electronics</x:v>
      </x:c>
      <x:c r="F106" s="2" t="str">
        <x:v>Bluetooth speaker</x:v>
      </x:c>
      <x:c r="G106" s="2" t="str">
        <x:v>Online</x:v>
      </x:c>
      <x:c r="H106" s="7" t="n">
        <x:v>2</x:v>
      </x:c>
      <x:c r="I106" s="9" t="n">
        <x:v>26000</x:v>
      </x:c>
      <x:c r="J106" s="9" t="n">
        <x:v>17000</x:v>
      </x:c>
      <x:c r="K106" s="10" t="n">
        <x:v>0</x:v>
      </x:c>
      <x:c r="L106" s="2" t="str">
        <x:v>Completed</x:v>
      </x:c>
      <x:c r="M106" s="12" t="n">
        <x:f>H106*I106</x:f>
        <x:v>52000</x:v>
      </x:c>
      <x:c r="N106" s="12" t="n">
        <x:f>IF(L106="Completed",ROUND(M106*(1-K106),2),0)</x:f>
        <x:v>52000</x:v>
      </x:c>
      <x:c r="O106" s="12" t="n">
        <x:f>IF(L106="Completed",H106*J106,0)</x:f>
        <x:v>34000</x:v>
      </x:c>
      <x:c r="P106" s="12" t="n">
        <x:f>N106-O106</x:f>
        <x:v>18000</x:v>
      </x:c>
    </x:row>
    <x:row r="107" ht="21" customHeight="1">
      <x:c r="A107" s="7" t="n">
        <x:v>102</x:v>
      </x:c>
      <x:c r="B107" s="2" t="str">
        <x:v>TXN-00102</x:v>
      </x:c>
      <x:c r="C107" s="8" t="d">
        <x:v>2025-02-16T00:00:00.000Z</x:v>
      </x:c>
      <x:c r="D107" s="2" t="str">
        <x:v>Lagos</x:v>
      </x:c>
      <x:c r="E107" s="2" t="str">
        <x:v>Electronics</x:v>
      </x:c>
      <x:c r="F107" s="2" t="str">
        <x:v>Bluetooth speaker</x:v>
      </x:c>
      <x:c r="G107" s="2" t="str">
        <x:v>In-store</x:v>
      </x:c>
      <x:c r="H107" s="7" t="n">
        <x:v>2</x:v>
      </x:c>
      <x:c r="I107" s="9" t="n">
        <x:v>26000</x:v>
      </x:c>
      <x:c r="J107" s="9" t="n">
        <x:v>17000</x:v>
      </x:c>
      <x:c r="K107" s="10" t="n">
        <x:v>0</x:v>
      </x:c>
      <x:c r="L107" s="2" t="str">
        <x:v>Returned</x:v>
      </x:c>
      <x:c r="M107" s="12" t="n">
        <x:f>H107*I107</x:f>
        <x:v>52000</x:v>
      </x:c>
      <x:c r="N107" s="12" t="n">
        <x:f>IF(L107="Completed",ROUND(M107*(1-K107),2),0)</x:f>
        <x:v>0</x:v>
      </x:c>
      <x:c r="O107" s="12" t="n">
        <x:f>IF(L107="Completed",H107*J107,0)</x:f>
        <x:v>0</x:v>
      </x:c>
      <x:c r="P107" s="12" t="n">
        <x:f>N107-O107</x:f>
        <x:v>0</x:v>
      </x:c>
    </x:row>
    <x:row r="108" ht="21" customHeight="1">
      <x:c r="A108" s="7" t="n">
        <x:v>103</x:v>
      </x:c>
      <x:c r="B108" s="2" t="str">
        <x:v>TXN-00103</x:v>
      </x:c>
      <x:c r="C108" s="8" t="d">
        <x:v>2025-02-14T00:00:00.000Z</x:v>
      </x:c>
      <x:c r="D108" s="2" t="str">
        <x:v>Abuja</x:v>
      </x:c>
      <x:c r="E108" s="2" t="str">
        <x:v>Beauty</x:v>
      </x:c>
      <x:c r="F108" s="2" t="str">
        <x:v>Body wash</x:v>
      </x:c>
      <x:c r="G108" s="2" t="str">
        <x:v>Online</x:v>
      </x:c>
      <x:c r="H108" s="7" t="n">
        <x:v>3</x:v>
      </x:c>
      <x:c r="I108" s="9" t="n">
        <x:v>4500</x:v>
      </x:c>
      <x:c r="J108" s="9" t="n">
        <x:v>2300</x:v>
      </x:c>
      <x:c r="K108" s="10" t="n">
        <x:v>0</x:v>
      </x:c>
      <x:c r="L108" s="2" t="str">
        <x:v>Completed</x:v>
      </x:c>
      <x:c r="M108" s="12" t="n">
        <x:f>H108*I108</x:f>
        <x:v>13500</x:v>
      </x:c>
      <x:c r="N108" s="12" t="n">
        <x:f>IF(L108="Completed",ROUND(M108*(1-K108),2),0)</x:f>
        <x:v>13500</x:v>
      </x:c>
      <x:c r="O108" s="12" t="n">
        <x:f>IF(L108="Completed",H108*J108,0)</x:f>
        <x:v>6900</x:v>
      </x:c>
      <x:c r="P108" s="12" t="n">
        <x:f>N108-O108</x:f>
        <x:v>6600</x:v>
      </x:c>
    </x:row>
    <x:row r="109" ht="21" customHeight="1">
      <x:c r="A109" s="7" t="n">
        <x:v>104</x:v>
      </x:c>
      <x:c r="B109" s="2" t="str">
        <x:v>TXN-00104</x:v>
      </x:c>
      <x:c r="C109" s="8" t="d">
        <x:v>2025-02-11T00:00:00.000Z</x:v>
      </x:c>
      <x:c r="D109" s="2" t="str">
        <x:v>Lagos</x:v>
      </x:c>
      <x:c r="E109" s="2" t="str">
        <x:v>Electronics</x:v>
      </x:c>
      <x:c r="F109" s="2" t="str">
        <x:v>Bluetooth speaker</x:v>
      </x:c>
      <x:c r="G109" s="2" t="str">
        <x:v>Online</x:v>
      </x:c>
      <x:c r="H109" s="7" t="n">
        <x:v>2</x:v>
      </x:c>
      <x:c r="I109" s="9" t="n">
        <x:v>26000</x:v>
      </x:c>
      <x:c r="J109" s="9" t="n">
        <x:v>17000</x:v>
      </x:c>
      <x:c r="K109" s="10" t="n">
        <x:v>0</x:v>
      </x:c>
      <x:c r="L109" s="2" t="str">
        <x:v>Completed</x:v>
      </x:c>
      <x:c r="M109" s="12" t="n">
        <x:f>H109*I109</x:f>
        <x:v>52000</x:v>
      </x:c>
      <x:c r="N109" s="12" t="n">
        <x:f>IF(L109="Completed",ROUND(M109*(1-K109),2),0)</x:f>
        <x:v>52000</x:v>
      </x:c>
      <x:c r="O109" s="12" t="n">
        <x:f>IF(L109="Completed",H109*J109,0)</x:f>
        <x:v>34000</x:v>
      </x:c>
      <x:c r="P109" s="12" t="n">
        <x:f>N109-O109</x:f>
        <x:v>18000</x:v>
      </x:c>
    </x:row>
    <x:row r="110" ht="21" customHeight="1">
      <x:c r="A110" s="7" t="n">
        <x:v>105</x:v>
      </x:c>
      <x:c r="B110" s="2" t="str">
        <x:v>TXN-00105</x:v>
      </x:c>
      <x:c r="C110" s="8" t="d">
        <x:v>2025-02-15T00:00:00.000Z</x:v>
      </x:c>
      <x:c r="D110" s="2" t="str">
        <x:v>Lagos</x:v>
      </x:c>
      <x:c r="E110" s="2" t="str">
        <x:v>Home</x:v>
      </x:c>
      <x:c r="F110" s="2" t="str">
        <x:v>Bedsheet</x:v>
      </x:c>
      <x:c r="G110" s="2" t="str">
        <x:v>Online</x:v>
      </x:c>
      <x:c r="H110" s="7" t="n">
        <x:v>1</x:v>
      </x:c>
      <x:c r="I110" s="9" t="n">
        <x:v>14000</x:v>
      </x:c>
      <x:c r="J110" s="9" t="n">
        <x:v>8500</x:v>
      </x:c>
      <x:c r="K110" s="10" t="n">
        <x:v>0</x:v>
      </x:c>
      <x:c r="L110" s="2" t="str">
        <x:v>Completed</x:v>
      </x:c>
      <x:c r="M110" s="12" t="n">
        <x:f>H110*I110</x:f>
        <x:v>14000</x:v>
      </x:c>
      <x:c r="N110" s="12" t="n">
        <x:f>IF(L110="Completed",ROUND(M110*(1-K110),2),0)</x:f>
        <x:v>14000</x:v>
      </x:c>
      <x:c r="O110" s="12" t="n">
        <x:f>IF(L110="Completed",H110*J110,0)</x:f>
        <x:v>8500</x:v>
      </x:c>
      <x:c r="P110" s="12" t="n">
        <x:f>N110-O110</x:f>
        <x:v>5500</x:v>
      </x:c>
    </x:row>
    <x:row r="111" ht="21" customHeight="1">
      <x:c r="A111" s="7" t="n">
        <x:v>106</x:v>
      </x:c>
      <x:c r="B111" s="2" t="str">
        <x:v>TXN-00106</x:v>
      </x:c>
      <x:c r="C111" s="8" t="d">
        <x:v>2025-02-25T00:00:00.000Z</x:v>
      </x:c>
      <x:c r="D111" s="2" t="str">
        <x:v>Port Harcourt</x:v>
      </x:c>
      <x:c r="E111" s="2" t="str">
        <x:v>Electronics</x:v>
      </x:c>
      <x:c r="F111" s="2" t="str">
        <x:v>Headphones</x:v>
      </x:c>
      <x:c r="G111" s="2" t="str">
        <x:v>Online</x:v>
      </x:c>
      <x:c r="H111" s="7" t="n">
        <x:v>1</x:v>
      </x:c>
      <x:c r="I111" s="9" t="n">
        <x:v>18000</x:v>
      </x:c>
      <x:c r="J111" s="9" t="n">
        <x:v>10500</x:v>
      </x:c>
      <x:c r="K111" s="10" t="n">
        <x:v>0.1</x:v>
      </x:c>
      <x:c r="L111" s="2" t="str">
        <x:v>Completed</x:v>
      </x:c>
      <x:c r="M111" s="12" t="n">
        <x:f>H111*I111</x:f>
        <x:v>18000</x:v>
      </x:c>
      <x:c r="N111" s="12" t="n">
        <x:f>IF(L111="Completed",ROUND(M111*(1-K111),2),0)</x:f>
        <x:v>16200</x:v>
      </x:c>
      <x:c r="O111" s="12" t="n">
        <x:f>IF(L111="Completed",H111*J111,0)</x:f>
        <x:v>10500</x:v>
      </x:c>
      <x:c r="P111" s="12" t="n">
        <x:f>N111-O111</x:f>
        <x:v>5700</x:v>
      </x:c>
    </x:row>
    <x:row r="112" ht="21" customHeight="1">
      <x:c r="A112" s="7" t="n">
        <x:v>107</x:v>
      </x:c>
      <x:c r="B112" s="2" t="str">
        <x:v>TXN-00107</x:v>
      </x:c>
      <x:c r="C112" s="8" t="d">
        <x:v>2025-02-27T00:00:00.000Z</x:v>
      </x:c>
      <x:c r="D112" s="2" t="str">
        <x:v>Abuja</x:v>
      </x:c>
      <x:c r="E112" s="2" t="str">
        <x:v>Electronics</x:v>
      </x:c>
      <x:c r="F112" s="2" t="str">
        <x:v>Power bank</x:v>
      </x:c>
      <x:c r="G112" s="2" t="str">
        <x:v>In-store</x:v>
      </x:c>
      <x:c r="H112" s="7" t="n">
        <x:v>2</x:v>
      </x:c>
      <x:c r="I112" s="9" t="n">
        <x:v>15000</x:v>
      </x:c>
      <x:c r="J112" s="9" t="n">
        <x:v>9500</x:v>
      </x:c>
      <x:c r="K112" s="10" t="n">
        <x:v>0.1</x:v>
      </x:c>
      <x:c r="L112" s="2" t="str">
        <x:v>Completed</x:v>
      </x:c>
      <x:c r="M112" s="12" t="n">
        <x:f>H112*I112</x:f>
        <x:v>30000</x:v>
      </x:c>
      <x:c r="N112" s="12" t="n">
        <x:f>IF(L112="Completed",ROUND(M112*(1-K112),2),0)</x:f>
        <x:v>27000</x:v>
      </x:c>
      <x:c r="O112" s="12" t="n">
        <x:f>IF(L112="Completed",H112*J112,0)</x:f>
        <x:v>19000</x:v>
      </x:c>
      <x:c r="P112" s="12" t="n">
        <x:f>N112-O112</x:f>
        <x:v>8000</x:v>
      </x:c>
    </x:row>
    <x:row r="113" ht="21" customHeight="1">
      <x:c r="A113" s="7" t="n">
        <x:v>108</x:v>
      </x:c>
      <x:c r="B113" s="2" t="str">
        <x:v>TXN-00108</x:v>
      </x:c>
      <x:c r="C113" s="8" t="d">
        <x:v>2025-02-12T00:00:00.000Z</x:v>
      </x:c>
      <x:c r="D113" s="2" t="str">
        <x:v>Lagos</x:v>
      </x:c>
      <x:c r="E113" s="2" t="str">
        <x:v>Beauty</x:v>
      </x:c>
      <x:c r="F113" s="2" t="str">
        <x:v>Moisturizer</x:v>
      </x:c>
      <x:c r="G113" s="2" t="str">
        <x:v>In-store</x:v>
      </x:c>
      <x:c r="H113" s="7" t="n">
        <x:v>1</x:v>
      </x:c>
      <x:c r="I113" s="9" t="n">
        <x:v>6500</x:v>
      </x:c>
      <x:c r="J113" s="9" t="n">
        <x:v>3500</x:v>
      </x:c>
      <x:c r="K113" s="10" t="n">
        <x:v>0</x:v>
      </x:c>
      <x:c r="L113" s="2" t="str">
        <x:v>Completed</x:v>
      </x:c>
      <x:c r="M113" s="12" t="n">
        <x:f>H113*I113</x:f>
        <x:v>6500</x:v>
      </x:c>
      <x:c r="N113" s="12" t="n">
        <x:f>IF(L113="Completed",ROUND(M113*(1-K113),2),0)</x:f>
        <x:v>6500</x:v>
      </x:c>
      <x:c r="O113" s="12" t="n">
        <x:f>IF(L113="Completed",H113*J113,0)</x:f>
        <x:v>3500</x:v>
      </x:c>
      <x:c r="P113" s="12" t="n">
        <x:f>N113-O113</x:f>
        <x:v>3000</x:v>
      </x:c>
    </x:row>
    <x:row r="114" ht="21" customHeight="1">
      <x:c r="A114" s="7" t="n">
        <x:v>109</x:v>
      </x:c>
      <x:c r="B114" s="2" t="str">
        <x:v>TXN-00109</x:v>
      </x:c>
      <x:c r="C114" s="8" t="d">
        <x:v>2025-02-27T00:00:00.000Z</x:v>
      </x:c>
      <x:c r="D114" s="2" t="str">
        <x:v>Lagos</x:v>
      </x:c>
      <x:c r="E114" s="2" t="str">
        <x:v>Beauty</x:v>
      </x:c>
      <x:c r="F114" s="2" t="str">
        <x:v>Moisturizer</x:v>
      </x:c>
      <x:c r="G114" s="2" t="str">
        <x:v>Online</x:v>
      </x:c>
      <x:c r="H114" s="7" t="n">
        <x:v>4</x:v>
      </x:c>
      <x:c r="I114" s="9" t="n">
        <x:v>6500</x:v>
      </x:c>
      <x:c r="J114" s="9" t="n">
        <x:v>3500</x:v>
      </x:c>
      <x:c r="K114" s="10" t="n">
        <x:v>0.05</x:v>
      </x:c>
      <x:c r="L114" s="2" t="str">
        <x:v>Completed</x:v>
      </x:c>
      <x:c r="M114" s="12" t="n">
        <x:f>H114*I114</x:f>
        <x:v>26000</x:v>
      </x:c>
      <x:c r="N114" s="12" t="n">
        <x:f>IF(L114="Completed",ROUND(M114*(1-K114),2),0)</x:f>
        <x:v>24700</x:v>
      </x:c>
      <x:c r="O114" s="12" t="n">
        <x:f>IF(L114="Completed",H114*J114,0)</x:f>
        <x:v>14000</x:v>
      </x:c>
      <x:c r="P114" s="12" t="n">
        <x:f>N114-O114</x:f>
        <x:v>10700</x:v>
      </x:c>
    </x:row>
    <x:row r="115" ht="21" customHeight="1">
      <x:c r="A115" s="7" t="n">
        <x:v>110</x:v>
      </x:c>
      <x:c r="B115" s="2" t="str">
        <x:v>TXN-00110</x:v>
      </x:c>
      <x:c r="C115" s="8" t="d">
        <x:v>2025-02-04T00:00:00.000Z</x:v>
      </x:c>
      <x:c r="D115" s="2" t="str">
        <x:v>Port Harcourt</x:v>
      </x:c>
      <x:c r="E115" s="2" t="str">
        <x:v>Electronics</x:v>
      </x:c>
      <x:c r="F115" s="2" t="str">
        <x:v>Bluetooth speaker</x:v>
      </x:c>
      <x:c r="G115" s="2" t="str">
        <x:v>Online</x:v>
      </x:c>
      <x:c r="H115" s="7" t="n">
        <x:v>1</x:v>
      </x:c>
      <x:c r="I115" s="9" t="n">
        <x:v>26000</x:v>
      </x:c>
      <x:c r="J115" s="9" t="n">
        <x:v>17000</x:v>
      </x:c>
      <x:c r="K115" s="10" t="n">
        <x:v>0.05</x:v>
      </x:c>
      <x:c r="L115" s="2" t="str">
        <x:v>Completed</x:v>
      </x:c>
      <x:c r="M115" s="12" t="n">
        <x:f>H115*I115</x:f>
        <x:v>26000</x:v>
      </x:c>
      <x:c r="N115" s="12" t="n">
        <x:f>IF(L115="Completed",ROUND(M115*(1-K115),2),0)</x:f>
        <x:v>24700</x:v>
      </x:c>
      <x:c r="O115" s="12" t="n">
        <x:f>IF(L115="Completed",H115*J115,0)</x:f>
        <x:v>17000</x:v>
      </x:c>
      <x:c r="P115" s="12" t="n">
        <x:f>N115-O115</x:f>
        <x:v>7700</x:v>
      </x:c>
    </x:row>
    <x:row r="116" ht="21" customHeight="1">
      <x:c r="A116" s="7" t="n">
        <x:v>111</x:v>
      </x:c>
      <x:c r="B116" s="2" t="str">
        <x:v>TXN-00111</x:v>
      </x:c>
      <x:c r="C116" s="8" t="d">
        <x:v>2025-02-23T00:00:00.000Z</x:v>
      </x:c>
      <x:c r="D116" s="2" t="str">
        <x:v>Lagos</x:v>
      </x:c>
      <x:c r="E116" s="2" t="str">
        <x:v>Home</x:v>
      </x:c>
      <x:c r="F116" s="2" t="str">
        <x:v>Desk lamp</x:v>
      </x:c>
      <x:c r="G116" s="2" t="str">
        <x:v>In-store</x:v>
      </x:c>
      <x:c r="H116" s="7" t="n">
        <x:v>1</x:v>
      </x:c>
      <x:c r="I116" s="9" t="n">
        <x:v>12000</x:v>
      </x:c>
      <x:c r="J116" s="9" t="n">
        <x:v>7200</x:v>
      </x:c>
      <x:c r="K116" s="10" t="n">
        <x:v>0</x:v>
      </x:c>
      <x:c r="L116" s="2" t="str">
        <x:v>Completed</x:v>
      </x:c>
      <x:c r="M116" s="12" t="n">
        <x:f>H116*I116</x:f>
        <x:v>12000</x:v>
      </x:c>
      <x:c r="N116" s="12" t="n">
        <x:f>IF(L116="Completed",ROUND(M116*(1-K116),2),0)</x:f>
        <x:v>12000</x:v>
      </x:c>
      <x:c r="O116" s="12" t="n">
        <x:f>IF(L116="Completed",H116*J116,0)</x:f>
        <x:v>7200</x:v>
      </x:c>
      <x:c r="P116" s="12" t="n">
        <x:f>N116-O116</x:f>
        <x:v>4800</x:v>
      </x:c>
    </x:row>
    <x:row r="117" ht="21" customHeight="1">
      <x:c r="A117" s="7" t="n">
        <x:v>112</x:v>
      </x:c>
      <x:c r="B117" s="2" t="str">
        <x:v>TXN-00112</x:v>
      </x:c>
      <x:c r="C117" s="8" t="d">
        <x:v>2025-02-14T00:00:00.000Z</x:v>
      </x:c>
      <x:c r="D117" s="2" t="str">
        <x:v>Port Harcourt</x:v>
      </x:c>
      <x:c r="E117" s="2" t="str">
        <x:v>Electronics</x:v>
      </x:c>
      <x:c r="F117" s="2" t="str">
        <x:v>Headphones</x:v>
      </x:c>
      <x:c r="G117" s="2" t="str">
        <x:v>Online</x:v>
      </x:c>
      <x:c r="H117" s="7" t="n">
        <x:v>1</x:v>
      </x:c>
      <x:c r="I117" s="9" t="n">
        <x:v>18000</x:v>
      </x:c>
      <x:c r="J117" s="9" t="n">
        <x:v>10500</x:v>
      </x:c>
      <x:c r="K117" s="10" t="n">
        <x:v>0</x:v>
      </x:c>
      <x:c r="L117" s="2" t="str">
        <x:v>Completed</x:v>
      </x:c>
      <x:c r="M117" s="12" t="n">
        <x:f>H117*I117</x:f>
        <x:v>18000</x:v>
      </x:c>
      <x:c r="N117" s="12" t="n">
        <x:f>IF(L117="Completed",ROUND(M117*(1-K117),2),0)</x:f>
        <x:v>18000</x:v>
      </x:c>
      <x:c r="O117" s="12" t="n">
        <x:f>IF(L117="Completed",H117*J117,0)</x:f>
        <x:v>10500</x:v>
      </x:c>
      <x:c r="P117" s="12" t="n">
        <x:f>N117-O117</x:f>
        <x:v>7500</x:v>
      </x:c>
    </x:row>
    <x:row r="118" ht="21" customHeight="1">
      <x:c r="A118" s="7" t="n">
        <x:v>113</x:v>
      </x:c>
      <x:c r="B118" s="2" t="str">
        <x:v>TXN-00113</x:v>
      </x:c>
      <x:c r="C118" s="8" t="d">
        <x:v>2025-02-03T00:00:00.000Z</x:v>
      </x:c>
      <x:c r="D118" s="2" t="str">
        <x:v>Port Harcourt</x:v>
      </x:c>
      <x:c r="E118" s="2" t="str">
        <x:v>Fashion</x:v>
      </x:c>
      <x:c r="F118" s="2" t="str">
        <x:v>Sneakers</x:v>
      </x:c>
      <x:c r="G118" s="2" t="str">
        <x:v>Online</x:v>
      </x:c>
      <x:c r="H118" s="7" t="n">
        <x:v>2</x:v>
      </x:c>
      <x:c r="I118" s="9" t="n">
        <x:v>28000</x:v>
      </x:c>
      <x:c r="J118" s="9" t="n">
        <x:v>17500</x:v>
      </x:c>
      <x:c r="K118" s="10" t="n">
        <x:v>0.05</x:v>
      </x:c>
      <x:c r="L118" s="2" t="str">
        <x:v>Completed</x:v>
      </x:c>
      <x:c r="M118" s="12" t="n">
        <x:f>H118*I118</x:f>
        <x:v>56000</x:v>
      </x:c>
      <x:c r="N118" s="12" t="n">
        <x:f>IF(L118="Completed",ROUND(M118*(1-K118),2),0)</x:f>
        <x:v>53200</x:v>
      </x:c>
      <x:c r="O118" s="12" t="n">
        <x:f>IF(L118="Completed",H118*J118,0)</x:f>
        <x:v>35000</x:v>
      </x:c>
      <x:c r="P118" s="12" t="n">
        <x:f>N118-O118</x:f>
        <x:v>18200</x:v>
      </x:c>
    </x:row>
    <x:row r="119" ht="21" customHeight="1">
      <x:c r="A119" s="7" t="n">
        <x:v>114</x:v>
      </x:c>
      <x:c r="B119" s="2" t="str">
        <x:v>TXN-00114</x:v>
      </x:c>
      <x:c r="C119" s="8" t="d">
        <x:v>2025-02-11T00:00:00.000Z</x:v>
      </x:c>
      <x:c r="D119" s="2" t="str">
        <x:v>Lagos</x:v>
      </x:c>
      <x:c r="E119" s="2" t="str">
        <x:v>Electronics</x:v>
      </x:c>
      <x:c r="F119" s="2" t="str">
        <x:v>Headphones</x:v>
      </x:c>
      <x:c r="G119" s="2" t="str">
        <x:v>Online</x:v>
      </x:c>
      <x:c r="H119" s="7" t="n">
        <x:v>1</x:v>
      </x:c>
      <x:c r="I119" s="9" t="n">
        <x:v>18000</x:v>
      </x:c>
      <x:c r="J119" s="9" t="n">
        <x:v>10500</x:v>
      </x:c>
      <x:c r="K119" s="10" t="n">
        <x:v>0</x:v>
      </x:c>
      <x:c r="L119" s="2" t="str">
        <x:v>Completed</x:v>
      </x:c>
      <x:c r="M119" s="12" t="n">
        <x:f>H119*I119</x:f>
        <x:v>18000</x:v>
      </x:c>
      <x:c r="N119" s="12" t="n">
        <x:f>IF(L119="Completed",ROUND(M119*(1-K119),2),0)</x:f>
        <x:v>18000</x:v>
      </x:c>
      <x:c r="O119" s="12" t="n">
        <x:f>IF(L119="Completed",H119*J119,0)</x:f>
        <x:v>10500</x:v>
      </x:c>
      <x:c r="P119" s="12" t="n">
        <x:f>N119-O119</x:f>
        <x:v>7500</x:v>
      </x:c>
    </x:row>
    <x:row r="120" ht="21" customHeight="1">
      <x:c r="A120" s="7" t="n">
        <x:v>115</x:v>
      </x:c>
      <x:c r="B120" s="2" t="str">
        <x:v>TXN-00115</x:v>
      </x:c>
      <x:c r="C120" s="8" t="d">
        <x:v>2025-02-14T00:00:00.000Z</x:v>
      </x:c>
      <x:c r="D120" s="2" t="str">
        <x:v>Abuja</x:v>
      </x:c>
      <x:c r="E120" s="2" t="str">
        <x:v>Electronics</x:v>
      </x:c>
      <x:c r="F120" s="2" t="str">
        <x:v>Power bank</x:v>
      </x:c>
      <x:c r="G120" s="2" t="str">
        <x:v>Online</x:v>
      </x:c>
      <x:c r="H120" s="7" t="n">
        <x:v>2</x:v>
      </x:c>
      <x:c r="I120" s="9" t="n">
        <x:v>15000</x:v>
      </x:c>
      <x:c r="J120" s="9" t="n">
        <x:v>9500</x:v>
      </x:c>
      <x:c r="K120" s="10" t="n">
        <x:v>0</x:v>
      </x:c>
      <x:c r="L120" s="2" t="str">
        <x:v>Returned</x:v>
      </x:c>
      <x:c r="M120" s="12" t="n">
        <x:f>H120*I120</x:f>
        <x:v>30000</x:v>
      </x:c>
      <x:c r="N120" s="12" t="n">
        <x:f>IF(L120="Completed",ROUND(M120*(1-K120),2),0)</x:f>
        <x:v>0</x:v>
      </x:c>
      <x:c r="O120" s="12" t="n">
        <x:f>IF(L120="Completed",H120*J120,0)</x:f>
        <x:v>0</x:v>
      </x:c>
      <x:c r="P120" s="12" t="n">
        <x:f>N120-O120</x:f>
        <x:v>0</x:v>
      </x:c>
    </x:row>
    <x:row r="121" ht="21" customHeight="1">
      <x:c r="A121" s="7" t="n">
        <x:v>116</x:v>
      </x:c>
      <x:c r="B121" s="2" t="str">
        <x:v>TXN-00116</x:v>
      </x:c>
      <x:c r="C121" s="8" t="d">
        <x:v>2025-02-01T00:00:00.000Z</x:v>
      </x:c>
      <x:c r="D121" s="2" t="str">
        <x:v>Lagos</x:v>
      </x:c>
      <x:c r="E121" s="2" t="str">
        <x:v>Fashion</x:v>
      </x:c>
      <x:c r="F121" s="2" t="str">
        <x:v>Handbag</x:v>
      </x:c>
      <x:c r="G121" s="2" t="str">
        <x:v>In-store</x:v>
      </x:c>
      <x:c r="H121" s="7" t="n">
        <x:v>1</x:v>
      </x:c>
      <x:c r="I121" s="9" t="n">
        <x:v>22000</x:v>
      </x:c>
      <x:c r="J121" s="9" t="n">
        <x:v>13500</x:v>
      </x:c>
      <x:c r="K121" s="10" t="n">
        <x:v>0</x:v>
      </x:c>
      <x:c r="L121" s="2" t="str">
        <x:v>Returned</x:v>
      </x:c>
      <x:c r="M121" s="12" t="n">
        <x:f>H121*I121</x:f>
        <x:v>22000</x:v>
      </x:c>
      <x:c r="N121" s="12" t="n">
        <x:f>IF(L121="Completed",ROUND(M121*(1-K121),2),0)</x:f>
        <x:v>0</x:v>
      </x:c>
      <x:c r="O121" s="12" t="n">
        <x:f>IF(L121="Completed",H121*J121,0)</x:f>
        <x:v>0</x:v>
      </x:c>
      <x:c r="P121" s="12" t="n">
        <x:f>N121-O121</x:f>
        <x:v>0</x:v>
      </x:c>
    </x:row>
    <x:row r="122" ht="21" customHeight="1">
      <x:c r="A122" s="7" t="n">
        <x:v>117</x:v>
      </x:c>
      <x:c r="B122" s="2" t="str">
        <x:v>TXN-00117</x:v>
      </x:c>
      <x:c r="C122" s="8" t="d">
        <x:v>2025-02-26T00:00:00.000Z</x:v>
      </x:c>
      <x:c r="D122" s="2" t="str">
        <x:v>Port Harcourt</x:v>
      </x:c>
      <x:c r="E122" s="2" t="str">
        <x:v>Electronics</x:v>
      </x:c>
      <x:c r="F122" s="2" t="str">
        <x:v>Headphones</x:v>
      </x:c>
      <x:c r="G122" s="2" t="str">
        <x:v>In-store</x:v>
      </x:c>
      <x:c r="H122" s="7" t="n">
        <x:v>1</x:v>
      </x:c>
      <x:c r="I122" s="9" t="n">
        <x:v>18000</x:v>
      </x:c>
      <x:c r="J122" s="9" t="n">
        <x:v>10500</x:v>
      </x:c>
      <x:c r="K122" s="10" t="n">
        <x:v>0</x:v>
      </x:c>
      <x:c r="L122" s="2" t="str">
        <x:v>Completed</x:v>
      </x:c>
      <x:c r="M122" s="12" t="n">
        <x:f>H122*I122</x:f>
        <x:v>18000</x:v>
      </x:c>
      <x:c r="N122" s="12" t="n">
        <x:f>IF(L122="Completed",ROUND(M122*(1-K122),2),0)</x:f>
        <x:v>18000</x:v>
      </x:c>
      <x:c r="O122" s="12" t="n">
        <x:f>IF(L122="Completed",H122*J122,0)</x:f>
        <x:v>10500</x:v>
      </x:c>
      <x:c r="P122" s="12" t="n">
        <x:f>N122-O122</x:f>
        <x:v>7500</x:v>
      </x:c>
    </x:row>
    <x:row r="123" ht="21" customHeight="1">
      <x:c r="A123" s="7" t="n">
        <x:v>118</x:v>
      </x:c>
      <x:c r="B123" s="2" t="str">
        <x:v>TXN-00118</x:v>
      </x:c>
      <x:c r="C123" s="8" t="d">
        <x:v>2025-02-18T00:00:00.000Z</x:v>
      </x:c>
      <x:c r="D123" s="2" t="str">
        <x:v>Port Harcourt</x:v>
      </x:c>
      <x:c r="E123" s="2" t="str">
        <x:v>Electronics</x:v>
      </x:c>
      <x:c r="F123" s="2" t="str">
        <x:v>Bluetooth speaker</x:v>
      </x:c>
      <x:c r="G123" s="2" t="str">
        <x:v>Online</x:v>
      </x:c>
      <x:c r="H123" s="7" t="n">
        <x:v>1</x:v>
      </x:c>
      <x:c r="I123" s="9" t="n">
        <x:v>26000</x:v>
      </x:c>
      <x:c r="J123" s="9" t="n">
        <x:v>17000</x:v>
      </x:c>
      <x:c r="K123" s="10" t="n">
        <x:v>0</x:v>
      </x:c>
      <x:c r="L123" s="2" t="str">
        <x:v>Completed</x:v>
      </x:c>
      <x:c r="M123" s="12" t="n">
        <x:f>H123*I123</x:f>
        <x:v>26000</x:v>
      </x:c>
      <x:c r="N123" s="12" t="n">
        <x:f>IF(L123="Completed",ROUND(M123*(1-K123),2),0)</x:f>
        <x:v>26000</x:v>
      </x:c>
      <x:c r="O123" s="12" t="n">
        <x:f>IF(L123="Completed",H123*J123,0)</x:f>
        <x:v>17000</x:v>
      </x:c>
      <x:c r="P123" s="12" t="n">
        <x:f>N123-O123</x:f>
        <x:v>9000</x:v>
      </x:c>
    </x:row>
    <x:row r="124" ht="21" customHeight="1">
      <x:c r="A124" s="7" t="n">
        <x:v>119</x:v>
      </x:c>
      <x:c r="B124" s="2" t="str">
        <x:v>TXN-00119</x:v>
      </x:c>
      <x:c r="C124" s="8" t="d">
        <x:v>2025-02-10T00:00:00.000Z</x:v>
      </x:c>
      <x:c r="D124" s="2" t="str">
        <x:v>Kano</x:v>
      </x:c>
      <x:c r="E124" s="2" t="str">
        <x:v>Fashion</x:v>
      </x:c>
      <x:c r="F124" s="2" t="str">
        <x:v>T-shirt</x:v>
      </x:c>
      <x:c r="G124" s="2" t="str">
        <x:v>Online</x:v>
      </x:c>
      <x:c r="H124" s="7" t="n">
        <x:v>2</x:v>
      </x:c>
      <x:c r="I124" s="9" t="n">
        <x:v>9000</x:v>
      </x:c>
      <x:c r="J124" s="9" t="n">
        <x:v>5000</x:v>
      </x:c>
      <x:c r="K124" s="10" t="n">
        <x:v>0.1</x:v>
      </x:c>
      <x:c r="L124" s="2" t="str">
        <x:v>Completed</x:v>
      </x:c>
      <x:c r="M124" s="12" t="n">
        <x:f>H124*I124</x:f>
        <x:v>18000</x:v>
      </x:c>
      <x:c r="N124" s="12" t="n">
        <x:f>IF(L124="Completed",ROUND(M124*(1-K124),2),0)</x:f>
        <x:v>16200</x:v>
      </x:c>
      <x:c r="O124" s="12" t="n">
        <x:f>IF(L124="Completed",H124*J124,0)</x:f>
        <x:v>10000</x:v>
      </x:c>
      <x:c r="P124" s="12" t="n">
        <x:f>N124-O124</x:f>
        <x:v>6200</x:v>
      </x:c>
    </x:row>
    <x:row r="125" ht="21" customHeight="1">
      <x:c r="A125" s="7" t="n">
        <x:v>120</x:v>
      </x:c>
      <x:c r="B125" s="2" t="str">
        <x:v>TXN-00120</x:v>
      </x:c>
      <x:c r="C125" s="8" t="d">
        <x:v>2025-02-20T00:00:00.000Z</x:v>
      </x:c>
      <x:c r="D125" s="2" t="str">
        <x:v>Abuja</x:v>
      </x:c>
      <x:c r="E125" s="2" t="str">
        <x:v>Home</x:v>
      </x:c>
      <x:c r="F125" s="2" t="str">
        <x:v>Cookware set</x:v>
      </x:c>
      <x:c r="G125" s="2" t="str">
        <x:v>In-store</x:v>
      </x:c>
      <x:c r="H125" s="7" t="n">
        <x:v>1</x:v>
      </x:c>
      <x:c r="I125" s="9" t="n">
        <x:v>35000</x:v>
      </x:c>
      <x:c r="J125" s="9" t="n">
        <x:v>22500</x:v>
      </x:c>
      <x:c r="K125" s="10" t="n">
        <x:v>0</x:v>
      </x:c>
      <x:c r="L125" s="2" t="str">
        <x:v>Completed</x:v>
      </x:c>
      <x:c r="M125" s="12" t="n">
        <x:f>H125*I125</x:f>
        <x:v>35000</x:v>
      </x:c>
      <x:c r="N125" s="12" t="n">
        <x:f>IF(L125="Completed",ROUND(M125*(1-K125),2),0)</x:f>
        <x:v>35000</x:v>
      </x:c>
      <x:c r="O125" s="12" t="n">
        <x:f>IF(L125="Completed",H125*J125,0)</x:f>
        <x:v>22500</x:v>
      </x:c>
      <x:c r="P125" s="12" t="n">
        <x:f>N125-O125</x:f>
        <x:v>12500</x:v>
      </x:c>
    </x:row>
    <x:row r="126" ht="21" customHeight="1">
      <x:c r="A126" s="7" t="n">
        <x:v>121</x:v>
      </x:c>
      <x:c r="B126" s="2" t="str">
        <x:v>TXN-00121</x:v>
      </x:c>
      <x:c r="C126" s="8" t="d">
        <x:v>2025-02-28T00:00:00.000Z</x:v>
      </x:c>
      <x:c r="D126" s="2" t="str">
        <x:v>Lagos</x:v>
      </x:c>
      <x:c r="E126" s="2" t="str">
        <x:v>Beauty</x:v>
      </x:c>
      <x:c r="F126" s="2" t="str">
        <x:v>Perfume</x:v>
      </x:c>
      <x:c r="G126" s="2" t="str">
        <x:v>Online</x:v>
      </x:c>
      <x:c r="H126" s="7" t="n">
        <x:v>1</x:v>
      </x:c>
      <x:c r="I126" s="9" t="n">
        <x:v>17000</x:v>
      </x:c>
      <x:c r="J126" s="9" t="n">
        <x:v>9000</x:v>
      </x:c>
      <x:c r="K126" s="10" t="n">
        <x:v>0.05</x:v>
      </x:c>
      <x:c r="L126" s="2" t="str">
        <x:v>Completed</x:v>
      </x:c>
      <x:c r="M126" s="12" t="n">
        <x:f>H126*I126</x:f>
        <x:v>17000</x:v>
      </x:c>
      <x:c r="N126" s="12" t="n">
        <x:f>IF(L126="Completed",ROUND(M126*(1-K126),2),0)</x:f>
        <x:v>16150</x:v>
      </x:c>
      <x:c r="O126" s="12" t="n">
        <x:f>IF(L126="Completed",H126*J126,0)</x:f>
        <x:v>9000</x:v>
      </x:c>
      <x:c r="P126" s="12" t="n">
        <x:f>N126-O126</x:f>
        <x:v>7150</x:v>
      </x:c>
    </x:row>
    <x:row r="127" ht="21" customHeight="1">
      <x:c r="A127" s="7" t="n">
        <x:v>122</x:v>
      </x:c>
      <x:c r="B127" s="2" t="str">
        <x:v>TXN-00122</x:v>
      </x:c>
      <x:c r="C127" s="8" t="d">
        <x:v>2025-02-07T00:00:00.000Z</x:v>
      </x:c>
      <x:c r="D127" s="2" t="str">
        <x:v>Lagos</x:v>
      </x:c>
      <x:c r="E127" s="2" t="str">
        <x:v>Fashion</x:v>
      </x:c>
      <x:c r="F127" s="2" t="str">
        <x:v>T-shirt</x:v>
      </x:c>
      <x:c r="G127" s="2" t="str">
        <x:v>Online</x:v>
      </x:c>
      <x:c r="H127" s="7" t="n">
        <x:v>2</x:v>
      </x:c>
      <x:c r="I127" s="9" t="n">
        <x:v>9000</x:v>
      </x:c>
      <x:c r="J127" s="9" t="n">
        <x:v>5000</x:v>
      </x:c>
      <x:c r="K127" s="10" t="n">
        <x:v>0.1</x:v>
      </x:c>
      <x:c r="L127" s="2" t="str">
        <x:v>Completed</x:v>
      </x:c>
      <x:c r="M127" s="12" t="n">
        <x:f>H127*I127</x:f>
        <x:v>18000</x:v>
      </x:c>
      <x:c r="N127" s="12" t="n">
        <x:f>IF(L127="Completed",ROUND(M127*(1-K127),2),0)</x:f>
        <x:v>16200</x:v>
      </x:c>
      <x:c r="O127" s="12" t="n">
        <x:f>IF(L127="Completed",H127*J127,0)</x:f>
        <x:v>10000</x:v>
      </x:c>
      <x:c r="P127" s="12" t="n">
        <x:f>N127-O127</x:f>
        <x:v>6200</x:v>
      </x:c>
    </x:row>
    <x:row r="128" ht="21" customHeight="1">
      <x:c r="A128" s="7" t="n">
        <x:v>123</x:v>
      </x:c>
      <x:c r="B128" s="2" t="str">
        <x:v>TXN-00123</x:v>
      </x:c>
      <x:c r="C128" s="8" t="d">
        <x:v>2025-02-25T00:00:00.000Z</x:v>
      </x:c>
      <x:c r="D128" s="2" t="str">
        <x:v>Lagos</x:v>
      </x:c>
      <x:c r="E128" s="2" t="str">
        <x:v>Fashion</x:v>
      </x:c>
      <x:c r="F128" s="2" t="str">
        <x:v>Sneakers</x:v>
      </x:c>
      <x:c r="G128" s="2" t="str">
        <x:v>In-store</x:v>
      </x:c>
      <x:c r="H128" s="7" t="n">
        <x:v>1</x:v>
      </x:c>
      <x:c r="I128" s="9" t="n">
        <x:v>28000</x:v>
      </x:c>
      <x:c r="J128" s="9" t="n">
        <x:v>17500</x:v>
      </x:c>
      <x:c r="K128" s="10" t="n">
        <x:v>0.15</x:v>
      </x:c>
      <x:c r="L128" s="2" t="str">
        <x:v>Completed</x:v>
      </x:c>
      <x:c r="M128" s="12" t="n">
        <x:f>H128*I128</x:f>
        <x:v>28000</x:v>
      </x:c>
      <x:c r="N128" s="12" t="n">
        <x:f>IF(L128="Completed",ROUND(M128*(1-K128),2),0)</x:f>
        <x:v>23800</x:v>
      </x:c>
      <x:c r="O128" s="12" t="n">
        <x:f>IF(L128="Completed",H128*J128,0)</x:f>
        <x:v>17500</x:v>
      </x:c>
      <x:c r="P128" s="12" t="n">
        <x:f>N128-O128</x:f>
        <x:v>6300</x:v>
      </x:c>
    </x:row>
    <x:row r="129" ht="21" customHeight="1">
      <x:c r="A129" s="7" t="n">
        <x:v>124</x:v>
      </x:c>
      <x:c r="B129" s="2" t="str">
        <x:v>TXN-00124</x:v>
      </x:c>
      <x:c r="C129" s="8" t="d">
        <x:v>2025-02-24T00:00:00.000Z</x:v>
      </x:c>
      <x:c r="D129" s="2" t="str">
        <x:v>Lagos</x:v>
      </x:c>
      <x:c r="E129" s="2" t="str">
        <x:v>Electronics</x:v>
      </x:c>
      <x:c r="F129" s="2" t="str">
        <x:v>Power bank</x:v>
      </x:c>
      <x:c r="G129" s="2" t="str">
        <x:v>Online</x:v>
      </x:c>
      <x:c r="H129" s="7" t="n">
        <x:v>3</x:v>
      </x:c>
      <x:c r="I129" s="9" t="n">
        <x:v>15000</x:v>
      </x:c>
      <x:c r="J129" s="9" t="n">
        <x:v>9500</x:v>
      </x:c>
      <x:c r="K129" s="10" t="n">
        <x:v>0.05</x:v>
      </x:c>
      <x:c r="L129" s="2" t="str">
        <x:v>Returned</x:v>
      </x:c>
      <x:c r="M129" s="12" t="n">
        <x:f>H129*I129</x:f>
        <x:v>45000</x:v>
      </x:c>
      <x:c r="N129" s="12" t="n">
        <x:f>IF(L129="Completed",ROUND(M129*(1-K129),2),0)</x:f>
        <x:v>0</x:v>
      </x:c>
      <x:c r="O129" s="12" t="n">
        <x:f>IF(L129="Completed",H129*J129,0)</x:f>
        <x:v>0</x:v>
      </x:c>
      <x:c r="P129" s="12" t="n">
        <x:f>N129-O129</x:f>
        <x:v>0</x:v>
      </x:c>
    </x:row>
    <x:row r="130" ht="21" customHeight="1">
      <x:c r="A130" s="7" t="n">
        <x:v>125</x:v>
      </x:c>
      <x:c r="B130" s="2" t="str">
        <x:v>TXN-00125</x:v>
      </x:c>
      <x:c r="C130" s="8" t="d">
        <x:v>2025-02-11T00:00:00.000Z</x:v>
      </x:c>
      <x:c r="D130" s="2" t="str">
        <x:v>Abuja</x:v>
      </x:c>
      <x:c r="E130" s="2" t="str">
        <x:v>Fashion</x:v>
      </x:c>
      <x:c r="F130" s="2" t="str">
        <x:v>T-shirt</x:v>
      </x:c>
      <x:c r="G130" s="2" t="str">
        <x:v>Online</x:v>
      </x:c>
      <x:c r="H130" s="7" t="n">
        <x:v>1</x:v>
      </x:c>
      <x:c r="I130" s="9" t="n">
        <x:v>9000</x:v>
      </x:c>
      <x:c r="J130" s="9" t="n">
        <x:v>5000</x:v>
      </x:c>
      <x:c r="K130" s="10" t="n">
        <x:v>0</x:v>
      </x:c>
      <x:c r="L130" s="2" t="str">
        <x:v>Completed</x:v>
      </x:c>
      <x:c r="M130" s="12" t="n">
        <x:f>H130*I130</x:f>
        <x:v>9000</x:v>
      </x:c>
      <x:c r="N130" s="12" t="n">
        <x:f>IF(L130="Completed",ROUND(M130*(1-K130),2),0)</x:f>
        <x:v>9000</x:v>
      </x:c>
      <x:c r="O130" s="12" t="n">
        <x:f>IF(L130="Completed",H130*J130,0)</x:f>
        <x:v>5000</x:v>
      </x:c>
      <x:c r="P130" s="12" t="n">
        <x:f>N130-O130</x:f>
        <x:v>4000</x:v>
      </x:c>
    </x:row>
    <x:row r="131" ht="21" customHeight="1">
      <x:c r="A131" s="7" t="n">
        <x:v>126</x:v>
      </x:c>
      <x:c r="B131" s="2" t="str">
        <x:v>TXN-00126</x:v>
      </x:c>
      <x:c r="C131" s="8" t="d">
        <x:v>2025-02-16T00:00:00.000Z</x:v>
      </x:c>
      <x:c r="D131" s="2" t="str">
        <x:v>Port Harcourt</x:v>
      </x:c>
      <x:c r="E131" s="2" t="str">
        <x:v>Fashion</x:v>
      </x:c>
      <x:c r="F131" s="2" t="str">
        <x:v>Sneakers</x:v>
      </x:c>
      <x:c r="G131" s="2" t="str">
        <x:v>In-store</x:v>
      </x:c>
      <x:c r="H131" s="7" t="n">
        <x:v>1</x:v>
      </x:c>
      <x:c r="I131" s="9" t="n">
        <x:v>28000</x:v>
      </x:c>
      <x:c r="J131" s="9" t="n">
        <x:v>17500</x:v>
      </x:c>
      <x:c r="K131" s="10" t="n">
        <x:v>0</x:v>
      </x:c>
      <x:c r="L131" s="2" t="str">
        <x:v>Returned</x:v>
      </x:c>
      <x:c r="M131" s="12" t="n">
        <x:f>H131*I131</x:f>
        <x:v>28000</x:v>
      </x:c>
      <x:c r="N131" s="12" t="n">
        <x:f>IF(L131="Completed",ROUND(M131*(1-K131),2),0)</x:f>
        <x:v>0</x:v>
      </x:c>
      <x:c r="O131" s="12" t="n">
        <x:f>IF(L131="Completed",H131*J131,0)</x:f>
        <x:v>0</x:v>
      </x:c>
      <x:c r="P131" s="12" t="n">
        <x:f>N131-O131</x:f>
        <x:v>0</x:v>
      </x:c>
    </x:row>
    <x:row r="132" ht="21" customHeight="1">
      <x:c r="A132" s="7" t="n">
        <x:v>127</x:v>
      </x:c>
      <x:c r="B132" s="2" t="str">
        <x:v>TXN-00127</x:v>
      </x:c>
      <x:c r="C132" s="8" t="d">
        <x:v>2025-02-12T00:00:00.000Z</x:v>
      </x:c>
      <x:c r="D132" s="2" t="str">
        <x:v>Lagos</x:v>
      </x:c>
      <x:c r="E132" s="2" t="str">
        <x:v>Electronics</x:v>
      </x:c>
      <x:c r="F132" s="2" t="str">
        <x:v>Power bank</x:v>
      </x:c>
      <x:c r="G132" s="2" t="str">
        <x:v>In-store</x:v>
      </x:c>
      <x:c r="H132" s="7" t="n">
        <x:v>1</x:v>
      </x:c>
      <x:c r="I132" s="9" t="n">
        <x:v>15000</x:v>
      </x:c>
      <x:c r="J132" s="9" t="n">
        <x:v>9500</x:v>
      </x:c>
      <x:c r="K132" s="10" t="n">
        <x:v>0.1</x:v>
      </x:c>
      <x:c r="L132" s="2" t="str">
        <x:v>Completed</x:v>
      </x:c>
      <x:c r="M132" s="12" t="n">
        <x:f>H132*I132</x:f>
        <x:v>15000</x:v>
      </x:c>
      <x:c r="N132" s="12" t="n">
        <x:f>IF(L132="Completed",ROUND(M132*(1-K132),2),0)</x:f>
        <x:v>13500</x:v>
      </x:c>
      <x:c r="O132" s="12" t="n">
        <x:f>IF(L132="Completed",H132*J132,0)</x:f>
        <x:v>9500</x:v>
      </x:c>
      <x:c r="P132" s="12" t="n">
        <x:f>N132-O132</x:f>
        <x:v>4000</x:v>
      </x:c>
    </x:row>
    <x:row r="133" ht="21" customHeight="1">
      <x:c r="A133" s="7" t="n">
        <x:v>128</x:v>
      </x:c>
      <x:c r="B133" s="2" t="str">
        <x:v>TXN-00128</x:v>
      </x:c>
      <x:c r="C133" s="8" t="d">
        <x:v>2025-02-07T00:00:00.000Z</x:v>
      </x:c>
      <x:c r="D133" s="2" t="str">
        <x:v>Lagos</x:v>
      </x:c>
      <x:c r="E133" s="2" t="str">
        <x:v>Electronics</x:v>
      </x:c>
      <x:c r="F133" s="2" t="str">
        <x:v>Power bank</x:v>
      </x:c>
      <x:c r="G133" s="2" t="str">
        <x:v>Online</x:v>
      </x:c>
      <x:c r="H133" s="7" t="n">
        <x:v>1</x:v>
      </x:c>
      <x:c r="I133" s="9" t="n">
        <x:v>15000</x:v>
      </x:c>
      <x:c r="J133" s="9" t="n">
        <x:v>9500</x:v>
      </x:c>
      <x:c r="K133" s="10" t="n">
        <x:v>0</x:v>
      </x:c>
      <x:c r="L133" s="2" t="str">
        <x:v>Completed</x:v>
      </x:c>
      <x:c r="M133" s="12" t="n">
        <x:f>H133*I133</x:f>
        <x:v>15000</x:v>
      </x:c>
      <x:c r="N133" s="12" t="n">
        <x:f>IF(L133="Completed",ROUND(M133*(1-K133),2),0)</x:f>
        <x:v>15000</x:v>
      </x:c>
      <x:c r="O133" s="12" t="n">
        <x:f>IF(L133="Completed",H133*J133,0)</x:f>
        <x:v>9500</x:v>
      </x:c>
      <x:c r="P133" s="12" t="n">
        <x:f>N133-O133</x:f>
        <x:v>5500</x:v>
      </x:c>
    </x:row>
    <x:row r="134" ht="21" customHeight="1">
      <x:c r="A134" s="7" t="n">
        <x:v>129</x:v>
      </x:c>
      <x:c r="B134" s="2" t="str">
        <x:v>TXN-00129</x:v>
      </x:c>
      <x:c r="C134" s="8" t="d">
        <x:v>2025-02-04T00:00:00.000Z</x:v>
      </x:c>
      <x:c r="D134" s="2" t="str">
        <x:v>Lagos</x:v>
      </x:c>
      <x:c r="E134" s="2" t="str">
        <x:v>Fashion</x:v>
      </x:c>
      <x:c r="F134" s="2" t="str">
        <x:v>Sneakers</x:v>
      </x:c>
      <x:c r="G134" s="2" t="str">
        <x:v>In-store</x:v>
      </x:c>
      <x:c r="H134" s="7" t="n">
        <x:v>3</x:v>
      </x:c>
      <x:c r="I134" s="9" t="n">
        <x:v>28000</x:v>
      </x:c>
      <x:c r="J134" s="9" t="n">
        <x:v>17500</x:v>
      </x:c>
      <x:c r="K134" s="10" t="n">
        <x:v>0.1</x:v>
      </x:c>
      <x:c r="L134" s="2" t="str">
        <x:v>Completed</x:v>
      </x:c>
      <x:c r="M134" s="12" t="n">
        <x:f>H134*I134</x:f>
        <x:v>84000</x:v>
      </x:c>
      <x:c r="N134" s="12" t="n">
        <x:f>IF(L134="Completed",ROUND(M134*(1-K134),2),0)</x:f>
        <x:v>75600</x:v>
      </x:c>
      <x:c r="O134" s="12" t="n">
        <x:f>IF(L134="Completed",H134*J134,0)</x:f>
        <x:v>52500</x:v>
      </x:c>
      <x:c r="P134" s="12" t="n">
        <x:f>N134-O134</x:f>
        <x:v>23100</x:v>
      </x:c>
    </x:row>
    <x:row r="135" ht="21" customHeight="1">
      <x:c r="A135" s="7" t="n">
        <x:v>130</x:v>
      </x:c>
      <x:c r="B135" s="2" t="str">
        <x:v>TXN-00130</x:v>
      </x:c>
      <x:c r="C135" s="8" t="d">
        <x:v>2025-02-11T00:00:00.000Z</x:v>
      </x:c>
      <x:c r="D135" s="2" t="str">
        <x:v>Lagos</x:v>
      </x:c>
      <x:c r="E135" s="2" t="str">
        <x:v>Fashion</x:v>
      </x:c>
      <x:c r="F135" s="2" t="str">
        <x:v>T-shirt</x:v>
      </x:c>
      <x:c r="G135" s="2" t="str">
        <x:v>Online</x:v>
      </x:c>
      <x:c r="H135" s="7" t="n">
        <x:v>3</x:v>
      </x:c>
      <x:c r="I135" s="9" t="n">
        <x:v>9000</x:v>
      </x:c>
      <x:c r="J135" s="9" t="n">
        <x:v>5000</x:v>
      </x:c>
      <x:c r="K135" s="10" t="n">
        <x:v>0</x:v>
      </x:c>
      <x:c r="L135" s="2" t="str">
        <x:v>Completed</x:v>
      </x:c>
      <x:c r="M135" s="12" t="n">
        <x:f>H135*I135</x:f>
        <x:v>27000</x:v>
      </x:c>
      <x:c r="N135" s="12" t="n">
        <x:f>IF(L135="Completed",ROUND(M135*(1-K135),2),0)</x:f>
        <x:v>27000</x:v>
      </x:c>
      <x:c r="O135" s="12" t="n">
        <x:f>IF(L135="Completed",H135*J135,0)</x:f>
        <x:v>15000</x:v>
      </x:c>
      <x:c r="P135" s="12" t="n">
        <x:f>N135-O135</x:f>
        <x:v>12000</x:v>
      </x:c>
    </x:row>
    <x:row r="136" ht="21" customHeight="1">
      <x:c r="A136" s="7" t="n">
        <x:v>131</x:v>
      </x:c>
      <x:c r="B136" s="2" t="str">
        <x:v>TXN-00131</x:v>
      </x:c>
      <x:c r="C136" s="8" t="d">
        <x:v>2025-02-09T00:00:00.000Z</x:v>
      </x:c>
      <x:c r="D136" s="2" t="str">
        <x:v>Lagos</x:v>
      </x:c>
      <x:c r="E136" s="2" t="str">
        <x:v>Fashion</x:v>
      </x:c>
      <x:c r="F136" s="2" t="str">
        <x:v>T-shirt</x:v>
      </x:c>
      <x:c r="G136" s="2" t="str">
        <x:v>Online</x:v>
      </x:c>
      <x:c r="H136" s="7" t="n">
        <x:v>2</x:v>
      </x:c>
      <x:c r="I136" s="9" t="n">
        <x:v>9000</x:v>
      </x:c>
      <x:c r="J136" s="9" t="n">
        <x:v>5000</x:v>
      </x:c>
      <x:c r="K136" s="10" t="n">
        <x:v>0.15</x:v>
      </x:c>
      <x:c r="L136" s="2" t="str">
        <x:v>Completed</x:v>
      </x:c>
      <x:c r="M136" s="12" t="n">
        <x:f>H136*I136</x:f>
        <x:v>18000</x:v>
      </x:c>
      <x:c r="N136" s="12" t="n">
        <x:f>IF(L136="Completed",ROUND(M136*(1-K136),2),0)</x:f>
        <x:v>15300</x:v>
      </x:c>
      <x:c r="O136" s="12" t="n">
        <x:f>IF(L136="Completed",H136*J136,0)</x:f>
        <x:v>10000</x:v>
      </x:c>
      <x:c r="P136" s="12" t="n">
        <x:f>N136-O136</x:f>
        <x:v>5300</x:v>
      </x:c>
    </x:row>
    <x:row r="137" ht="21" customHeight="1">
      <x:c r="A137" s="7" t="n">
        <x:v>132</x:v>
      </x:c>
      <x:c r="B137" s="2" t="str">
        <x:v>TXN-00132</x:v>
      </x:c>
      <x:c r="C137" s="8" t="d">
        <x:v>2025-02-07T00:00:00.000Z</x:v>
      </x:c>
      <x:c r="D137" s="2" t="str">
        <x:v>Abuja</x:v>
      </x:c>
      <x:c r="E137" s="2" t="str">
        <x:v>Electronics</x:v>
      </x:c>
      <x:c r="F137" s="2" t="str">
        <x:v>Power bank</x:v>
      </x:c>
      <x:c r="G137" s="2" t="str">
        <x:v>Online</x:v>
      </x:c>
      <x:c r="H137" s="7" t="n">
        <x:v>1</x:v>
      </x:c>
      <x:c r="I137" s="9" t="n">
        <x:v>15000</x:v>
      </x:c>
      <x:c r="J137" s="9" t="n">
        <x:v>9500</x:v>
      </x:c>
      <x:c r="K137" s="10" t="n">
        <x:v>0.05</x:v>
      </x:c>
      <x:c r="L137" s="2" t="str">
        <x:v>Completed</x:v>
      </x:c>
      <x:c r="M137" s="12" t="n">
        <x:f>H137*I137</x:f>
        <x:v>15000</x:v>
      </x:c>
      <x:c r="N137" s="12" t="n">
        <x:f>IF(L137="Completed",ROUND(M137*(1-K137),2),0)</x:f>
        <x:v>14250</x:v>
      </x:c>
      <x:c r="O137" s="12" t="n">
        <x:f>IF(L137="Completed",H137*J137,0)</x:f>
        <x:v>9500</x:v>
      </x:c>
      <x:c r="P137" s="12" t="n">
        <x:f>N137-O137</x:f>
        <x:v>4750</x:v>
      </x:c>
    </x:row>
    <x:row r="138" ht="21" customHeight="1">
      <x:c r="A138" s="7" t="n">
        <x:v>133</x:v>
      </x:c>
      <x:c r="B138" s="2" t="str">
        <x:v>TXN-00133</x:v>
      </x:c>
      <x:c r="C138" s="8" t="d">
        <x:v>2025-02-22T00:00:00.000Z</x:v>
      </x:c>
      <x:c r="D138" s="2" t="str">
        <x:v>Abuja</x:v>
      </x:c>
      <x:c r="E138" s="2" t="str">
        <x:v>Fashion</x:v>
      </x:c>
      <x:c r="F138" s="2" t="str">
        <x:v>T-shirt</x:v>
      </x:c>
      <x:c r="G138" s="2" t="str">
        <x:v>In-store</x:v>
      </x:c>
      <x:c r="H138" s="7" t="n">
        <x:v>2</x:v>
      </x:c>
      <x:c r="I138" s="9" t="n">
        <x:v>9000</x:v>
      </x:c>
      <x:c r="J138" s="9" t="n">
        <x:v>5000</x:v>
      </x:c>
      <x:c r="K138" s="10" t="n">
        <x:v>0</x:v>
      </x:c>
      <x:c r="L138" s="2" t="str">
        <x:v>Completed</x:v>
      </x:c>
      <x:c r="M138" s="12" t="n">
        <x:f>H138*I138</x:f>
        <x:v>18000</x:v>
      </x:c>
      <x:c r="N138" s="12" t="n">
        <x:f>IF(L138="Completed",ROUND(M138*(1-K138),2),0)</x:f>
        <x:v>18000</x:v>
      </x:c>
      <x:c r="O138" s="12" t="n">
        <x:f>IF(L138="Completed",H138*J138,0)</x:f>
        <x:v>10000</x:v>
      </x:c>
      <x:c r="P138" s="12" t="n">
        <x:f>N138-O138</x:f>
        <x:v>8000</x:v>
      </x:c>
    </x:row>
    <x:row r="139" ht="21" customHeight="1">
      <x:c r="A139" s="7" t="n">
        <x:v>134</x:v>
      </x:c>
      <x:c r="B139" s="2" t="str">
        <x:v>TXN-00134</x:v>
      </x:c>
      <x:c r="C139" s="8" t="d">
        <x:v>2025-02-23T00:00:00.000Z</x:v>
      </x:c>
      <x:c r="D139" s="2" t="str">
        <x:v>Kano</x:v>
      </x:c>
      <x:c r="E139" s="2" t="str">
        <x:v>Fashion</x:v>
      </x:c>
      <x:c r="F139" s="2" t="str">
        <x:v>Sneakers</x:v>
      </x:c>
      <x:c r="G139" s="2" t="str">
        <x:v>Online</x:v>
      </x:c>
      <x:c r="H139" s="7" t="n">
        <x:v>3</x:v>
      </x:c>
      <x:c r="I139" s="9" t="n">
        <x:v>28000</x:v>
      </x:c>
      <x:c r="J139" s="9" t="n">
        <x:v>17500</x:v>
      </x:c>
      <x:c r="K139" s="10" t="n">
        <x:v>0</x:v>
      </x:c>
      <x:c r="L139" s="2" t="str">
        <x:v>Completed</x:v>
      </x:c>
      <x:c r="M139" s="12" t="n">
        <x:f>H139*I139</x:f>
        <x:v>84000</x:v>
      </x:c>
      <x:c r="N139" s="12" t="n">
        <x:f>IF(L139="Completed",ROUND(M139*(1-K139),2),0)</x:f>
        <x:v>84000</x:v>
      </x:c>
      <x:c r="O139" s="12" t="n">
        <x:f>IF(L139="Completed",H139*J139,0)</x:f>
        <x:v>52500</x:v>
      </x:c>
      <x:c r="P139" s="12" t="n">
        <x:f>N139-O139</x:f>
        <x:v>31500</x:v>
      </x:c>
    </x:row>
    <x:row r="140" ht="21" customHeight="1">
      <x:c r="A140" s="7" t="n">
        <x:v>135</x:v>
      </x:c>
      <x:c r="B140" s="2" t="str">
        <x:v>TXN-00135</x:v>
      </x:c>
      <x:c r="C140" s="8" t="d">
        <x:v>2025-02-11T00:00:00.000Z</x:v>
      </x:c>
      <x:c r="D140" s="2" t="str">
        <x:v>Kano</x:v>
      </x:c>
      <x:c r="E140" s="2" t="str">
        <x:v>Home</x:v>
      </x:c>
      <x:c r="F140" s="2" t="str">
        <x:v>Bedsheet</x:v>
      </x:c>
      <x:c r="G140" s="2" t="str">
        <x:v>Online</x:v>
      </x:c>
      <x:c r="H140" s="7" t="n">
        <x:v>2</x:v>
      </x:c>
      <x:c r="I140" s="9" t="n">
        <x:v>14000</x:v>
      </x:c>
      <x:c r="J140" s="9" t="n">
        <x:v>8500</x:v>
      </x:c>
      <x:c r="K140" s="10" t="n">
        <x:v>0.1</x:v>
      </x:c>
      <x:c r="L140" s="2" t="str">
        <x:v>Completed</x:v>
      </x:c>
      <x:c r="M140" s="12" t="n">
        <x:f>H140*I140</x:f>
        <x:v>28000</x:v>
      </x:c>
      <x:c r="N140" s="12" t="n">
        <x:f>IF(L140="Completed",ROUND(M140*(1-K140),2),0)</x:f>
        <x:v>25200</x:v>
      </x:c>
      <x:c r="O140" s="12" t="n">
        <x:f>IF(L140="Completed",H140*J140,0)</x:f>
        <x:v>17000</x:v>
      </x:c>
      <x:c r="P140" s="12" t="n">
        <x:f>N140-O140</x:f>
        <x:v>8200</x:v>
      </x:c>
    </x:row>
    <x:row r="141" ht="21" customHeight="1">
      <x:c r="A141" s="7" t="n">
        <x:v>136</x:v>
      </x:c>
      <x:c r="B141" s="2" t="str">
        <x:v>TXN-00136</x:v>
      </x:c>
      <x:c r="C141" s="8" t="d">
        <x:v>2025-02-06T00:00:00.000Z</x:v>
      </x:c>
      <x:c r="D141" s="2" t="str">
        <x:v>Lagos</x:v>
      </x:c>
      <x:c r="E141" s="2" t="str">
        <x:v>Home</x:v>
      </x:c>
      <x:c r="F141" s="2" t="str">
        <x:v>Cookware set</x:v>
      </x:c>
      <x:c r="G141" s="2" t="str">
        <x:v>In-store</x:v>
      </x:c>
      <x:c r="H141" s="7" t="n">
        <x:v>1</x:v>
      </x:c>
      <x:c r="I141" s="9" t="n">
        <x:v>35000</x:v>
      </x:c>
      <x:c r="J141" s="9" t="n">
        <x:v>22500</x:v>
      </x:c>
      <x:c r="K141" s="10" t="n">
        <x:v>0</x:v>
      </x:c>
      <x:c r="L141" s="2" t="str">
        <x:v>Completed</x:v>
      </x:c>
      <x:c r="M141" s="12" t="n">
        <x:f>H141*I141</x:f>
        <x:v>35000</x:v>
      </x:c>
      <x:c r="N141" s="12" t="n">
        <x:f>IF(L141="Completed",ROUND(M141*(1-K141),2),0)</x:f>
        <x:v>35000</x:v>
      </x:c>
      <x:c r="O141" s="12" t="n">
        <x:f>IF(L141="Completed",H141*J141,0)</x:f>
        <x:v>22500</x:v>
      </x:c>
      <x:c r="P141" s="12" t="n">
        <x:f>N141-O141</x:f>
        <x:v>12500</x:v>
      </x:c>
    </x:row>
    <x:row r="142" ht="21" customHeight="1">
      <x:c r="A142" s="7" t="n">
        <x:v>137</x:v>
      </x:c>
      <x:c r="B142" s="2" t="str">
        <x:v>TXN-00137</x:v>
      </x:c>
      <x:c r="C142" s="8" t="d">
        <x:v>2025-02-17T00:00:00.000Z</x:v>
      </x:c>
      <x:c r="D142" s="2" t="str">
        <x:v>Lagos</x:v>
      </x:c>
      <x:c r="E142" s="2" t="str">
        <x:v>Fashion</x:v>
      </x:c>
      <x:c r="F142" s="2" t="str">
        <x:v>Sneakers</x:v>
      </x:c>
      <x:c r="G142" s="2" t="str">
        <x:v>In-store</x:v>
      </x:c>
      <x:c r="H142" s="7" t="n">
        <x:v>2</x:v>
      </x:c>
      <x:c r="I142" s="9" t="n">
        <x:v>28000</x:v>
      </x:c>
      <x:c r="J142" s="9" t="n">
        <x:v>17500</x:v>
      </x:c>
      <x:c r="K142" s="10" t="n">
        <x:v>0</x:v>
      </x:c>
      <x:c r="L142" s="2" t="str">
        <x:v>Completed</x:v>
      </x:c>
      <x:c r="M142" s="12" t="n">
        <x:f>H142*I142</x:f>
        <x:v>56000</x:v>
      </x:c>
      <x:c r="N142" s="12" t="n">
        <x:f>IF(L142="Completed",ROUND(M142*(1-K142),2),0)</x:f>
        <x:v>56000</x:v>
      </x:c>
      <x:c r="O142" s="12" t="n">
        <x:f>IF(L142="Completed",H142*J142,0)</x:f>
        <x:v>35000</x:v>
      </x:c>
      <x:c r="P142" s="12" t="n">
        <x:f>N142-O142</x:f>
        <x:v>21000</x:v>
      </x:c>
    </x:row>
    <x:row r="143" ht="21" customHeight="1">
      <x:c r="A143" s="7" t="n">
        <x:v>138</x:v>
      </x:c>
      <x:c r="B143" s="2" t="str">
        <x:v>TXN-00138</x:v>
      </x:c>
      <x:c r="C143" s="8" t="d">
        <x:v>2025-02-21T00:00:00.000Z</x:v>
      </x:c>
      <x:c r="D143" s="2" t="str">
        <x:v>Kano</x:v>
      </x:c>
      <x:c r="E143" s="2" t="str">
        <x:v>Home</x:v>
      </x:c>
      <x:c r="F143" s="2" t="str">
        <x:v>Cookware set</x:v>
      </x:c>
      <x:c r="G143" s="2" t="str">
        <x:v>Online</x:v>
      </x:c>
      <x:c r="H143" s="7" t="n">
        <x:v>3</x:v>
      </x:c>
      <x:c r="I143" s="9" t="n">
        <x:v>35000</x:v>
      </x:c>
      <x:c r="J143" s="9" t="n">
        <x:v>22500</x:v>
      </x:c>
      <x:c r="K143" s="10" t="n">
        <x:v>0</x:v>
      </x:c>
      <x:c r="L143" s="2" t="str">
        <x:v>Completed</x:v>
      </x:c>
      <x:c r="M143" s="12" t="n">
        <x:f>H143*I143</x:f>
        <x:v>105000</x:v>
      </x:c>
      <x:c r="N143" s="12" t="n">
        <x:f>IF(L143="Completed",ROUND(M143*(1-K143),2),0)</x:f>
        <x:v>105000</x:v>
      </x:c>
      <x:c r="O143" s="12" t="n">
        <x:f>IF(L143="Completed",H143*J143,0)</x:f>
        <x:v>67500</x:v>
      </x:c>
      <x:c r="P143" s="12" t="n">
        <x:f>N143-O143</x:f>
        <x:v>37500</x:v>
      </x:c>
    </x:row>
    <x:row r="144" ht="21" customHeight="1">
      <x:c r="A144" s="7" t="n">
        <x:v>139</x:v>
      </x:c>
      <x:c r="B144" s="2" t="str">
        <x:v>TXN-00139</x:v>
      </x:c>
      <x:c r="C144" s="8" t="d">
        <x:v>2025-02-03T00:00:00.000Z</x:v>
      </x:c>
      <x:c r="D144" s="2" t="str">
        <x:v>Lagos</x:v>
      </x:c>
      <x:c r="E144" s="2" t="str">
        <x:v>Electronics</x:v>
      </x:c>
      <x:c r="F144" s="2" t="str">
        <x:v>Headphones</x:v>
      </x:c>
      <x:c r="G144" s="2" t="str">
        <x:v>In-store</x:v>
      </x:c>
      <x:c r="H144" s="7" t="n">
        <x:v>1</x:v>
      </x:c>
      <x:c r="I144" s="9" t="n">
        <x:v>18000</x:v>
      </x:c>
      <x:c r="J144" s="9" t="n">
        <x:v>10500</x:v>
      </x:c>
      <x:c r="K144" s="10" t="n">
        <x:v>0</x:v>
      </x:c>
      <x:c r="L144" s="2" t="str">
        <x:v>Completed</x:v>
      </x:c>
      <x:c r="M144" s="12" t="n">
        <x:f>H144*I144</x:f>
        <x:v>18000</x:v>
      </x:c>
      <x:c r="N144" s="12" t="n">
        <x:f>IF(L144="Completed",ROUND(M144*(1-K144),2),0)</x:f>
        <x:v>18000</x:v>
      </x:c>
      <x:c r="O144" s="12" t="n">
        <x:f>IF(L144="Completed",H144*J144,0)</x:f>
        <x:v>10500</x:v>
      </x:c>
      <x:c r="P144" s="12" t="n">
        <x:f>N144-O144</x:f>
        <x:v>7500</x:v>
      </x:c>
    </x:row>
    <x:row r="145" ht="21" customHeight="1">
      <x:c r="A145" s="7" t="n">
        <x:v>140</x:v>
      </x:c>
      <x:c r="B145" s="2" t="str">
        <x:v>TXN-00140</x:v>
      </x:c>
      <x:c r="C145" s="8" t="d">
        <x:v>2025-02-27T00:00:00.000Z</x:v>
      </x:c>
      <x:c r="D145" s="2" t="str">
        <x:v>Port Harcourt</x:v>
      </x:c>
      <x:c r="E145" s="2" t="str">
        <x:v>Electronics</x:v>
      </x:c>
      <x:c r="F145" s="2" t="str">
        <x:v>Headphones</x:v>
      </x:c>
      <x:c r="G145" s="2" t="str">
        <x:v>Online</x:v>
      </x:c>
      <x:c r="H145" s="7" t="n">
        <x:v>1</x:v>
      </x:c>
      <x:c r="I145" s="9" t="n">
        <x:v>18000</x:v>
      </x:c>
      <x:c r="J145" s="9" t="n">
        <x:v>10500</x:v>
      </x:c>
      <x:c r="K145" s="10" t="n">
        <x:v>0</x:v>
      </x:c>
      <x:c r="L145" s="2" t="str">
        <x:v>Completed</x:v>
      </x:c>
      <x:c r="M145" s="12" t="n">
        <x:f>H145*I145</x:f>
        <x:v>18000</x:v>
      </x:c>
      <x:c r="N145" s="12" t="n">
        <x:f>IF(L145="Completed",ROUND(M145*(1-K145),2),0)</x:f>
        <x:v>18000</x:v>
      </x:c>
      <x:c r="O145" s="12" t="n">
        <x:f>IF(L145="Completed",H145*J145,0)</x:f>
        <x:v>10500</x:v>
      </x:c>
      <x:c r="P145" s="12" t="n">
        <x:f>N145-O145</x:f>
        <x:v>7500</x:v>
      </x:c>
    </x:row>
    <x:row r="146" ht="21" customHeight="1">
      <x:c r="A146" s="7" t="n">
        <x:v>141</x:v>
      </x:c>
      <x:c r="B146" s="2" t="str">
        <x:v>TXN-00141</x:v>
      </x:c>
      <x:c r="C146" s="8" t="d">
        <x:v>2025-02-14T00:00:00.000Z</x:v>
      </x:c>
      <x:c r="D146" s="2" t="str">
        <x:v>Abuja</x:v>
      </x:c>
      <x:c r="E146" s="2" t="str">
        <x:v>Electronics</x:v>
      </x:c>
      <x:c r="F146" s="2" t="str">
        <x:v>Power bank</x:v>
      </x:c>
      <x:c r="G146" s="2" t="str">
        <x:v>In-store</x:v>
      </x:c>
      <x:c r="H146" s="7" t="n">
        <x:v>1</x:v>
      </x:c>
      <x:c r="I146" s="9" t="n">
        <x:v>15000</x:v>
      </x:c>
      <x:c r="J146" s="9" t="n">
        <x:v>9500</x:v>
      </x:c>
      <x:c r="K146" s="10" t="n">
        <x:v>0</x:v>
      </x:c>
      <x:c r="L146" s="2" t="str">
        <x:v>Completed</x:v>
      </x:c>
      <x:c r="M146" s="12" t="n">
        <x:f>H146*I146</x:f>
        <x:v>15000</x:v>
      </x:c>
      <x:c r="N146" s="12" t="n">
        <x:f>IF(L146="Completed",ROUND(M146*(1-K146),2),0)</x:f>
        <x:v>15000</x:v>
      </x:c>
      <x:c r="O146" s="12" t="n">
        <x:f>IF(L146="Completed",H146*J146,0)</x:f>
        <x:v>9500</x:v>
      </x:c>
      <x:c r="P146" s="12" t="n">
        <x:f>N146-O146</x:f>
        <x:v>5500</x:v>
      </x:c>
    </x:row>
    <x:row r="147" ht="21" customHeight="1">
      <x:c r="A147" s="7" t="n">
        <x:v>142</x:v>
      </x:c>
      <x:c r="B147" s="2" t="str">
        <x:v>TXN-00142</x:v>
      </x:c>
      <x:c r="C147" s="8" t="d">
        <x:v>2025-02-08T00:00:00.000Z</x:v>
      </x:c>
      <x:c r="D147" s="2" t="str">
        <x:v>Kano</x:v>
      </x:c>
      <x:c r="E147" s="2" t="str">
        <x:v>Beauty</x:v>
      </x:c>
      <x:c r="F147" s="2" t="str">
        <x:v>Body wash</x:v>
      </x:c>
      <x:c r="G147" s="2" t="str">
        <x:v>In-store</x:v>
      </x:c>
      <x:c r="H147" s="7" t="n">
        <x:v>1</x:v>
      </x:c>
      <x:c r="I147" s="9" t="n">
        <x:v>4500</x:v>
      </x:c>
      <x:c r="J147" s="9" t="n">
        <x:v>2300</x:v>
      </x:c>
      <x:c r="K147" s="10" t="n">
        <x:v>0.05</x:v>
      </x:c>
      <x:c r="L147" s="2" t="str">
        <x:v>Completed</x:v>
      </x:c>
      <x:c r="M147" s="12" t="n">
        <x:f>H147*I147</x:f>
        <x:v>4500</x:v>
      </x:c>
      <x:c r="N147" s="12" t="n">
        <x:f>IF(L147="Completed",ROUND(M147*(1-K147),2),0)</x:f>
        <x:v>4275</x:v>
      </x:c>
      <x:c r="O147" s="12" t="n">
        <x:f>IF(L147="Completed",H147*J147,0)</x:f>
        <x:v>2300</x:v>
      </x:c>
      <x:c r="P147" s="12" t="n">
        <x:f>N147-O147</x:f>
        <x:v>1975</x:v>
      </x:c>
    </x:row>
    <x:row r="148" ht="21" customHeight="1">
      <x:c r="A148" s="7" t="n">
        <x:v>143</x:v>
      </x:c>
      <x:c r="B148" s="2" t="str">
        <x:v>TXN-00143</x:v>
      </x:c>
      <x:c r="C148" s="8" t="d">
        <x:v>2025-02-03T00:00:00.000Z</x:v>
      </x:c>
      <x:c r="D148" s="2" t="str">
        <x:v>Lagos</x:v>
      </x:c>
      <x:c r="E148" s="2" t="str">
        <x:v>Home</x:v>
      </x:c>
      <x:c r="F148" s="2" t="str">
        <x:v>Desk lamp</x:v>
      </x:c>
      <x:c r="G148" s="2" t="str">
        <x:v>In-store</x:v>
      </x:c>
      <x:c r="H148" s="7" t="n">
        <x:v>2</x:v>
      </x:c>
      <x:c r="I148" s="9" t="n">
        <x:v>12000</x:v>
      </x:c>
      <x:c r="J148" s="9" t="n">
        <x:v>7200</x:v>
      </x:c>
      <x:c r="K148" s="10" t="n">
        <x:v>0</x:v>
      </x:c>
      <x:c r="L148" s="2" t="str">
        <x:v>Completed</x:v>
      </x:c>
      <x:c r="M148" s="12" t="n">
        <x:f>H148*I148</x:f>
        <x:v>24000</x:v>
      </x:c>
      <x:c r="N148" s="12" t="n">
        <x:f>IF(L148="Completed",ROUND(M148*(1-K148),2),0)</x:f>
        <x:v>24000</x:v>
      </x:c>
      <x:c r="O148" s="12" t="n">
        <x:f>IF(L148="Completed",H148*J148,0)</x:f>
        <x:v>14400</x:v>
      </x:c>
      <x:c r="P148" s="12" t="n">
        <x:f>N148-O148</x:f>
        <x:v>9600</x:v>
      </x:c>
    </x:row>
    <x:row r="149" ht="21" customHeight="1">
      <x:c r="A149" s="7" t="n">
        <x:v>144</x:v>
      </x:c>
      <x:c r="B149" s="2" t="str">
        <x:v>TXN-00144</x:v>
      </x:c>
      <x:c r="C149" s="8" t="d">
        <x:v>2025-02-03T00:00:00.000Z</x:v>
      </x:c>
      <x:c r="D149" s="2" t="str">
        <x:v>Lagos</x:v>
      </x:c>
      <x:c r="E149" s="2" t="str">
        <x:v>Fashion</x:v>
      </x:c>
      <x:c r="F149" s="2" t="str">
        <x:v>T-shirt</x:v>
      </x:c>
      <x:c r="G149" s="2" t="str">
        <x:v>In-store</x:v>
      </x:c>
      <x:c r="H149" s="7" t="n">
        <x:v>2</x:v>
      </x:c>
      <x:c r="I149" s="9" t="n">
        <x:v>9000</x:v>
      </x:c>
      <x:c r="J149" s="9" t="n">
        <x:v>5000</x:v>
      </x:c>
      <x:c r="K149" s="10" t="n">
        <x:v>0</x:v>
      </x:c>
      <x:c r="L149" s="2" t="str">
        <x:v>Completed</x:v>
      </x:c>
      <x:c r="M149" s="12" t="n">
        <x:f>H149*I149</x:f>
        <x:v>18000</x:v>
      </x:c>
      <x:c r="N149" s="12" t="n">
        <x:f>IF(L149="Completed",ROUND(M149*(1-K149),2),0)</x:f>
        <x:v>18000</x:v>
      </x:c>
      <x:c r="O149" s="12" t="n">
        <x:f>IF(L149="Completed",H149*J149,0)</x:f>
        <x:v>10000</x:v>
      </x:c>
      <x:c r="P149" s="12" t="n">
        <x:f>N149-O149</x:f>
        <x:v>8000</x:v>
      </x:c>
    </x:row>
    <x:row r="150" ht="21" customHeight="1">
      <x:c r="A150" s="7" t="n">
        <x:v>145</x:v>
      </x:c>
      <x:c r="B150" s="2" t="str">
        <x:v>TXN-00145</x:v>
      </x:c>
      <x:c r="C150" s="8" t="d">
        <x:v>2025-02-27T00:00:00.000Z</x:v>
      </x:c>
      <x:c r="D150" s="2" t="str">
        <x:v>Lagos</x:v>
      </x:c>
      <x:c r="E150" s="2" t="str">
        <x:v>Electronics</x:v>
      </x:c>
      <x:c r="F150" s="2" t="str">
        <x:v>Power bank</x:v>
      </x:c>
      <x:c r="G150" s="2" t="str">
        <x:v>Online</x:v>
      </x:c>
      <x:c r="H150" s="7" t="n">
        <x:v>1</x:v>
      </x:c>
      <x:c r="I150" s="9" t="n">
        <x:v>15000</x:v>
      </x:c>
      <x:c r="J150" s="9" t="n">
        <x:v>9500</x:v>
      </x:c>
      <x:c r="K150" s="10" t="n">
        <x:v>0.05</x:v>
      </x:c>
      <x:c r="L150" s="2" t="str">
        <x:v>Completed</x:v>
      </x:c>
      <x:c r="M150" s="12" t="n">
        <x:f>H150*I150</x:f>
        <x:v>15000</x:v>
      </x:c>
      <x:c r="N150" s="12" t="n">
        <x:f>IF(L150="Completed",ROUND(M150*(1-K150),2),0)</x:f>
        <x:v>14250</x:v>
      </x:c>
      <x:c r="O150" s="12" t="n">
        <x:f>IF(L150="Completed",H150*J150,0)</x:f>
        <x:v>9500</x:v>
      </x:c>
      <x:c r="P150" s="12" t="n">
        <x:f>N150-O150</x:f>
        <x:v>4750</x:v>
      </x:c>
    </x:row>
    <x:row r="151" ht="21" customHeight="1">
      <x:c r="A151" s="7" t="n">
        <x:v>146</x:v>
      </x:c>
      <x:c r="B151" s="2" t="str">
        <x:v>TXN-00146</x:v>
      </x:c>
      <x:c r="C151" s="8" t="d">
        <x:v>2025-02-06T00:00:00.000Z</x:v>
      </x:c>
      <x:c r="D151" s="2" t="str">
        <x:v>Lagos</x:v>
      </x:c>
      <x:c r="E151" s="2" t="str">
        <x:v>Electronics</x:v>
      </x:c>
      <x:c r="F151" s="2" t="str">
        <x:v>Bluetooth speaker</x:v>
      </x:c>
      <x:c r="G151" s="2" t="str">
        <x:v>Online</x:v>
      </x:c>
      <x:c r="H151" s="7" t="n">
        <x:v>2</x:v>
      </x:c>
      <x:c r="I151" s="9" t="n">
        <x:v>26000</x:v>
      </x:c>
      <x:c r="J151" s="9" t="n">
        <x:v>17000</x:v>
      </x:c>
      <x:c r="K151" s="10" t="n">
        <x:v>0.05</x:v>
      </x:c>
      <x:c r="L151" s="2" t="str">
        <x:v>Completed</x:v>
      </x:c>
      <x:c r="M151" s="12" t="n">
        <x:f>H151*I151</x:f>
        <x:v>52000</x:v>
      </x:c>
      <x:c r="N151" s="12" t="n">
        <x:f>IF(L151="Completed",ROUND(M151*(1-K151),2),0)</x:f>
        <x:v>49400</x:v>
      </x:c>
      <x:c r="O151" s="12" t="n">
        <x:f>IF(L151="Completed",H151*J151,0)</x:f>
        <x:v>34000</x:v>
      </x:c>
      <x:c r="P151" s="12" t="n">
        <x:f>N151-O151</x:f>
        <x:v>15400</x:v>
      </x:c>
    </x:row>
    <x:row r="152" ht="21" customHeight="1">
      <x:c r="A152" s="7" t="n">
        <x:v>147</x:v>
      </x:c>
      <x:c r="B152" s="2" t="str">
        <x:v>TXN-00147</x:v>
      </x:c>
      <x:c r="C152" s="8" t="d">
        <x:v>2025-02-14T00:00:00.000Z</x:v>
      </x:c>
      <x:c r="D152" s="2" t="str">
        <x:v>Lagos</x:v>
      </x:c>
      <x:c r="E152" s="2" t="str">
        <x:v>Beauty</x:v>
      </x:c>
      <x:c r="F152" s="2" t="str">
        <x:v>Body wash</x:v>
      </x:c>
      <x:c r="G152" s="2" t="str">
        <x:v>Online</x:v>
      </x:c>
      <x:c r="H152" s="7" t="n">
        <x:v>3</x:v>
      </x:c>
      <x:c r="I152" s="9" t="n">
        <x:v>4500</x:v>
      </x:c>
      <x:c r="J152" s="9" t="n">
        <x:v>2300</x:v>
      </x:c>
      <x:c r="K152" s="10" t="n">
        <x:v>0</x:v>
      </x:c>
      <x:c r="L152" s="2" t="str">
        <x:v>Completed</x:v>
      </x:c>
      <x:c r="M152" s="12" t="n">
        <x:f>H152*I152</x:f>
        <x:v>13500</x:v>
      </x:c>
      <x:c r="N152" s="12" t="n">
        <x:f>IF(L152="Completed",ROUND(M152*(1-K152),2),0)</x:f>
        <x:v>13500</x:v>
      </x:c>
      <x:c r="O152" s="12" t="n">
        <x:f>IF(L152="Completed",H152*J152,0)</x:f>
        <x:v>6900</x:v>
      </x:c>
      <x:c r="P152" s="12" t="n">
        <x:f>N152-O152</x:f>
        <x:v>6600</x:v>
      </x:c>
    </x:row>
    <x:row r="153" ht="21" customHeight="1">
      <x:c r="A153" s="7" t="n">
        <x:v>148</x:v>
      </x:c>
      <x:c r="B153" s="2" t="str">
        <x:v>TXN-00148</x:v>
      </x:c>
      <x:c r="C153" s="8" t="d">
        <x:v>2025-02-28T00:00:00.000Z</x:v>
      </x:c>
      <x:c r="D153" s="2" t="str">
        <x:v>Lagos</x:v>
      </x:c>
      <x:c r="E153" s="2" t="str">
        <x:v>Fashion</x:v>
      </x:c>
      <x:c r="F153" s="2" t="str">
        <x:v>Sneakers</x:v>
      </x:c>
      <x:c r="G153" s="2" t="str">
        <x:v>Online</x:v>
      </x:c>
      <x:c r="H153" s="7" t="n">
        <x:v>1</x:v>
      </x:c>
      <x:c r="I153" s="9" t="n">
        <x:v>28000</x:v>
      </x:c>
      <x:c r="J153" s="9" t="n">
        <x:v>17500</x:v>
      </x:c>
      <x:c r="K153" s="10" t="n">
        <x:v>0</x:v>
      </x:c>
      <x:c r="L153" s="2" t="str">
        <x:v>Completed</x:v>
      </x:c>
      <x:c r="M153" s="12" t="n">
        <x:f>H153*I153</x:f>
        <x:v>28000</x:v>
      </x:c>
      <x:c r="N153" s="12" t="n">
        <x:f>IF(L153="Completed",ROUND(M153*(1-K153),2),0)</x:f>
        <x:v>28000</x:v>
      </x:c>
      <x:c r="O153" s="12" t="n">
        <x:f>IF(L153="Completed",H153*J153,0)</x:f>
        <x:v>17500</x:v>
      </x:c>
      <x:c r="P153" s="12" t="n">
        <x:f>N153-O153</x:f>
        <x:v>10500</x:v>
      </x:c>
    </x:row>
    <x:row r="154" ht="21" customHeight="1">
      <x:c r="A154" s="7" t="n">
        <x:v>149</x:v>
      </x:c>
      <x:c r="B154" s="2" t="str">
        <x:v>TXN-00149</x:v>
      </x:c>
      <x:c r="C154" s="8" t="d">
        <x:v>2025-02-16T00:00:00.000Z</x:v>
      </x:c>
      <x:c r="D154" s="2" t="str">
        <x:v>Lagos</x:v>
      </x:c>
      <x:c r="E154" s="2" t="str">
        <x:v>Fashion</x:v>
      </x:c>
      <x:c r="F154" s="2" t="str">
        <x:v>T-shirt</x:v>
      </x:c>
      <x:c r="G154" s="2" t="str">
        <x:v>In-store</x:v>
      </x:c>
      <x:c r="H154" s="7" t="n">
        <x:v>2</x:v>
      </x:c>
      <x:c r="I154" s="9" t="n">
        <x:v>9000</x:v>
      </x:c>
      <x:c r="J154" s="9" t="n">
        <x:v>5000</x:v>
      </x:c>
      <x:c r="K154" s="10" t="n">
        <x:v>0.1</x:v>
      </x:c>
      <x:c r="L154" s="2" t="str">
        <x:v>Completed</x:v>
      </x:c>
      <x:c r="M154" s="12" t="n">
        <x:f>H154*I154</x:f>
        <x:v>18000</x:v>
      </x:c>
      <x:c r="N154" s="12" t="n">
        <x:f>IF(L154="Completed",ROUND(M154*(1-K154),2),0)</x:f>
        <x:v>16200</x:v>
      </x:c>
      <x:c r="O154" s="12" t="n">
        <x:f>IF(L154="Completed",H154*J154,0)</x:f>
        <x:v>10000</x:v>
      </x:c>
      <x:c r="P154" s="12" t="n">
        <x:f>N154-O154</x:f>
        <x:v>6200</x:v>
      </x:c>
    </x:row>
    <x:row r="155" ht="21" customHeight="1">
      <x:c r="A155" s="7" t="n">
        <x:v>150</x:v>
      </x:c>
      <x:c r="B155" s="2" t="str">
        <x:v>TXN-00150</x:v>
      </x:c>
      <x:c r="C155" s="8" t="d">
        <x:v>2025-02-03T00:00:00.000Z</x:v>
      </x:c>
      <x:c r="D155" s="2" t="str">
        <x:v>Abuja</x:v>
      </x:c>
      <x:c r="E155" s="2" t="str">
        <x:v>Fashion</x:v>
      </x:c>
      <x:c r="F155" s="2" t="str">
        <x:v>Handbag</x:v>
      </x:c>
      <x:c r="G155" s="2" t="str">
        <x:v>In-store</x:v>
      </x:c>
      <x:c r="H155" s="7" t="n">
        <x:v>1</x:v>
      </x:c>
      <x:c r="I155" s="9" t="n">
        <x:v>22000</x:v>
      </x:c>
      <x:c r="J155" s="9" t="n">
        <x:v>13500</x:v>
      </x:c>
      <x:c r="K155" s="10" t="n">
        <x:v>0.15</x:v>
      </x:c>
      <x:c r="L155" s="2" t="str">
        <x:v>Completed</x:v>
      </x:c>
      <x:c r="M155" s="12" t="n">
        <x:f>H155*I155</x:f>
        <x:v>22000</x:v>
      </x:c>
      <x:c r="N155" s="12" t="n">
        <x:f>IF(L155="Completed",ROUND(M155*(1-K155),2),0)</x:f>
        <x:v>18700</x:v>
      </x:c>
      <x:c r="O155" s="12" t="n">
        <x:f>IF(L155="Completed",H155*J155,0)</x:f>
        <x:v>13500</x:v>
      </x:c>
      <x:c r="P155" s="12" t="n">
        <x:f>N155-O155</x:f>
        <x:v>5200</x:v>
      </x:c>
    </x:row>
    <x:row r="156" ht="21" customHeight="1">
      <x:c r="A156" s="7" t="n">
        <x:v>151</x:v>
      </x:c>
      <x:c r="B156" s="2" t="str">
        <x:v>TXN-00151</x:v>
      </x:c>
      <x:c r="C156" s="8" t="d">
        <x:v>2025-02-28T00:00:00.000Z</x:v>
      </x:c>
      <x:c r="D156" s="2" t="str">
        <x:v>Lagos</x:v>
      </x:c>
      <x:c r="E156" s="2" t="str">
        <x:v>Home</x:v>
      </x:c>
      <x:c r="F156" s="2" t="str">
        <x:v>Desk lamp</x:v>
      </x:c>
      <x:c r="G156" s="2" t="str">
        <x:v>Online</x:v>
      </x:c>
      <x:c r="H156" s="7" t="n">
        <x:v>1</x:v>
      </x:c>
      <x:c r="I156" s="9" t="n">
        <x:v>12000</x:v>
      </x:c>
      <x:c r="J156" s="9" t="n">
        <x:v>7200</x:v>
      </x:c>
      <x:c r="K156" s="10" t="n">
        <x:v>0.05</x:v>
      </x:c>
      <x:c r="L156" s="2" t="str">
        <x:v>Completed</x:v>
      </x:c>
      <x:c r="M156" s="12" t="n">
        <x:f>H156*I156</x:f>
        <x:v>12000</x:v>
      </x:c>
      <x:c r="N156" s="12" t="n">
        <x:f>IF(L156="Completed",ROUND(M156*(1-K156),2),0)</x:f>
        <x:v>11400</x:v>
      </x:c>
      <x:c r="O156" s="12" t="n">
        <x:f>IF(L156="Completed",H156*J156,0)</x:f>
        <x:v>7200</x:v>
      </x:c>
      <x:c r="P156" s="12" t="n">
        <x:f>N156-O156</x:f>
        <x:v>4200</x:v>
      </x:c>
    </x:row>
    <x:row r="157" ht="21" customHeight="1">
      <x:c r="A157" s="7" t="n">
        <x:v>152</x:v>
      </x:c>
      <x:c r="B157" s="2" t="str">
        <x:v>TXN-00152</x:v>
      </x:c>
      <x:c r="C157" s="8" t="d">
        <x:v>2025-02-05T00:00:00.000Z</x:v>
      </x:c>
      <x:c r="D157" s="2" t="str">
        <x:v>Lagos</x:v>
      </x:c>
      <x:c r="E157" s="2" t="str">
        <x:v>Electronics</x:v>
      </x:c>
      <x:c r="F157" s="2" t="str">
        <x:v>Bluetooth speaker</x:v>
      </x:c>
      <x:c r="G157" s="2" t="str">
        <x:v>In-store</x:v>
      </x:c>
      <x:c r="H157" s="7" t="n">
        <x:v>1</x:v>
      </x:c>
      <x:c r="I157" s="9" t="n">
        <x:v>26000</x:v>
      </x:c>
      <x:c r="J157" s="9" t="n">
        <x:v>17000</x:v>
      </x:c>
      <x:c r="K157" s="10" t="n">
        <x:v>0.05</x:v>
      </x:c>
      <x:c r="L157" s="2" t="str">
        <x:v>Completed</x:v>
      </x:c>
      <x:c r="M157" s="12" t="n">
        <x:f>H157*I157</x:f>
        <x:v>26000</x:v>
      </x:c>
      <x:c r="N157" s="12" t="n">
        <x:f>IF(L157="Completed",ROUND(M157*(1-K157),2),0)</x:f>
        <x:v>24700</x:v>
      </x:c>
      <x:c r="O157" s="12" t="n">
        <x:f>IF(L157="Completed",H157*J157,0)</x:f>
        <x:v>17000</x:v>
      </x:c>
      <x:c r="P157" s="12" t="n">
        <x:f>N157-O157</x:f>
        <x:v>7700</x:v>
      </x:c>
    </x:row>
    <x:row r="158" ht="21" customHeight="1">
      <x:c r="A158" s="7" t="n">
        <x:v>153</x:v>
      </x:c>
      <x:c r="B158" s="2" t="str">
        <x:v>TXN-00153</x:v>
      </x:c>
      <x:c r="C158" s="8" t="d">
        <x:v>2025-02-06T00:00:00.000Z</x:v>
      </x:c>
      <x:c r="D158" s="2" t="str">
        <x:v>Lagos</x:v>
      </x:c>
      <x:c r="E158" s="2" t="str">
        <x:v>Electronics</x:v>
      </x:c>
      <x:c r="F158" s="2" t="str">
        <x:v>Headphones</x:v>
      </x:c>
      <x:c r="G158" s="2" t="str">
        <x:v>In-store</x:v>
      </x:c>
      <x:c r="H158" s="7" t="n">
        <x:v>1</x:v>
      </x:c>
      <x:c r="I158" s="9" t="n">
        <x:v>18000</x:v>
      </x:c>
      <x:c r="J158" s="9" t="n">
        <x:v>10500</x:v>
      </x:c>
      <x:c r="K158" s="10" t="n">
        <x:v>0</x:v>
      </x:c>
      <x:c r="L158" s="2" t="str">
        <x:v>Completed</x:v>
      </x:c>
      <x:c r="M158" s="12" t="n">
        <x:f>H158*I158</x:f>
        <x:v>18000</x:v>
      </x:c>
      <x:c r="N158" s="12" t="n">
        <x:f>IF(L158="Completed",ROUND(M158*(1-K158),2),0)</x:f>
        <x:v>18000</x:v>
      </x:c>
      <x:c r="O158" s="12" t="n">
        <x:f>IF(L158="Completed",H158*J158,0)</x:f>
        <x:v>10500</x:v>
      </x:c>
      <x:c r="P158" s="12" t="n">
        <x:f>N158-O158</x:f>
        <x:v>7500</x:v>
      </x:c>
    </x:row>
    <x:row r="159" ht="21" customHeight="1">
      <x:c r="A159" s="7" t="n">
        <x:v>154</x:v>
      </x:c>
      <x:c r="B159" s="2" t="str">
        <x:v>TXN-00154</x:v>
      </x:c>
      <x:c r="C159" s="8" t="d">
        <x:v>2025-02-09T00:00:00.000Z</x:v>
      </x:c>
      <x:c r="D159" s="2" t="str">
        <x:v>Lagos</x:v>
      </x:c>
      <x:c r="E159" s="2" t="str">
        <x:v>Home</x:v>
      </x:c>
      <x:c r="F159" s="2" t="str">
        <x:v>Bedsheet</x:v>
      </x:c>
      <x:c r="G159" s="2" t="str">
        <x:v>In-store</x:v>
      </x:c>
      <x:c r="H159" s="7" t="n">
        <x:v>1</x:v>
      </x:c>
      <x:c r="I159" s="9" t="n">
        <x:v>14000</x:v>
      </x:c>
      <x:c r="J159" s="9" t="n">
        <x:v>8500</x:v>
      </x:c>
      <x:c r="K159" s="10" t="n">
        <x:v>0.05</x:v>
      </x:c>
      <x:c r="L159" s="2" t="str">
        <x:v>Completed</x:v>
      </x:c>
      <x:c r="M159" s="12" t="n">
        <x:f>H159*I159</x:f>
        <x:v>14000</x:v>
      </x:c>
      <x:c r="N159" s="12" t="n">
        <x:f>IF(L159="Completed",ROUND(M159*(1-K159),2),0)</x:f>
        <x:v>13300</x:v>
      </x:c>
      <x:c r="O159" s="12" t="n">
        <x:f>IF(L159="Completed",H159*J159,0)</x:f>
        <x:v>8500</x:v>
      </x:c>
      <x:c r="P159" s="12" t="n">
        <x:f>N159-O159</x:f>
        <x:v>4800</x:v>
      </x:c>
    </x:row>
    <x:row r="160" ht="21" customHeight="1">
      <x:c r="A160" s="7" t="n">
        <x:v>155</x:v>
      </x:c>
      <x:c r="B160" s="2" t="str">
        <x:v>TXN-00155</x:v>
      </x:c>
      <x:c r="C160" s="8" t="d">
        <x:v>2025-02-24T00:00:00.000Z</x:v>
      </x:c>
      <x:c r="D160" s="2" t="str">
        <x:v>Lagos</x:v>
      </x:c>
      <x:c r="E160" s="2" t="str">
        <x:v>Fashion</x:v>
      </x:c>
      <x:c r="F160" s="2" t="str">
        <x:v>Sneakers</x:v>
      </x:c>
      <x:c r="G160" s="2" t="str">
        <x:v>In-store</x:v>
      </x:c>
      <x:c r="H160" s="7" t="n">
        <x:v>2</x:v>
      </x:c>
      <x:c r="I160" s="9" t="n">
        <x:v>28000</x:v>
      </x:c>
      <x:c r="J160" s="9" t="n">
        <x:v>17500</x:v>
      </x:c>
      <x:c r="K160" s="10" t="n">
        <x:v>0</x:v>
      </x:c>
      <x:c r="L160" s="2" t="str">
        <x:v>Returned</x:v>
      </x:c>
      <x:c r="M160" s="12" t="n">
        <x:f>H160*I160</x:f>
        <x:v>56000</x:v>
      </x:c>
      <x:c r="N160" s="12" t="n">
        <x:f>IF(L160="Completed",ROUND(M160*(1-K160),2),0)</x:f>
        <x:v>0</x:v>
      </x:c>
      <x:c r="O160" s="12" t="n">
        <x:f>IF(L160="Completed",H160*J160,0)</x:f>
        <x:v>0</x:v>
      </x:c>
      <x:c r="P160" s="12" t="n">
        <x:f>N160-O160</x:f>
        <x:v>0</x:v>
      </x:c>
    </x:row>
    <x:row r="161" ht="21" customHeight="1">
      <x:c r="A161" s="7" t="n">
        <x:v>156</x:v>
      </x:c>
      <x:c r="B161" s="2" t="str">
        <x:v>TXN-00156</x:v>
      </x:c>
      <x:c r="C161" s="8" t="d">
        <x:v>2025-02-10T00:00:00.000Z</x:v>
      </x:c>
      <x:c r="D161" s="2" t="str">
        <x:v>Lagos</x:v>
      </x:c>
      <x:c r="E161" s="2" t="str">
        <x:v>Beauty</x:v>
      </x:c>
      <x:c r="F161" s="2" t="str">
        <x:v>Perfume</x:v>
      </x:c>
      <x:c r="G161" s="2" t="str">
        <x:v>In-store</x:v>
      </x:c>
      <x:c r="H161" s="7" t="n">
        <x:v>2</x:v>
      </x:c>
      <x:c r="I161" s="9" t="n">
        <x:v>17000</x:v>
      </x:c>
      <x:c r="J161" s="9" t="n">
        <x:v>9000</x:v>
      </x:c>
      <x:c r="K161" s="10" t="n">
        <x:v>0.1</x:v>
      </x:c>
      <x:c r="L161" s="2" t="str">
        <x:v>Completed</x:v>
      </x:c>
      <x:c r="M161" s="12" t="n">
        <x:f>H161*I161</x:f>
        <x:v>34000</x:v>
      </x:c>
      <x:c r="N161" s="12" t="n">
        <x:f>IF(L161="Completed",ROUND(M161*(1-K161),2),0)</x:f>
        <x:v>30600</x:v>
      </x:c>
      <x:c r="O161" s="12" t="n">
        <x:f>IF(L161="Completed",H161*J161,0)</x:f>
        <x:v>18000</x:v>
      </x:c>
      <x:c r="P161" s="12" t="n">
        <x:f>N161-O161</x:f>
        <x:v>12600</x:v>
      </x:c>
    </x:row>
    <x:row r="162" ht="21" customHeight="1">
      <x:c r="A162" s="7" t="n">
        <x:v>157</x:v>
      </x:c>
      <x:c r="B162" s="2" t="str">
        <x:v>TXN-00157</x:v>
      </x:c>
      <x:c r="C162" s="8" t="d">
        <x:v>2025-02-07T00:00:00.000Z</x:v>
      </x:c>
      <x:c r="D162" s="2" t="str">
        <x:v>Abuja</x:v>
      </x:c>
      <x:c r="E162" s="2" t="str">
        <x:v>Fashion</x:v>
      </x:c>
      <x:c r="F162" s="2" t="str">
        <x:v>Sneakers</x:v>
      </x:c>
      <x:c r="G162" s="2" t="str">
        <x:v>Online</x:v>
      </x:c>
      <x:c r="H162" s="7" t="n">
        <x:v>1</x:v>
      </x:c>
      <x:c r="I162" s="9" t="n">
        <x:v>28000</x:v>
      </x:c>
      <x:c r="J162" s="9" t="n">
        <x:v>17500</x:v>
      </x:c>
      <x:c r="K162" s="10" t="n">
        <x:v>0</x:v>
      </x:c>
      <x:c r="L162" s="2" t="str">
        <x:v>Completed</x:v>
      </x:c>
      <x:c r="M162" s="12" t="n">
        <x:f>H162*I162</x:f>
        <x:v>28000</x:v>
      </x:c>
      <x:c r="N162" s="12" t="n">
        <x:f>IF(L162="Completed",ROUND(M162*(1-K162),2),0)</x:f>
        <x:v>28000</x:v>
      </x:c>
      <x:c r="O162" s="12" t="n">
        <x:f>IF(L162="Completed",H162*J162,0)</x:f>
        <x:v>17500</x:v>
      </x:c>
      <x:c r="P162" s="12" t="n">
        <x:f>N162-O162</x:f>
        <x:v>10500</x:v>
      </x:c>
    </x:row>
    <x:row r="163" ht="21" customHeight="1">
      <x:c r="A163" s="7" t="n">
        <x:v>158</x:v>
      </x:c>
      <x:c r="B163" s="2" t="str">
        <x:v>TXN-00158</x:v>
      </x:c>
      <x:c r="C163" s="8" t="d">
        <x:v>2025-02-07T00:00:00.000Z</x:v>
      </x:c>
      <x:c r="D163" s="2" t="str">
        <x:v>Abuja</x:v>
      </x:c>
      <x:c r="E163" s="2" t="str">
        <x:v>Electronics</x:v>
      </x:c>
      <x:c r="F163" s="2" t="str">
        <x:v>Headphones</x:v>
      </x:c>
      <x:c r="G163" s="2" t="str">
        <x:v>In-store</x:v>
      </x:c>
      <x:c r="H163" s="7" t="n">
        <x:v>3</x:v>
      </x:c>
      <x:c r="I163" s="9" t="n">
        <x:v>18000</x:v>
      </x:c>
      <x:c r="J163" s="9" t="n">
        <x:v>10500</x:v>
      </x:c>
      <x:c r="K163" s="10" t="n">
        <x:v>0</x:v>
      </x:c>
      <x:c r="L163" s="2" t="str">
        <x:v>Completed</x:v>
      </x:c>
      <x:c r="M163" s="12" t="n">
        <x:f>H163*I163</x:f>
        <x:v>54000</x:v>
      </x:c>
      <x:c r="N163" s="12" t="n">
        <x:f>IF(L163="Completed",ROUND(M163*(1-K163),2),0)</x:f>
        <x:v>54000</x:v>
      </x:c>
      <x:c r="O163" s="12" t="n">
        <x:f>IF(L163="Completed",H163*J163,0)</x:f>
        <x:v>31500</x:v>
      </x:c>
      <x:c r="P163" s="12" t="n">
        <x:f>N163-O163</x:f>
        <x:v>22500</x:v>
      </x:c>
    </x:row>
    <x:row r="164" ht="21" customHeight="1">
      <x:c r="A164" s="7" t="n">
        <x:v>159</x:v>
      </x:c>
      <x:c r="B164" s="2" t="str">
        <x:v>TXN-00159</x:v>
      </x:c>
      <x:c r="C164" s="8" t="d">
        <x:v>2025-02-01T00:00:00.000Z</x:v>
      </x:c>
      <x:c r="D164" s="2" t="str">
        <x:v>Lagos</x:v>
      </x:c>
      <x:c r="E164" s="2" t="str">
        <x:v>Home</x:v>
      </x:c>
      <x:c r="F164" s="2" t="str">
        <x:v>Cookware set</x:v>
      </x:c>
      <x:c r="G164" s="2" t="str">
        <x:v>Online</x:v>
      </x:c>
      <x:c r="H164" s="7" t="n">
        <x:v>2</x:v>
      </x:c>
      <x:c r="I164" s="9" t="n">
        <x:v>35000</x:v>
      </x:c>
      <x:c r="J164" s="9" t="n">
        <x:v>22500</x:v>
      </x:c>
      <x:c r="K164" s="10" t="n">
        <x:v>0.05</x:v>
      </x:c>
      <x:c r="L164" s="2" t="str">
        <x:v>Completed</x:v>
      </x:c>
      <x:c r="M164" s="12" t="n">
        <x:f>H164*I164</x:f>
        <x:v>70000</x:v>
      </x:c>
      <x:c r="N164" s="12" t="n">
        <x:f>IF(L164="Completed",ROUND(M164*(1-K164),2),0)</x:f>
        <x:v>66500</x:v>
      </x:c>
      <x:c r="O164" s="12" t="n">
        <x:f>IF(L164="Completed",H164*J164,0)</x:f>
        <x:v>45000</x:v>
      </x:c>
      <x:c r="P164" s="12" t="n">
        <x:f>N164-O164</x:f>
        <x:v>21500</x:v>
      </x:c>
    </x:row>
    <x:row r="165" ht="21" customHeight="1">
      <x:c r="A165" s="7" t="n">
        <x:v>160</x:v>
      </x:c>
      <x:c r="B165" s="2" t="str">
        <x:v>TXN-00160</x:v>
      </x:c>
      <x:c r="C165" s="8" t="d">
        <x:v>2025-02-19T00:00:00.000Z</x:v>
      </x:c>
      <x:c r="D165" s="2" t="str">
        <x:v>Abuja</x:v>
      </x:c>
      <x:c r="E165" s="2" t="str">
        <x:v>Electronics</x:v>
      </x:c>
      <x:c r="F165" s="2" t="str">
        <x:v>Headphones</x:v>
      </x:c>
      <x:c r="G165" s="2" t="str">
        <x:v>Online</x:v>
      </x:c>
      <x:c r="H165" s="7" t="n">
        <x:v>3</x:v>
      </x:c>
      <x:c r="I165" s="9" t="n">
        <x:v>18000</x:v>
      </x:c>
      <x:c r="J165" s="9" t="n">
        <x:v>10500</x:v>
      </x:c>
      <x:c r="K165" s="10" t="n">
        <x:v>0.1</x:v>
      </x:c>
      <x:c r="L165" s="2" t="str">
        <x:v>Completed</x:v>
      </x:c>
      <x:c r="M165" s="12" t="n">
        <x:f>H165*I165</x:f>
        <x:v>54000</x:v>
      </x:c>
      <x:c r="N165" s="12" t="n">
        <x:f>IF(L165="Completed",ROUND(M165*(1-K165),2),0)</x:f>
        <x:v>48600</x:v>
      </x:c>
      <x:c r="O165" s="12" t="n">
        <x:f>IF(L165="Completed",H165*J165,0)</x:f>
        <x:v>31500</x:v>
      </x:c>
      <x:c r="P165" s="12" t="n">
        <x:f>N165-O165</x:f>
        <x:v>17100</x:v>
      </x:c>
    </x:row>
    <x:row r="166" ht="21" customHeight="1">
      <x:c r="A166" s="7" t="n">
        <x:v>161</x:v>
      </x:c>
      <x:c r="B166" s="2" t="str">
        <x:v>TXN-00161</x:v>
      </x:c>
      <x:c r="C166" s="8" t="d">
        <x:v>2025-02-27T00:00:00.000Z</x:v>
      </x:c>
      <x:c r="D166" s="2" t="str">
        <x:v>Abuja</x:v>
      </x:c>
      <x:c r="E166" s="2" t="str">
        <x:v>Fashion</x:v>
      </x:c>
      <x:c r="F166" s="2" t="str">
        <x:v>Handbag</x:v>
      </x:c>
      <x:c r="G166" s="2" t="str">
        <x:v>Online</x:v>
      </x:c>
      <x:c r="H166" s="7" t="n">
        <x:v>3</x:v>
      </x:c>
      <x:c r="I166" s="9" t="n">
        <x:v>22000</x:v>
      </x:c>
      <x:c r="J166" s="9" t="n">
        <x:v>13500</x:v>
      </x:c>
      <x:c r="K166" s="10" t="n">
        <x:v>0</x:v>
      </x:c>
      <x:c r="L166" s="2" t="str">
        <x:v>Completed</x:v>
      </x:c>
      <x:c r="M166" s="12" t="n">
        <x:f>H166*I166</x:f>
        <x:v>66000</x:v>
      </x:c>
      <x:c r="N166" s="12" t="n">
        <x:f>IF(L166="Completed",ROUND(M166*(1-K166),2),0)</x:f>
        <x:v>66000</x:v>
      </x:c>
      <x:c r="O166" s="12" t="n">
        <x:f>IF(L166="Completed",H166*J166,0)</x:f>
        <x:v>40500</x:v>
      </x:c>
      <x:c r="P166" s="12" t="n">
        <x:f>N166-O166</x:f>
        <x:v>25500</x:v>
      </x:c>
    </x:row>
    <x:row r="167" ht="21" customHeight="1">
      <x:c r="A167" s="7" t="n">
        <x:v>162</x:v>
      </x:c>
      <x:c r="B167" s="2" t="str">
        <x:v>TXN-00162</x:v>
      </x:c>
      <x:c r="C167" s="8" t="d">
        <x:v>2025-02-18T00:00:00.000Z</x:v>
      </x:c>
      <x:c r="D167" s="2" t="str">
        <x:v>Port Harcourt</x:v>
      </x:c>
      <x:c r="E167" s="2" t="str">
        <x:v>Electronics</x:v>
      </x:c>
      <x:c r="F167" s="2" t="str">
        <x:v>Power bank</x:v>
      </x:c>
      <x:c r="G167" s="2" t="str">
        <x:v>In-store</x:v>
      </x:c>
      <x:c r="H167" s="7" t="n">
        <x:v>2</x:v>
      </x:c>
      <x:c r="I167" s="9" t="n">
        <x:v>15000</x:v>
      </x:c>
      <x:c r="J167" s="9" t="n">
        <x:v>9500</x:v>
      </x:c>
      <x:c r="K167" s="10" t="n">
        <x:v>0</x:v>
      </x:c>
      <x:c r="L167" s="2" t="str">
        <x:v>Completed</x:v>
      </x:c>
      <x:c r="M167" s="12" t="n">
        <x:f>H167*I167</x:f>
        <x:v>30000</x:v>
      </x:c>
      <x:c r="N167" s="12" t="n">
        <x:f>IF(L167="Completed",ROUND(M167*(1-K167),2),0)</x:f>
        <x:v>30000</x:v>
      </x:c>
      <x:c r="O167" s="12" t="n">
        <x:f>IF(L167="Completed",H167*J167,0)</x:f>
        <x:v>19000</x:v>
      </x:c>
      <x:c r="P167" s="12" t="n">
        <x:f>N167-O167</x:f>
        <x:v>11000</x:v>
      </x:c>
    </x:row>
    <x:row r="168" ht="21" customHeight="1">
      <x:c r="A168" s="7" t="n">
        <x:v>163</x:v>
      </x:c>
      <x:c r="B168" s="2" t="str">
        <x:v>TXN-00163</x:v>
      </x:c>
      <x:c r="C168" s="8" t="d">
        <x:v>2025-02-11T00:00:00.000Z</x:v>
      </x:c>
      <x:c r="D168" s="2" t="str">
        <x:v>Lagos</x:v>
      </x:c>
      <x:c r="E168" s="2" t="str">
        <x:v>Beauty</x:v>
      </x:c>
      <x:c r="F168" s="2" t="str">
        <x:v>Body wash</x:v>
      </x:c>
      <x:c r="G168" s="2" t="str">
        <x:v>Online</x:v>
      </x:c>
      <x:c r="H168" s="7" t="n">
        <x:v>4</x:v>
      </x:c>
      <x:c r="I168" s="9" t="n">
        <x:v>4500</x:v>
      </x:c>
      <x:c r="J168" s="9" t="n">
        <x:v>2300</x:v>
      </x:c>
      <x:c r="K168" s="10" t="n">
        <x:v>0</x:v>
      </x:c>
      <x:c r="L168" s="2" t="str">
        <x:v>Completed</x:v>
      </x:c>
      <x:c r="M168" s="12" t="n">
        <x:f>H168*I168</x:f>
        <x:v>18000</x:v>
      </x:c>
      <x:c r="N168" s="12" t="n">
        <x:f>IF(L168="Completed",ROUND(M168*(1-K168),2),0)</x:f>
        <x:v>18000</x:v>
      </x:c>
      <x:c r="O168" s="12" t="n">
        <x:f>IF(L168="Completed",H168*J168,0)</x:f>
        <x:v>9200</x:v>
      </x:c>
      <x:c r="P168" s="12" t="n">
        <x:f>N168-O168</x:f>
        <x:v>8800</x:v>
      </x:c>
    </x:row>
    <x:row r="169" ht="21" customHeight="1">
      <x:c r="A169" s="7" t="n">
        <x:v>164</x:v>
      </x:c>
      <x:c r="B169" s="2" t="str">
        <x:v>TXN-00164</x:v>
      </x:c>
      <x:c r="C169" s="8" t="d">
        <x:v>2025-02-08T00:00:00.000Z</x:v>
      </x:c>
      <x:c r="D169" s="2" t="str">
        <x:v>Port Harcourt</x:v>
      </x:c>
      <x:c r="E169" s="2" t="str">
        <x:v>Home</x:v>
      </x:c>
      <x:c r="F169" s="2" t="str">
        <x:v>Cookware set</x:v>
      </x:c>
      <x:c r="G169" s="2" t="str">
        <x:v>In-store</x:v>
      </x:c>
      <x:c r="H169" s="7" t="n">
        <x:v>1</x:v>
      </x:c>
      <x:c r="I169" s="9" t="n">
        <x:v>35000</x:v>
      </x:c>
      <x:c r="J169" s="9" t="n">
        <x:v>22500</x:v>
      </x:c>
      <x:c r="K169" s="10" t="n">
        <x:v>0.1</x:v>
      </x:c>
      <x:c r="L169" s="2" t="str">
        <x:v>Completed</x:v>
      </x:c>
      <x:c r="M169" s="12" t="n">
        <x:f>H169*I169</x:f>
        <x:v>35000</x:v>
      </x:c>
      <x:c r="N169" s="12" t="n">
        <x:f>IF(L169="Completed",ROUND(M169*(1-K169),2),0)</x:f>
        <x:v>31500</x:v>
      </x:c>
      <x:c r="O169" s="12" t="n">
        <x:f>IF(L169="Completed",H169*J169,0)</x:f>
        <x:v>22500</x:v>
      </x:c>
      <x:c r="P169" s="12" t="n">
        <x:f>N169-O169</x:f>
        <x:v>9000</x:v>
      </x:c>
    </x:row>
    <x:row r="170" ht="21" customHeight="1">
      <x:c r="A170" s="7" t="n">
        <x:v>165</x:v>
      </x:c>
      <x:c r="B170" s="2" t="str">
        <x:v>TXN-00165</x:v>
      </x:c>
      <x:c r="C170" s="8" t="d">
        <x:v>2025-02-10T00:00:00.000Z</x:v>
      </x:c>
      <x:c r="D170" s="2" t="str">
        <x:v>Port Harcourt</x:v>
      </x:c>
      <x:c r="E170" s="2" t="str">
        <x:v>Home</x:v>
      </x:c>
      <x:c r="F170" s="2" t="str">
        <x:v>Bedsheet</x:v>
      </x:c>
      <x:c r="G170" s="2" t="str">
        <x:v>In-store</x:v>
      </x:c>
      <x:c r="H170" s="7" t="n">
        <x:v>1</x:v>
      </x:c>
      <x:c r="I170" s="9" t="n">
        <x:v>14000</x:v>
      </x:c>
      <x:c r="J170" s="9" t="n">
        <x:v>8500</x:v>
      </x:c>
      <x:c r="K170" s="10" t="n">
        <x:v>0.05</x:v>
      </x:c>
      <x:c r="L170" s="2" t="str">
        <x:v>Completed</x:v>
      </x:c>
      <x:c r="M170" s="12" t="n">
        <x:f>H170*I170</x:f>
        <x:v>14000</x:v>
      </x:c>
      <x:c r="N170" s="12" t="n">
        <x:f>IF(L170="Completed",ROUND(M170*(1-K170),2),0)</x:f>
        <x:v>13300</x:v>
      </x:c>
      <x:c r="O170" s="12" t="n">
        <x:f>IF(L170="Completed",H170*J170,0)</x:f>
        <x:v>8500</x:v>
      </x:c>
      <x:c r="P170" s="12" t="n">
        <x:f>N170-O170</x:f>
        <x:v>4800</x:v>
      </x:c>
    </x:row>
    <x:row r="171" ht="21" customHeight="1">
      <x:c r="A171" s="7" t="n">
        <x:v>166</x:v>
      </x:c>
      <x:c r="B171" s="2" t="str">
        <x:v>TXN-00166</x:v>
      </x:c>
      <x:c r="C171" s="8" t="d">
        <x:v>2025-02-23T00:00:00.000Z</x:v>
      </x:c>
      <x:c r="D171" s="2" t="str">
        <x:v>Lagos</x:v>
      </x:c>
      <x:c r="E171" s="2" t="str">
        <x:v>Fashion</x:v>
      </x:c>
      <x:c r="F171" s="2" t="str">
        <x:v>T-shirt</x:v>
      </x:c>
      <x:c r="G171" s="2" t="str">
        <x:v>In-store</x:v>
      </x:c>
      <x:c r="H171" s="7" t="n">
        <x:v>3</x:v>
      </x:c>
      <x:c r="I171" s="9" t="n">
        <x:v>9000</x:v>
      </x:c>
      <x:c r="J171" s="9" t="n">
        <x:v>5000</x:v>
      </x:c>
      <x:c r="K171" s="10" t="n">
        <x:v>0.1</x:v>
      </x:c>
      <x:c r="L171" s="2" t="str">
        <x:v>Returned</x:v>
      </x:c>
      <x:c r="M171" s="12" t="n">
        <x:f>H171*I171</x:f>
        <x:v>27000</x:v>
      </x:c>
      <x:c r="N171" s="12" t="n">
        <x:f>IF(L171="Completed",ROUND(M171*(1-K171),2),0)</x:f>
        <x:v>0</x:v>
      </x:c>
      <x:c r="O171" s="12" t="n">
        <x:f>IF(L171="Completed",H171*J171,0)</x:f>
        <x:v>0</x:v>
      </x:c>
      <x:c r="P171" s="12" t="n">
        <x:f>N171-O171</x:f>
        <x:v>0</x:v>
      </x:c>
    </x:row>
    <x:row r="172" ht="21" customHeight="1">
      <x:c r="A172" s="7" t="n">
        <x:v>167</x:v>
      </x:c>
      <x:c r="B172" s="2" t="str">
        <x:v>TXN-00167</x:v>
      </x:c>
      <x:c r="C172" s="8" t="d">
        <x:v>2025-02-09T00:00:00.000Z</x:v>
      </x:c>
      <x:c r="D172" s="2" t="str">
        <x:v>Port Harcourt</x:v>
      </x:c>
      <x:c r="E172" s="2" t="str">
        <x:v>Fashion</x:v>
      </x:c>
      <x:c r="F172" s="2" t="str">
        <x:v>Sneakers</x:v>
      </x:c>
      <x:c r="G172" s="2" t="str">
        <x:v>In-store</x:v>
      </x:c>
      <x:c r="H172" s="7" t="n">
        <x:v>1</x:v>
      </x:c>
      <x:c r="I172" s="9" t="n">
        <x:v>28000</x:v>
      </x:c>
      <x:c r="J172" s="9" t="n">
        <x:v>17500</x:v>
      </x:c>
      <x:c r="K172" s="10" t="n">
        <x:v>0</x:v>
      </x:c>
      <x:c r="L172" s="2" t="str">
        <x:v>Returned</x:v>
      </x:c>
      <x:c r="M172" s="12" t="n">
        <x:f>H172*I172</x:f>
        <x:v>28000</x:v>
      </x:c>
      <x:c r="N172" s="12" t="n">
        <x:f>IF(L172="Completed",ROUND(M172*(1-K172),2),0)</x:f>
        <x:v>0</x:v>
      </x:c>
      <x:c r="O172" s="12" t="n">
        <x:f>IF(L172="Completed",H172*J172,0)</x:f>
        <x:v>0</x:v>
      </x:c>
      <x:c r="P172" s="12" t="n">
        <x:f>N172-O172</x:f>
        <x:v>0</x:v>
      </x:c>
    </x:row>
    <x:row r="173" ht="21" customHeight="1">
      <x:c r="A173" s="7" t="n">
        <x:v>168</x:v>
      </x:c>
      <x:c r="B173" s="2" t="str">
        <x:v>TXN-00168</x:v>
      </x:c>
      <x:c r="C173" s="8" t="d">
        <x:v>2025-02-25T00:00:00.000Z</x:v>
      </x:c>
      <x:c r="D173" s="2" t="str">
        <x:v>Lagos</x:v>
      </x:c>
      <x:c r="E173" s="2" t="str">
        <x:v>Electronics</x:v>
      </x:c>
      <x:c r="F173" s="2" t="str">
        <x:v>Bluetooth speaker</x:v>
      </x:c>
      <x:c r="G173" s="2" t="str">
        <x:v>In-store</x:v>
      </x:c>
      <x:c r="H173" s="7" t="n">
        <x:v>3</x:v>
      </x:c>
      <x:c r="I173" s="9" t="n">
        <x:v>26000</x:v>
      </x:c>
      <x:c r="J173" s="9" t="n">
        <x:v>17000</x:v>
      </x:c>
      <x:c r="K173" s="10" t="n">
        <x:v>0</x:v>
      </x:c>
      <x:c r="L173" s="2" t="str">
        <x:v>Completed</x:v>
      </x:c>
      <x:c r="M173" s="12" t="n">
        <x:f>H173*I173</x:f>
        <x:v>78000</x:v>
      </x:c>
      <x:c r="N173" s="12" t="n">
        <x:f>IF(L173="Completed",ROUND(M173*(1-K173),2),0)</x:f>
        <x:v>78000</x:v>
      </x:c>
      <x:c r="O173" s="12" t="n">
        <x:f>IF(L173="Completed",H173*J173,0)</x:f>
        <x:v>51000</x:v>
      </x:c>
      <x:c r="P173" s="12" t="n">
        <x:f>N173-O173</x:f>
        <x:v>27000</x:v>
      </x:c>
    </x:row>
    <x:row r="174" ht="21" customHeight="1">
      <x:c r="A174" s="7" t="n">
        <x:v>169</x:v>
      </x:c>
      <x:c r="B174" s="2" t="str">
        <x:v>TXN-00169</x:v>
      </x:c>
      <x:c r="C174" s="8" t="d">
        <x:v>2025-02-03T00:00:00.000Z</x:v>
      </x:c>
      <x:c r="D174" s="2" t="str">
        <x:v>Abuja</x:v>
      </x:c>
      <x:c r="E174" s="2" t="str">
        <x:v>Beauty</x:v>
      </x:c>
      <x:c r="F174" s="2" t="str">
        <x:v>Perfume</x:v>
      </x:c>
      <x:c r="G174" s="2" t="str">
        <x:v>In-store</x:v>
      </x:c>
      <x:c r="H174" s="7" t="n">
        <x:v>2</x:v>
      </x:c>
      <x:c r="I174" s="9" t="n">
        <x:v>17000</x:v>
      </x:c>
      <x:c r="J174" s="9" t="n">
        <x:v>9000</x:v>
      </x:c>
      <x:c r="K174" s="10" t="n">
        <x:v>0.05</x:v>
      </x:c>
      <x:c r="L174" s="2" t="str">
        <x:v>Completed</x:v>
      </x:c>
      <x:c r="M174" s="12" t="n">
        <x:f>H174*I174</x:f>
        <x:v>34000</x:v>
      </x:c>
      <x:c r="N174" s="12" t="n">
        <x:f>IF(L174="Completed",ROUND(M174*(1-K174),2),0)</x:f>
        <x:v>32300</x:v>
      </x:c>
      <x:c r="O174" s="12" t="n">
        <x:f>IF(L174="Completed",H174*J174,0)</x:f>
        <x:v>18000</x:v>
      </x:c>
      <x:c r="P174" s="12" t="n">
        <x:f>N174-O174</x:f>
        <x:v>14300</x:v>
      </x:c>
    </x:row>
    <x:row r="175" ht="21" customHeight="1">
      <x:c r="A175" s="7" t="n">
        <x:v>170</x:v>
      </x:c>
      <x:c r="B175" s="2" t="str">
        <x:v>TXN-00170</x:v>
      </x:c>
      <x:c r="C175" s="8" t="d">
        <x:v>2025-02-05T00:00:00.000Z</x:v>
      </x:c>
      <x:c r="D175" s="2" t="str">
        <x:v>Lagos</x:v>
      </x:c>
      <x:c r="E175" s="2" t="str">
        <x:v>Electronics</x:v>
      </x:c>
      <x:c r="F175" s="2" t="str">
        <x:v>Headphones</x:v>
      </x:c>
      <x:c r="G175" s="2" t="str">
        <x:v>Online</x:v>
      </x:c>
      <x:c r="H175" s="7" t="n">
        <x:v>1</x:v>
      </x:c>
      <x:c r="I175" s="9" t="n">
        <x:v>18000</x:v>
      </x:c>
      <x:c r="J175" s="9" t="n">
        <x:v>10500</x:v>
      </x:c>
      <x:c r="K175" s="10" t="n">
        <x:v>0</x:v>
      </x:c>
      <x:c r="L175" s="2" t="str">
        <x:v>Completed</x:v>
      </x:c>
      <x:c r="M175" s="12" t="n">
        <x:f>H175*I175</x:f>
        <x:v>18000</x:v>
      </x:c>
      <x:c r="N175" s="12" t="n">
        <x:f>IF(L175="Completed",ROUND(M175*(1-K175),2),0)</x:f>
        <x:v>18000</x:v>
      </x:c>
      <x:c r="O175" s="12" t="n">
        <x:f>IF(L175="Completed",H175*J175,0)</x:f>
        <x:v>10500</x:v>
      </x:c>
      <x:c r="P175" s="12" t="n">
        <x:f>N175-O175</x:f>
        <x:v>7500</x:v>
      </x:c>
    </x:row>
    <x:row r="176" ht="21" customHeight="1">
      <x:c r="A176" s="7" t="n">
        <x:v>171</x:v>
      </x:c>
      <x:c r="B176" s="2" t="str">
        <x:v>TXN-00171</x:v>
      </x:c>
      <x:c r="C176" s="8" t="d">
        <x:v>2025-02-16T00:00:00.000Z</x:v>
      </x:c>
      <x:c r="D176" s="2" t="str">
        <x:v>Lagos</x:v>
      </x:c>
      <x:c r="E176" s="2" t="str">
        <x:v>Home</x:v>
      </x:c>
      <x:c r="F176" s="2" t="str">
        <x:v>Desk lamp</x:v>
      </x:c>
      <x:c r="G176" s="2" t="str">
        <x:v>Online</x:v>
      </x:c>
      <x:c r="H176" s="7" t="n">
        <x:v>1</x:v>
      </x:c>
      <x:c r="I176" s="9" t="n">
        <x:v>12000</x:v>
      </x:c>
      <x:c r="J176" s="9" t="n">
        <x:v>7200</x:v>
      </x:c>
      <x:c r="K176" s="10" t="n">
        <x:v>0</x:v>
      </x:c>
      <x:c r="L176" s="2" t="str">
        <x:v>Completed</x:v>
      </x:c>
      <x:c r="M176" s="12" t="n">
        <x:f>H176*I176</x:f>
        <x:v>12000</x:v>
      </x:c>
      <x:c r="N176" s="12" t="n">
        <x:f>IF(L176="Completed",ROUND(M176*(1-K176),2),0)</x:f>
        <x:v>12000</x:v>
      </x:c>
      <x:c r="O176" s="12" t="n">
        <x:f>IF(L176="Completed",H176*J176,0)</x:f>
        <x:v>7200</x:v>
      </x:c>
      <x:c r="P176" s="12" t="n">
        <x:f>N176-O176</x:f>
        <x:v>4800</x:v>
      </x:c>
    </x:row>
    <x:row r="177" ht="21" customHeight="1">
      <x:c r="A177" s="7" t="n">
        <x:v>172</x:v>
      </x:c>
      <x:c r="B177" s="2" t="str">
        <x:v>TXN-00172</x:v>
      </x:c>
      <x:c r="C177" s="8" t="d">
        <x:v>2025-02-09T00:00:00.000Z</x:v>
      </x:c>
      <x:c r="D177" s="2" t="str">
        <x:v>Lagos</x:v>
      </x:c>
      <x:c r="E177" s="2" t="str">
        <x:v>Home</x:v>
      </x:c>
      <x:c r="F177" s="2" t="str">
        <x:v>Bedsheet</x:v>
      </x:c>
      <x:c r="G177" s="2" t="str">
        <x:v>Online</x:v>
      </x:c>
      <x:c r="H177" s="7" t="n">
        <x:v>2</x:v>
      </x:c>
      <x:c r="I177" s="9" t="n">
        <x:v>14000</x:v>
      </x:c>
      <x:c r="J177" s="9" t="n">
        <x:v>8500</x:v>
      </x:c>
      <x:c r="K177" s="10" t="n">
        <x:v>0</x:v>
      </x:c>
      <x:c r="L177" s="2" t="str">
        <x:v>Completed</x:v>
      </x:c>
      <x:c r="M177" s="12" t="n">
        <x:f>H177*I177</x:f>
        <x:v>28000</x:v>
      </x:c>
      <x:c r="N177" s="12" t="n">
        <x:f>IF(L177="Completed",ROUND(M177*(1-K177),2),0)</x:f>
        <x:v>28000</x:v>
      </x:c>
      <x:c r="O177" s="12" t="n">
        <x:f>IF(L177="Completed",H177*J177,0)</x:f>
        <x:v>17000</x:v>
      </x:c>
      <x:c r="P177" s="12" t="n">
        <x:f>N177-O177</x:f>
        <x:v>11000</x:v>
      </x:c>
    </x:row>
    <x:row r="178" ht="21" customHeight="1">
      <x:c r="A178" s="7" t="n">
        <x:v>173</x:v>
      </x:c>
      <x:c r="B178" s="2" t="str">
        <x:v>TXN-00173</x:v>
      </x:c>
      <x:c r="C178" s="8" t="d">
        <x:v>2025-02-01T00:00:00.000Z</x:v>
      </x:c>
      <x:c r="D178" s="2" t="str">
        <x:v>Lagos</x:v>
      </x:c>
      <x:c r="E178" s="2" t="str">
        <x:v>Home</x:v>
      </x:c>
      <x:c r="F178" s="2" t="str">
        <x:v>Desk lamp</x:v>
      </x:c>
      <x:c r="G178" s="2" t="str">
        <x:v>Online</x:v>
      </x:c>
      <x:c r="H178" s="7" t="n">
        <x:v>1</x:v>
      </x:c>
      <x:c r="I178" s="9" t="n">
        <x:v>12000</x:v>
      </x:c>
      <x:c r="J178" s="9" t="n">
        <x:v>7200</x:v>
      </x:c>
      <x:c r="K178" s="10" t="n">
        <x:v>0.1</x:v>
      </x:c>
      <x:c r="L178" s="2" t="str">
        <x:v>Completed</x:v>
      </x:c>
      <x:c r="M178" s="12" t="n">
        <x:f>H178*I178</x:f>
        <x:v>12000</x:v>
      </x:c>
      <x:c r="N178" s="12" t="n">
        <x:f>IF(L178="Completed",ROUND(M178*(1-K178),2),0)</x:f>
        <x:v>10800</x:v>
      </x:c>
      <x:c r="O178" s="12" t="n">
        <x:f>IF(L178="Completed",H178*J178,0)</x:f>
        <x:v>7200</x:v>
      </x:c>
      <x:c r="P178" s="12" t="n">
        <x:f>N178-O178</x:f>
        <x:v>3600</x:v>
      </x:c>
    </x:row>
    <x:row r="179" ht="21" customHeight="1">
      <x:c r="A179" s="7" t="n">
        <x:v>174</x:v>
      </x:c>
      <x:c r="B179" s="2" t="str">
        <x:v>TXN-00174</x:v>
      </x:c>
      <x:c r="C179" s="8" t="d">
        <x:v>2025-02-24T00:00:00.000Z</x:v>
      </x:c>
      <x:c r="D179" s="2" t="str">
        <x:v>Kano</x:v>
      </x:c>
      <x:c r="E179" s="2" t="str">
        <x:v>Fashion</x:v>
      </x:c>
      <x:c r="F179" s="2" t="str">
        <x:v>Handbag</x:v>
      </x:c>
      <x:c r="G179" s="2" t="str">
        <x:v>In-store</x:v>
      </x:c>
      <x:c r="H179" s="7" t="n">
        <x:v>1</x:v>
      </x:c>
      <x:c r="I179" s="9" t="n">
        <x:v>22000</x:v>
      </x:c>
      <x:c r="J179" s="9" t="n">
        <x:v>13500</x:v>
      </x:c>
      <x:c r="K179" s="10" t="n">
        <x:v>0</x:v>
      </x:c>
      <x:c r="L179" s="2" t="str">
        <x:v>Completed</x:v>
      </x:c>
      <x:c r="M179" s="12" t="n">
        <x:f>H179*I179</x:f>
        <x:v>22000</x:v>
      </x:c>
      <x:c r="N179" s="12" t="n">
        <x:f>IF(L179="Completed",ROUND(M179*(1-K179),2),0)</x:f>
        <x:v>22000</x:v>
      </x:c>
      <x:c r="O179" s="12" t="n">
        <x:f>IF(L179="Completed",H179*J179,0)</x:f>
        <x:v>13500</x:v>
      </x:c>
      <x:c r="P179" s="12" t="n">
        <x:f>N179-O179</x:f>
        <x:v>8500</x:v>
      </x:c>
    </x:row>
    <x:row r="180" ht="21" customHeight="1">
      <x:c r="A180" s="7" t="n">
        <x:v>175</x:v>
      </x:c>
      <x:c r="B180" s="2" t="str">
        <x:v>TXN-00175</x:v>
      </x:c>
      <x:c r="C180" s="8" t="d">
        <x:v>2025-02-04T00:00:00.000Z</x:v>
      </x:c>
      <x:c r="D180" s="2" t="str">
        <x:v>Port Harcourt</x:v>
      </x:c>
      <x:c r="E180" s="2" t="str">
        <x:v>Home</x:v>
      </x:c>
      <x:c r="F180" s="2" t="str">
        <x:v>Desk lamp</x:v>
      </x:c>
      <x:c r="G180" s="2" t="str">
        <x:v>Online</x:v>
      </x:c>
      <x:c r="H180" s="7" t="n">
        <x:v>1</x:v>
      </x:c>
      <x:c r="I180" s="9" t="n">
        <x:v>12000</x:v>
      </x:c>
      <x:c r="J180" s="9" t="n">
        <x:v>7200</x:v>
      </x:c>
      <x:c r="K180" s="10" t="n">
        <x:v>0</x:v>
      </x:c>
      <x:c r="L180" s="2" t="str">
        <x:v>Completed</x:v>
      </x:c>
      <x:c r="M180" s="12" t="n">
        <x:f>H180*I180</x:f>
        <x:v>12000</x:v>
      </x:c>
      <x:c r="N180" s="12" t="n">
        <x:f>IF(L180="Completed",ROUND(M180*(1-K180),2),0)</x:f>
        <x:v>12000</x:v>
      </x:c>
      <x:c r="O180" s="12" t="n">
        <x:f>IF(L180="Completed",H180*J180,0)</x:f>
        <x:v>7200</x:v>
      </x:c>
      <x:c r="P180" s="12" t="n">
        <x:f>N180-O180</x:f>
        <x:v>4800</x:v>
      </x:c>
    </x:row>
    <x:row r="181" ht="21" customHeight="1">
      <x:c r="A181" s="7" t="n">
        <x:v>176</x:v>
      </x:c>
      <x:c r="B181" s="2" t="str">
        <x:v>TXN-00176</x:v>
      </x:c>
      <x:c r="C181" s="8" t="d">
        <x:v>2025-02-13T00:00:00.000Z</x:v>
      </x:c>
      <x:c r="D181" s="2" t="str">
        <x:v>Lagos</x:v>
      </x:c>
      <x:c r="E181" s="2" t="str">
        <x:v>Fashion</x:v>
      </x:c>
      <x:c r="F181" s="2" t="str">
        <x:v>T-shirt</x:v>
      </x:c>
      <x:c r="G181" s="2" t="str">
        <x:v>In-store</x:v>
      </x:c>
      <x:c r="H181" s="7" t="n">
        <x:v>1</x:v>
      </x:c>
      <x:c r="I181" s="9" t="n">
        <x:v>9000</x:v>
      </x:c>
      <x:c r="J181" s="9" t="n">
        <x:v>5000</x:v>
      </x:c>
      <x:c r="K181" s="10" t="n">
        <x:v>0.1</x:v>
      </x:c>
      <x:c r="L181" s="2" t="str">
        <x:v>Completed</x:v>
      </x:c>
      <x:c r="M181" s="12" t="n">
        <x:f>H181*I181</x:f>
        <x:v>9000</x:v>
      </x:c>
      <x:c r="N181" s="12" t="n">
        <x:f>IF(L181="Completed",ROUND(M181*(1-K181),2),0)</x:f>
        <x:v>8100</x:v>
      </x:c>
      <x:c r="O181" s="12" t="n">
        <x:f>IF(L181="Completed",H181*J181,0)</x:f>
        <x:v>5000</x:v>
      </x:c>
      <x:c r="P181" s="12" t="n">
        <x:f>N181-O181</x:f>
        <x:v>3100</x:v>
      </x:c>
    </x:row>
    <x:row r="182" ht="21" customHeight="1">
      <x:c r="A182" s="7" t="n">
        <x:v>177</x:v>
      </x:c>
      <x:c r="B182" s="2" t="str">
        <x:v>TXN-00177</x:v>
      </x:c>
      <x:c r="C182" s="8" t="d">
        <x:v>2025-02-12T00:00:00.000Z</x:v>
      </x:c>
      <x:c r="D182" s="2" t="str">
        <x:v>Kano</x:v>
      </x:c>
      <x:c r="E182" s="2" t="str">
        <x:v>Home</x:v>
      </x:c>
      <x:c r="F182" s="2" t="str">
        <x:v>Cookware set</x:v>
      </x:c>
      <x:c r="G182" s="2" t="str">
        <x:v>Online</x:v>
      </x:c>
      <x:c r="H182" s="7" t="n">
        <x:v>1</x:v>
      </x:c>
      <x:c r="I182" s="9" t="n">
        <x:v>35000</x:v>
      </x:c>
      <x:c r="J182" s="9" t="n">
        <x:v>22500</x:v>
      </x:c>
      <x:c r="K182" s="10" t="n">
        <x:v>0</x:v>
      </x:c>
      <x:c r="L182" s="2" t="str">
        <x:v>Completed</x:v>
      </x:c>
      <x:c r="M182" s="12" t="n">
        <x:f>H182*I182</x:f>
        <x:v>35000</x:v>
      </x:c>
      <x:c r="N182" s="12" t="n">
        <x:f>IF(L182="Completed",ROUND(M182*(1-K182),2),0)</x:f>
        <x:v>35000</x:v>
      </x:c>
      <x:c r="O182" s="12" t="n">
        <x:f>IF(L182="Completed",H182*J182,0)</x:f>
        <x:v>22500</x:v>
      </x:c>
      <x:c r="P182" s="12" t="n">
        <x:f>N182-O182</x:f>
        <x:v>12500</x:v>
      </x:c>
    </x:row>
    <x:row r="183" ht="21" customHeight="1">
      <x:c r="A183" s="7" t="n">
        <x:v>178</x:v>
      </x:c>
      <x:c r="B183" s="2" t="str">
        <x:v>TXN-00178</x:v>
      </x:c>
      <x:c r="C183" s="8" t="d">
        <x:v>2025-02-09T00:00:00.000Z</x:v>
      </x:c>
      <x:c r="D183" s="2" t="str">
        <x:v>Lagos</x:v>
      </x:c>
      <x:c r="E183" s="2" t="str">
        <x:v>Beauty</x:v>
      </x:c>
      <x:c r="F183" s="2" t="str">
        <x:v>Body wash</x:v>
      </x:c>
      <x:c r="G183" s="2" t="str">
        <x:v>Online</x:v>
      </x:c>
      <x:c r="H183" s="7" t="n">
        <x:v>2</x:v>
      </x:c>
      <x:c r="I183" s="9" t="n">
        <x:v>4500</x:v>
      </x:c>
      <x:c r="J183" s="9" t="n">
        <x:v>2300</x:v>
      </x:c>
      <x:c r="K183" s="10" t="n">
        <x:v>0.05</x:v>
      </x:c>
      <x:c r="L183" s="2" t="str">
        <x:v>Completed</x:v>
      </x:c>
      <x:c r="M183" s="12" t="n">
        <x:f>H183*I183</x:f>
        <x:v>9000</x:v>
      </x:c>
      <x:c r="N183" s="12" t="n">
        <x:f>IF(L183="Completed",ROUND(M183*(1-K183),2),0)</x:f>
        <x:v>8550</x:v>
      </x:c>
      <x:c r="O183" s="12" t="n">
        <x:f>IF(L183="Completed",H183*J183,0)</x:f>
        <x:v>4600</x:v>
      </x:c>
      <x:c r="P183" s="12" t="n">
        <x:f>N183-O183</x:f>
        <x:v>3950</x:v>
      </x:c>
    </x:row>
    <x:row r="184" ht="21" customHeight="1">
      <x:c r="A184" s="7" t="n">
        <x:v>179</x:v>
      </x:c>
      <x:c r="B184" s="2" t="str">
        <x:v>TXN-00179</x:v>
      </x:c>
      <x:c r="C184" s="8" t="d">
        <x:v>2025-02-24T00:00:00.000Z</x:v>
      </x:c>
      <x:c r="D184" s="2" t="str">
        <x:v>Abuja</x:v>
      </x:c>
      <x:c r="E184" s="2" t="str">
        <x:v>Fashion</x:v>
      </x:c>
      <x:c r="F184" s="2" t="str">
        <x:v>Handbag</x:v>
      </x:c>
      <x:c r="G184" s="2" t="str">
        <x:v>In-store</x:v>
      </x:c>
      <x:c r="H184" s="7" t="n">
        <x:v>2</x:v>
      </x:c>
      <x:c r="I184" s="9" t="n">
        <x:v>22000</x:v>
      </x:c>
      <x:c r="J184" s="9" t="n">
        <x:v>13500</x:v>
      </x:c>
      <x:c r="K184" s="10" t="n">
        <x:v>0</x:v>
      </x:c>
      <x:c r="L184" s="2" t="str">
        <x:v>Completed</x:v>
      </x:c>
      <x:c r="M184" s="12" t="n">
        <x:f>H184*I184</x:f>
        <x:v>44000</x:v>
      </x:c>
      <x:c r="N184" s="12" t="n">
        <x:f>IF(L184="Completed",ROUND(M184*(1-K184),2),0)</x:f>
        <x:v>44000</x:v>
      </x:c>
      <x:c r="O184" s="12" t="n">
        <x:f>IF(L184="Completed",H184*J184,0)</x:f>
        <x:v>27000</x:v>
      </x:c>
      <x:c r="P184" s="12" t="n">
        <x:f>N184-O184</x:f>
        <x:v>17000</x:v>
      </x:c>
    </x:row>
    <x:row r="185" ht="21" customHeight="1">
      <x:c r="A185" s="7" t="n">
        <x:v>180</x:v>
      </x:c>
      <x:c r="B185" s="2" t="str">
        <x:v>TXN-00180</x:v>
      </x:c>
      <x:c r="C185" s="8" t="d">
        <x:v>2025-02-08T00:00:00.000Z</x:v>
      </x:c>
      <x:c r="D185" s="2" t="str">
        <x:v>Port Harcourt</x:v>
      </x:c>
      <x:c r="E185" s="2" t="str">
        <x:v>Beauty</x:v>
      </x:c>
      <x:c r="F185" s="2" t="str">
        <x:v>Body wash</x:v>
      </x:c>
      <x:c r="G185" s="2" t="str">
        <x:v>Online</x:v>
      </x:c>
      <x:c r="H185" s="7" t="n">
        <x:v>1</x:v>
      </x:c>
      <x:c r="I185" s="9" t="n">
        <x:v>4500</x:v>
      </x:c>
      <x:c r="J185" s="9" t="n">
        <x:v>2300</x:v>
      </x:c>
      <x:c r="K185" s="10" t="n">
        <x:v>0.05</x:v>
      </x:c>
      <x:c r="L185" s="2" t="str">
        <x:v>Completed</x:v>
      </x:c>
      <x:c r="M185" s="12" t="n">
        <x:f>H185*I185</x:f>
        <x:v>4500</x:v>
      </x:c>
      <x:c r="N185" s="12" t="n">
        <x:f>IF(L185="Completed",ROUND(M185*(1-K185),2),0)</x:f>
        <x:v>4275</x:v>
      </x:c>
      <x:c r="O185" s="12" t="n">
        <x:f>IF(L185="Completed",H185*J185,0)</x:f>
        <x:v>2300</x:v>
      </x:c>
      <x:c r="P185" s="12" t="n">
        <x:f>N185-O185</x:f>
        <x:v>1975</x:v>
      </x:c>
    </x:row>
    <x:row r="186" ht="21" customHeight="1">
      <x:c r="A186" s="7" t="n">
        <x:v>181</x:v>
      </x:c>
      <x:c r="B186" s="2" t="str">
        <x:v>TXN-00181</x:v>
      </x:c>
      <x:c r="C186" s="8" t="d">
        <x:v>2025-02-17T00:00:00.000Z</x:v>
      </x:c>
      <x:c r="D186" s="2" t="str">
        <x:v>Abuja</x:v>
      </x:c>
      <x:c r="E186" s="2" t="str">
        <x:v>Fashion</x:v>
      </x:c>
      <x:c r="F186" s="2" t="str">
        <x:v>Sneakers</x:v>
      </x:c>
      <x:c r="G186" s="2" t="str">
        <x:v>Online</x:v>
      </x:c>
      <x:c r="H186" s="7" t="n">
        <x:v>2</x:v>
      </x:c>
      <x:c r="I186" s="9" t="n">
        <x:v>28000</x:v>
      </x:c>
      <x:c r="J186" s="9" t="n">
        <x:v>17500</x:v>
      </x:c>
      <x:c r="K186" s="10" t="n">
        <x:v>0.05</x:v>
      </x:c>
      <x:c r="L186" s="2" t="str">
        <x:v>Completed</x:v>
      </x:c>
      <x:c r="M186" s="12" t="n">
        <x:f>H186*I186</x:f>
        <x:v>56000</x:v>
      </x:c>
      <x:c r="N186" s="12" t="n">
        <x:f>IF(L186="Completed",ROUND(M186*(1-K186),2),0)</x:f>
        <x:v>53200</x:v>
      </x:c>
      <x:c r="O186" s="12" t="n">
        <x:f>IF(L186="Completed",H186*J186,0)</x:f>
        <x:v>35000</x:v>
      </x:c>
      <x:c r="P186" s="12" t="n">
        <x:f>N186-O186</x:f>
        <x:v>18200</x:v>
      </x:c>
    </x:row>
    <x:row r="187" ht="21" customHeight="1">
      <x:c r="A187" s="7" t="n">
        <x:v>182</x:v>
      </x:c>
      <x:c r="B187" s="2" t="str">
        <x:v>TXN-00182</x:v>
      </x:c>
      <x:c r="C187" s="8" t="d">
        <x:v>2025-02-09T00:00:00.000Z</x:v>
      </x:c>
      <x:c r="D187" s="2" t="str">
        <x:v>Kano</x:v>
      </x:c>
      <x:c r="E187" s="2" t="str">
        <x:v>Fashion</x:v>
      </x:c>
      <x:c r="F187" s="2" t="str">
        <x:v>T-shirt</x:v>
      </x:c>
      <x:c r="G187" s="2" t="str">
        <x:v>Online</x:v>
      </x:c>
      <x:c r="H187" s="7" t="n">
        <x:v>1</x:v>
      </x:c>
      <x:c r="I187" s="9" t="n">
        <x:v>9000</x:v>
      </x:c>
      <x:c r="J187" s="9" t="n">
        <x:v>5000</x:v>
      </x:c>
      <x:c r="K187" s="10" t="n">
        <x:v>0</x:v>
      </x:c>
      <x:c r="L187" s="2" t="str">
        <x:v>Completed</x:v>
      </x:c>
      <x:c r="M187" s="12" t="n">
        <x:f>H187*I187</x:f>
        <x:v>9000</x:v>
      </x:c>
      <x:c r="N187" s="12" t="n">
        <x:f>IF(L187="Completed",ROUND(M187*(1-K187),2),0)</x:f>
        <x:v>9000</x:v>
      </x:c>
      <x:c r="O187" s="12" t="n">
        <x:f>IF(L187="Completed",H187*J187,0)</x:f>
        <x:v>5000</x:v>
      </x:c>
      <x:c r="P187" s="12" t="n">
        <x:f>N187-O187</x:f>
        <x:v>4000</x:v>
      </x:c>
    </x:row>
    <x:row r="188" ht="21" customHeight="1">
      <x:c r="A188" s="7" t="n">
        <x:v>183</x:v>
      </x:c>
      <x:c r="B188" s="2" t="str">
        <x:v>TXN-00183</x:v>
      </x:c>
      <x:c r="C188" s="8" t="d">
        <x:v>2025-02-03T00:00:00.000Z</x:v>
      </x:c>
      <x:c r="D188" s="2" t="str">
        <x:v>Abuja</x:v>
      </x:c>
      <x:c r="E188" s="2" t="str">
        <x:v>Electronics</x:v>
      </x:c>
      <x:c r="F188" s="2" t="str">
        <x:v>Bluetooth speaker</x:v>
      </x:c>
      <x:c r="G188" s="2" t="str">
        <x:v>Online</x:v>
      </x:c>
      <x:c r="H188" s="7" t="n">
        <x:v>1</x:v>
      </x:c>
      <x:c r="I188" s="9" t="n">
        <x:v>26000</x:v>
      </x:c>
      <x:c r="J188" s="9" t="n">
        <x:v>17000</x:v>
      </x:c>
      <x:c r="K188" s="10" t="n">
        <x:v>0.15</x:v>
      </x:c>
      <x:c r="L188" s="2" t="str">
        <x:v>Completed</x:v>
      </x:c>
      <x:c r="M188" s="12" t="n">
        <x:f>H188*I188</x:f>
        <x:v>26000</x:v>
      </x:c>
      <x:c r="N188" s="12" t="n">
        <x:f>IF(L188="Completed",ROUND(M188*(1-K188),2),0)</x:f>
        <x:v>22100</x:v>
      </x:c>
      <x:c r="O188" s="12" t="n">
        <x:f>IF(L188="Completed",H188*J188,0)</x:f>
        <x:v>17000</x:v>
      </x:c>
      <x:c r="P188" s="12" t="n">
        <x:f>N188-O188</x:f>
        <x:v>5100</x:v>
      </x:c>
    </x:row>
    <x:row r="189" ht="21" customHeight="1">
      <x:c r="A189" s="7" t="n">
        <x:v>184</x:v>
      </x:c>
      <x:c r="B189" s="2" t="str">
        <x:v>TXN-00184</x:v>
      </x:c>
      <x:c r="C189" s="8" t="d">
        <x:v>2025-02-18T00:00:00.000Z</x:v>
      </x:c>
      <x:c r="D189" s="2" t="str">
        <x:v>Kano</x:v>
      </x:c>
      <x:c r="E189" s="2" t="str">
        <x:v>Fashion</x:v>
      </x:c>
      <x:c r="F189" s="2" t="str">
        <x:v>T-shirt</x:v>
      </x:c>
      <x:c r="G189" s="2" t="str">
        <x:v>In-store</x:v>
      </x:c>
      <x:c r="H189" s="7" t="n">
        <x:v>3</x:v>
      </x:c>
      <x:c r="I189" s="9" t="n">
        <x:v>9000</x:v>
      </x:c>
      <x:c r="J189" s="9" t="n">
        <x:v>5000</x:v>
      </x:c>
      <x:c r="K189" s="10" t="n">
        <x:v>0</x:v>
      </x:c>
      <x:c r="L189" s="2" t="str">
        <x:v>Completed</x:v>
      </x:c>
      <x:c r="M189" s="12" t="n">
        <x:f>H189*I189</x:f>
        <x:v>27000</x:v>
      </x:c>
      <x:c r="N189" s="12" t="n">
        <x:f>IF(L189="Completed",ROUND(M189*(1-K189),2),0)</x:f>
        <x:v>27000</x:v>
      </x:c>
      <x:c r="O189" s="12" t="n">
        <x:f>IF(L189="Completed",H189*J189,0)</x:f>
        <x:v>15000</x:v>
      </x:c>
      <x:c r="P189" s="12" t="n">
        <x:f>N189-O189</x:f>
        <x:v>12000</x:v>
      </x:c>
    </x:row>
    <x:row r="190" ht="21" customHeight="1">
      <x:c r="A190" s="7" t="n">
        <x:v>185</x:v>
      </x:c>
      <x:c r="B190" s="2" t="str">
        <x:v>TXN-00185</x:v>
      </x:c>
      <x:c r="C190" s="8" t="d">
        <x:v>2025-02-03T00:00:00.000Z</x:v>
      </x:c>
      <x:c r="D190" s="2" t="str">
        <x:v>Lagos</x:v>
      </x:c>
      <x:c r="E190" s="2" t="str">
        <x:v>Electronics</x:v>
      </x:c>
      <x:c r="F190" s="2" t="str">
        <x:v>Headphones</x:v>
      </x:c>
      <x:c r="G190" s="2" t="str">
        <x:v>In-store</x:v>
      </x:c>
      <x:c r="H190" s="7" t="n">
        <x:v>2</x:v>
      </x:c>
      <x:c r="I190" s="9" t="n">
        <x:v>18000</x:v>
      </x:c>
      <x:c r="J190" s="9" t="n">
        <x:v>10500</x:v>
      </x:c>
      <x:c r="K190" s="10" t="n">
        <x:v>0</x:v>
      </x:c>
      <x:c r="L190" s="2" t="str">
        <x:v>Completed</x:v>
      </x:c>
      <x:c r="M190" s="12" t="n">
        <x:f>H190*I190</x:f>
        <x:v>36000</x:v>
      </x:c>
      <x:c r="N190" s="12" t="n">
        <x:f>IF(L190="Completed",ROUND(M190*(1-K190),2),0)</x:f>
        <x:v>36000</x:v>
      </x:c>
      <x:c r="O190" s="12" t="n">
        <x:f>IF(L190="Completed",H190*J190,0)</x:f>
        <x:v>21000</x:v>
      </x:c>
      <x:c r="P190" s="12" t="n">
        <x:f>N190-O190</x:f>
        <x:v>15000</x:v>
      </x:c>
    </x:row>
    <x:row r="191" ht="21" customHeight="1">
      <x:c r="A191" s="7" t="n">
        <x:v>186</x:v>
      </x:c>
      <x:c r="B191" s="2" t="str">
        <x:v>TXN-00186</x:v>
      </x:c>
      <x:c r="C191" s="8" t="d">
        <x:v>2025-02-07T00:00:00.000Z</x:v>
      </x:c>
      <x:c r="D191" s="2" t="str">
        <x:v>Lagos</x:v>
      </x:c>
      <x:c r="E191" s="2" t="str">
        <x:v>Beauty</x:v>
      </x:c>
      <x:c r="F191" s="2" t="str">
        <x:v>Perfume</x:v>
      </x:c>
      <x:c r="G191" s="2" t="str">
        <x:v>Online</x:v>
      </x:c>
      <x:c r="H191" s="7" t="n">
        <x:v>1</x:v>
      </x:c>
      <x:c r="I191" s="9" t="n">
        <x:v>17000</x:v>
      </x:c>
      <x:c r="J191" s="9" t="n">
        <x:v>9000</x:v>
      </x:c>
      <x:c r="K191" s="10" t="n">
        <x:v>0.05</x:v>
      </x:c>
      <x:c r="L191" s="2" t="str">
        <x:v>Completed</x:v>
      </x:c>
      <x:c r="M191" s="12" t="n">
        <x:f>H191*I191</x:f>
        <x:v>17000</x:v>
      </x:c>
      <x:c r="N191" s="12" t="n">
        <x:f>IF(L191="Completed",ROUND(M191*(1-K191),2),0)</x:f>
        <x:v>16150</x:v>
      </x:c>
      <x:c r="O191" s="12" t="n">
        <x:f>IF(L191="Completed",H191*J191,0)</x:f>
        <x:v>9000</x:v>
      </x:c>
      <x:c r="P191" s="12" t="n">
        <x:f>N191-O191</x:f>
        <x:v>7150</x:v>
      </x:c>
    </x:row>
    <x:row r="192" ht="21" customHeight="1">
      <x:c r="A192" s="7" t="n">
        <x:v>187</x:v>
      </x:c>
      <x:c r="B192" s="2" t="str">
        <x:v>TXN-00187</x:v>
      </x:c>
      <x:c r="C192" s="8" t="d">
        <x:v>2025-02-14T00:00:00.000Z</x:v>
      </x:c>
      <x:c r="D192" s="2" t="str">
        <x:v>Kano</x:v>
      </x:c>
      <x:c r="E192" s="2" t="str">
        <x:v>Beauty</x:v>
      </x:c>
      <x:c r="F192" s="2" t="str">
        <x:v>Body wash</x:v>
      </x:c>
      <x:c r="G192" s="2" t="str">
        <x:v>Online</x:v>
      </x:c>
      <x:c r="H192" s="7" t="n">
        <x:v>1</x:v>
      </x:c>
      <x:c r="I192" s="9" t="n">
        <x:v>4500</x:v>
      </x:c>
      <x:c r="J192" s="9" t="n">
        <x:v>2300</x:v>
      </x:c>
      <x:c r="K192" s="10" t="n">
        <x:v>0.05</x:v>
      </x:c>
      <x:c r="L192" s="2" t="str">
        <x:v>Completed</x:v>
      </x:c>
      <x:c r="M192" s="12" t="n">
        <x:f>H192*I192</x:f>
        <x:v>4500</x:v>
      </x:c>
      <x:c r="N192" s="12" t="n">
        <x:f>IF(L192="Completed",ROUND(M192*(1-K192),2),0)</x:f>
        <x:v>4275</x:v>
      </x:c>
      <x:c r="O192" s="12" t="n">
        <x:f>IF(L192="Completed",H192*J192,0)</x:f>
        <x:v>2300</x:v>
      </x:c>
      <x:c r="P192" s="12" t="n">
        <x:f>N192-O192</x:f>
        <x:v>1975</x:v>
      </x:c>
    </x:row>
    <x:row r="193" ht="21" customHeight="1">
      <x:c r="A193" s="7" t="n">
        <x:v>188</x:v>
      </x:c>
      <x:c r="B193" s="2" t="str">
        <x:v>TXN-00188</x:v>
      </x:c>
      <x:c r="C193" s="8" t="d">
        <x:v>2025-02-15T00:00:00.000Z</x:v>
      </x:c>
      <x:c r="D193" s="2" t="str">
        <x:v>Lagos</x:v>
      </x:c>
      <x:c r="E193" s="2" t="str">
        <x:v>Electronics</x:v>
      </x:c>
      <x:c r="F193" s="2" t="str">
        <x:v>Power bank</x:v>
      </x:c>
      <x:c r="G193" s="2" t="str">
        <x:v>Online</x:v>
      </x:c>
      <x:c r="H193" s="7" t="n">
        <x:v>1</x:v>
      </x:c>
      <x:c r="I193" s="9" t="n">
        <x:v>15000</x:v>
      </x:c>
      <x:c r="J193" s="9" t="n">
        <x:v>9500</x:v>
      </x:c>
      <x:c r="K193" s="10" t="n">
        <x:v>0</x:v>
      </x:c>
      <x:c r="L193" s="2" t="str">
        <x:v>Returned</x:v>
      </x:c>
      <x:c r="M193" s="12" t="n">
        <x:f>H193*I193</x:f>
        <x:v>15000</x:v>
      </x:c>
      <x:c r="N193" s="12" t="n">
        <x:f>IF(L193="Completed",ROUND(M193*(1-K193),2),0)</x:f>
        <x:v>0</x:v>
      </x:c>
      <x:c r="O193" s="12" t="n">
        <x:f>IF(L193="Completed",H193*J193,0)</x:f>
        <x:v>0</x:v>
      </x:c>
      <x:c r="P193" s="12" t="n">
        <x:f>N193-O193</x:f>
        <x:v>0</x:v>
      </x:c>
    </x:row>
    <x:row r="194" ht="21" customHeight="1">
      <x:c r="A194" s="7" t="n">
        <x:v>189</x:v>
      </x:c>
      <x:c r="B194" s="2" t="str">
        <x:v>TXN-00189</x:v>
      </x:c>
      <x:c r="C194" s="8" t="d">
        <x:v>2025-02-03T00:00:00.000Z</x:v>
      </x:c>
      <x:c r="D194" s="2" t="str">
        <x:v>Lagos</x:v>
      </x:c>
      <x:c r="E194" s="2" t="str">
        <x:v>Fashion</x:v>
      </x:c>
      <x:c r="F194" s="2" t="str">
        <x:v>T-shirt</x:v>
      </x:c>
      <x:c r="G194" s="2" t="str">
        <x:v>Online</x:v>
      </x:c>
      <x:c r="H194" s="7" t="n">
        <x:v>3</x:v>
      </x:c>
      <x:c r="I194" s="9" t="n">
        <x:v>9000</x:v>
      </x:c>
      <x:c r="J194" s="9" t="n">
        <x:v>5000</x:v>
      </x:c>
      <x:c r="K194" s="10" t="n">
        <x:v>0</x:v>
      </x:c>
      <x:c r="L194" s="2" t="str">
        <x:v>Completed</x:v>
      </x:c>
      <x:c r="M194" s="12" t="n">
        <x:f>H194*I194</x:f>
        <x:v>27000</x:v>
      </x:c>
      <x:c r="N194" s="12" t="n">
        <x:f>IF(L194="Completed",ROUND(M194*(1-K194),2),0)</x:f>
        <x:v>27000</x:v>
      </x:c>
      <x:c r="O194" s="12" t="n">
        <x:f>IF(L194="Completed",H194*J194,0)</x:f>
        <x:v>15000</x:v>
      </x:c>
      <x:c r="P194" s="12" t="n">
        <x:f>N194-O194</x:f>
        <x:v>12000</x:v>
      </x:c>
    </x:row>
    <x:row r="195" ht="21" customHeight="1">
      <x:c r="A195" s="7" t="n">
        <x:v>190</x:v>
      </x:c>
      <x:c r="B195" s="2" t="str">
        <x:v>TXN-00190</x:v>
      </x:c>
      <x:c r="C195" s="8" t="d">
        <x:v>2025-02-14T00:00:00.000Z</x:v>
      </x:c>
      <x:c r="D195" s="2" t="str">
        <x:v>Kano</x:v>
      </x:c>
      <x:c r="E195" s="2" t="str">
        <x:v>Fashion</x:v>
      </x:c>
      <x:c r="F195" s="2" t="str">
        <x:v>T-shirt</x:v>
      </x:c>
      <x:c r="G195" s="2" t="str">
        <x:v>Online</x:v>
      </x:c>
      <x:c r="H195" s="7" t="n">
        <x:v>2</x:v>
      </x:c>
      <x:c r="I195" s="9" t="n">
        <x:v>9000</x:v>
      </x:c>
      <x:c r="J195" s="9" t="n">
        <x:v>5000</x:v>
      </x:c>
      <x:c r="K195" s="10" t="n">
        <x:v>0.1</x:v>
      </x:c>
      <x:c r="L195" s="2" t="str">
        <x:v>Completed</x:v>
      </x:c>
      <x:c r="M195" s="12" t="n">
        <x:f>H195*I195</x:f>
        <x:v>18000</x:v>
      </x:c>
      <x:c r="N195" s="12" t="n">
        <x:f>IF(L195="Completed",ROUND(M195*(1-K195),2),0)</x:f>
        <x:v>16200</x:v>
      </x:c>
      <x:c r="O195" s="12" t="n">
        <x:f>IF(L195="Completed",H195*J195,0)</x:f>
        <x:v>10000</x:v>
      </x:c>
      <x:c r="P195" s="12" t="n">
        <x:f>N195-O195</x:f>
        <x:v>6200</x:v>
      </x:c>
    </x:row>
    <x:row r="196" ht="21" customHeight="1">
      <x:c r="A196" s="7" t="n">
        <x:v>191</x:v>
      </x:c>
      <x:c r="B196" s="2" t="str">
        <x:v>TXN-00191</x:v>
      </x:c>
      <x:c r="C196" s="8" t="d">
        <x:v>2025-02-08T00:00:00.000Z</x:v>
      </x:c>
      <x:c r="D196" s="2" t="str">
        <x:v>Lagos</x:v>
      </x:c>
      <x:c r="E196" s="2" t="str">
        <x:v>Fashion</x:v>
      </x:c>
      <x:c r="F196" s="2" t="str">
        <x:v>T-shirt</x:v>
      </x:c>
      <x:c r="G196" s="2" t="str">
        <x:v>Online</x:v>
      </x:c>
      <x:c r="H196" s="7" t="n">
        <x:v>3</x:v>
      </x:c>
      <x:c r="I196" s="9" t="n">
        <x:v>9000</x:v>
      </x:c>
      <x:c r="J196" s="9" t="n">
        <x:v>5000</x:v>
      </x:c>
      <x:c r="K196" s="10" t="n">
        <x:v>0.1</x:v>
      </x:c>
      <x:c r="L196" s="2" t="str">
        <x:v>Returned</x:v>
      </x:c>
      <x:c r="M196" s="12" t="n">
        <x:f>H196*I196</x:f>
        <x:v>27000</x:v>
      </x:c>
      <x:c r="N196" s="12" t="n">
        <x:f>IF(L196="Completed",ROUND(M196*(1-K196),2),0)</x:f>
        <x:v>0</x:v>
      </x:c>
      <x:c r="O196" s="12" t="n">
        <x:f>IF(L196="Completed",H196*J196,0)</x:f>
        <x:v>0</x:v>
      </x:c>
      <x:c r="P196" s="12" t="n">
        <x:f>N196-O196</x:f>
        <x:v>0</x:v>
      </x:c>
    </x:row>
    <x:row r="197" ht="21" customHeight="1">
      <x:c r="A197" s="7" t="n">
        <x:v>192</x:v>
      </x:c>
      <x:c r="B197" s="2" t="str">
        <x:v>TXN-00192</x:v>
      </x:c>
      <x:c r="C197" s="8" t="d">
        <x:v>2025-02-08T00:00:00.000Z</x:v>
      </x:c>
      <x:c r="D197" s="2" t="str">
        <x:v>Port Harcourt</x:v>
      </x:c>
      <x:c r="E197" s="2" t="str">
        <x:v>Electronics</x:v>
      </x:c>
      <x:c r="F197" s="2" t="str">
        <x:v>Bluetooth speaker</x:v>
      </x:c>
      <x:c r="G197" s="2" t="str">
        <x:v>In-store</x:v>
      </x:c>
      <x:c r="H197" s="7" t="n">
        <x:v>1</x:v>
      </x:c>
      <x:c r="I197" s="9" t="n">
        <x:v>26000</x:v>
      </x:c>
      <x:c r="J197" s="9" t="n">
        <x:v>17000</x:v>
      </x:c>
      <x:c r="K197" s="10" t="n">
        <x:v>0</x:v>
      </x:c>
      <x:c r="L197" s="2" t="str">
        <x:v>Completed</x:v>
      </x:c>
      <x:c r="M197" s="12" t="n">
        <x:f>H197*I197</x:f>
        <x:v>26000</x:v>
      </x:c>
      <x:c r="N197" s="12" t="n">
        <x:f>IF(L197="Completed",ROUND(M197*(1-K197),2),0)</x:f>
        <x:v>26000</x:v>
      </x:c>
      <x:c r="O197" s="12" t="n">
        <x:f>IF(L197="Completed",H197*J197,0)</x:f>
        <x:v>17000</x:v>
      </x:c>
      <x:c r="P197" s="12" t="n">
        <x:f>N197-O197</x:f>
        <x:v>9000</x:v>
      </x:c>
    </x:row>
    <x:row r="198" ht="21" customHeight="1">
      <x:c r="A198" s="7" t="n">
        <x:v>193</x:v>
      </x:c>
      <x:c r="B198" s="2" t="str">
        <x:v>TXN-00193</x:v>
      </x:c>
      <x:c r="C198" s="8" t="d">
        <x:v>2025-02-15T00:00:00.000Z</x:v>
      </x:c>
      <x:c r="D198" s="2" t="str">
        <x:v>Lagos</x:v>
      </x:c>
      <x:c r="E198" s="2" t="str">
        <x:v>Fashion</x:v>
      </x:c>
      <x:c r="F198" s="2" t="str">
        <x:v>Handbag</x:v>
      </x:c>
      <x:c r="G198" s="2" t="str">
        <x:v>Online</x:v>
      </x:c>
      <x:c r="H198" s="7" t="n">
        <x:v>2</x:v>
      </x:c>
      <x:c r="I198" s="9" t="n">
        <x:v>22000</x:v>
      </x:c>
      <x:c r="J198" s="9" t="n">
        <x:v>13500</x:v>
      </x:c>
      <x:c r="K198" s="10" t="n">
        <x:v>0.1</x:v>
      </x:c>
      <x:c r="L198" s="2" t="str">
        <x:v>Returned</x:v>
      </x:c>
      <x:c r="M198" s="12" t="n">
        <x:f>H198*I198</x:f>
        <x:v>44000</x:v>
      </x:c>
      <x:c r="N198" s="12" t="n">
        <x:f>IF(L198="Completed",ROUND(M198*(1-K198),2),0)</x:f>
        <x:v>0</x:v>
      </x:c>
      <x:c r="O198" s="12" t="n">
        <x:f>IF(L198="Completed",H198*J198,0)</x:f>
        <x:v>0</x:v>
      </x:c>
      <x:c r="P198" s="12" t="n">
        <x:f>N198-O198</x:f>
        <x:v>0</x:v>
      </x:c>
    </x:row>
    <x:row r="199" ht="21" customHeight="1">
      <x:c r="A199" s="7" t="n">
        <x:v>194</x:v>
      </x:c>
      <x:c r="B199" s="2" t="str">
        <x:v>TXN-00194</x:v>
      </x:c>
      <x:c r="C199" s="8" t="d">
        <x:v>2025-02-02T00:00:00.000Z</x:v>
      </x:c>
      <x:c r="D199" s="2" t="str">
        <x:v>Kano</x:v>
      </x:c>
      <x:c r="E199" s="2" t="str">
        <x:v>Fashion</x:v>
      </x:c>
      <x:c r="F199" s="2" t="str">
        <x:v>T-shirt</x:v>
      </x:c>
      <x:c r="G199" s="2" t="str">
        <x:v>In-store</x:v>
      </x:c>
      <x:c r="H199" s="7" t="n">
        <x:v>3</x:v>
      </x:c>
      <x:c r="I199" s="9" t="n">
        <x:v>9000</x:v>
      </x:c>
      <x:c r="J199" s="9" t="n">
        <x:v>5000</x:v>
      </x:c>
      <x:c r="K199" s="10" t="n">
        <x:v>0.1</x:v>
      </x:c>
      <x:c r="L199" s="2" t="str">
        <x:v>Completed</x:v>
      </x:c>
      <x:c r="M199" s="12" t="n">
        <x:f>H199*I199</x:f>
        <x:v>27000</x:v>
      </x:c>
      <x:c r="N199" s="12" t="n">
        <x:f>IF(L199="Completed",ROUND(M199*(1-K199),2),0)</x:f>
        <x:v>24300</x:v>
      </x:c>
      <x:c r="O199" s="12" t="n">
        <x:f>IF(L199="Completed",H199*J199,0)</x:f>
        <x:v>15000</x:v>
      </x:c>
      <x:c r="P199" s="12" t="n">
        <x:f>N199-O199</x:f>
        <x:v>9300</x:v>
      </x:c>
    </x:row>
    <x:row r="200" ht="21" customHeight="1">
      <x:c r="A200" s="7" t="n">
        <x:v>195</x:v>
      </x:c>
      <x:c r="B200" s="2" t="str">
        <x:v>TXN-00195</x:v>
      </x:c>
      <x:c r="C200" s="8" t="d">
        <x:v>2025-02-16T00:00:00.000Z</x:v>
      </x:c>
      <x:c r="D200" s="2" t="str">
        <x:v>Lagos</x:v>
      </x:c>
      <x:c r="E200" s="2" t="str">
        <x:v>Electronics</x:v>
      </x:c>
      <x:c r="F200" s="2" t="str">
        <x:v>Bluetooth speaker</x:v>
      </x:c>
      <x:c r="G200" s="2" t="str">
        <x:v>In-store</x:v>
      </x:c>
      <x:c r="H200" s="7" t="n">
        <x:v>1</x:v>
      </x:c>
      <x:c r="I200" s="9" t="n">
        <x:v>26000</x:v>
      </x:c>
      <x:c r="J200" s="9" t="n">
        <x:v>17000</x:v>
      </x:c>
      <x:c r="K200" s="10" t="n">
        <x:v>0</x:v>
      </x:c>
      <x:c r="L200" s="2" t="str">
        <x:v>Completed</x:v>
      </x:c>
      <x:c r="M200" s="12" t="n">
        <x:f>H200*I200</x:f>
        <x:v>26000</x:v>
      </x:c>
      <x:c r="N200" s="12" t="n">
        <x:f>IF(L200="Completed",ROUND(M200*(1-K200),2),0)</x:f>
        <x:v>26000</x:v>
      </x:c>
      <x:c r="O200" s="12" t="n">
        <x:f>IF(L200="Completed",H200*J200,0)</x:f>
        <x:v>17000</x:v>
      </x:c>
      <x:c r="P200" s="12" t="n">
        <x:f>N200-O200</x:f>
        <x:v>9000</x:v>
      </x:c>
    </x:row>
    <x:row r="201" ht="21" customHeight="1">
      <x:c r="A201" s="7" t="n">
        <x:v>196</x:v>
      </x:c>
      <x:c r="B201" s="2" t="str">
        <x:v>TXN-00196</x:v>
      </x:c>
      <x:c r="C201" s="8" t="d">
        <x:v>2025-02-28T00:00:00.000Z</x:v>
      </x:c>
      <x:c r="D201" s="2" t="str">
        <x:v>Port Harcourt</x:v>
      </x:c>
      <x:c r="E201" s="2" t="str">
        <x:v>Fashion</x:v>
      </x:c>
      <x:c r="F201" s="2" t="str">
        <x:v>Sneakers</x:v>
      </x:c>
      <x:c r="G201" s="2" t="str">
        <x:v>Online</x:v>
      </x:c>
      <x:c r="H201" s="7" t="n">
        <x:v>1</x:v>
      </x:c>
      <x:c r="I201" s="9" t="n">
        <x:v>28000</x:v>
      </x:c>
      <x:c r="J201" s="9" t="n">
        <x:v>17500</x:v>
      </x:c>
      <x:c r="K201" s="10" t="n">
        <x:v>0.1</x:v>
      </x:c>
      <x:c r="L201" s="2" t="str">
        <x:v>Completed</x:v>
      </x:c>
      <x:c r="M201" s="12" t="n">
        <x:f>H201*I201</x:f>
        <x:v>28000</x:v>
      </x:c>
      <x:c r="N201" s="12" t="n">
        <x:f>IF(L201="Completed",ROUND(M201*(1-K201),2),0)</x:f>
        <x:v>25200</x:v>
      </x:c>
      <x:c r="O201" s="12" t="n">
        <x:f>IF(L201="Completed",H201*J201,0)</x:f>
        <x:v>17500</x:v>
      </x:c>
      <x:c r="P201" s="12" t="n">
        <x:f>N201-O201</x:f>
        <x:v>7700</x:v>
      </x:c>
    </x:row>
    <x:row r="202" ht="21" customHeight="1">
      <x:c r="A202" s="7" t="n">
        <x:v>197</x:v>
      </x:c>
      <x:c r="B202" s="2" t="str">
        <x:v>TXN-00197</x:v>
      </x:c>
      <x:c r="C202" s="8" t="d">
        <x:v>2025-02-02T00:00:00.000Z</x:v>
      </x:c>
      <x:c r="D202" s="2" t="str">
        <x:v>Abuja</x:v>
      </x:c>
      <x:c r="E202" s="2" t="str">
        <x:v>Home</x:v>
      </x:c>
      <x:c r="F202" s="2" t="str">
        <x:v>Bedsheet</x:v>
      </x:c>
      <x:c r="G202" s="2" t="str">
        <x:v>Online</x:v>
      </x:c>
      <x:c r="H202" s="7" t="n">
        <x:v>2</x:v>
      </x:c>
      <x:c r="I202" s="9" t="n">
        <x:v>14000</x:v>
      </x:c>
      <x:c r="J202" s="9" t="n">
        <x:v>8500</x:v>
      </x:c>
      <x:c r="K202" s="10" t="n">
        <x:v>0.1</x:v>
      </x:c>
      <x:c r="L202" s="2" t="str">
        <x:v>Completed</x:v>
      </x:c>
      <x:c r="M202" s="12" t="n">
        <x:f>H202*I202</x:f>
        <x:v>28000</x:v>
      </x:c>
      <x:c r="N202" s="12" t="n">
        <x:f>IF(L202="Completed",ROUND(M202*(1-K202),2),0)</x:f>
        <x:v>25200</x:v>
      </x:c>
      <x:c r="O202" s="12" t="n">
        <x:f>IF(L202="Completed",H202*J202,0)</x:f>
        <x:v>17000</x:v>
      </x:c>
      <x:c r="P202" s="12" t="n">
        <x:f>N202-O202</x:f>
        <x:v>8200</x:v>
      </x:c>
    </x:row>
    <x:row r="203" ht="21" customHeight="1">
      <x:c r="A203" s="7" t="n">
        <x:v>198</x:v>
      </x:c>
      <x:c r="B203" s="2" t="str">
        <x:v>TXN-00198</x:v>
      </x:c>
      <x:c r="C203" s="8" t="d">
        <x:v>2025-02-28T00:00:00.000Z</x:v>
      </x:c>
      <x:c r="D203" s="2" t="str">
        <x:v>Abuja</x:v>
      </x:c>
      <x:c r="E203" s="2" t="str">
        <x:v>Home</x:v>
      </x:c>
      <x:c r="F203" s="2" t="str">
        <x:v>Desk lamp</x:v>
      </x:c>
      <x:c r="G203" s="2" t="str">
        <x:v>Online</x:v>
      </x:c>
      <x:c r="H203" s="7" t="n">
        <x:v>1</x:v>
      </x:c>
      <x:c r="I203" s="9" t="n">
        <x:v>12000</x:v>
      </x:c>
      <x:c r="J203" s="9" t="n">
        <x:v>7200</x:v>
      </x:c>
      <x:c r="K203" s="10" t="n">
        <x:v>0.05</x:v>
      </x:c>
      <x:c r="L203" s="2" t="str">
        <x:v>Completed</x:v>
      </x:c>
      <x:c r="M203" s="12" t="n">
        <x:f>H203*I203</x:f>
        <x:v>12000</x:v>
      </x:c>
      <x:c r="N203" s="12" t="n">
        <x:f>IF(L203="Completed",ROUND(M203*(1-K203),2),0)</x:f>
        <x:v>11400</x:v>
      </x:c>
      <x:c r="O203" s="12" t="n">
        <x:f>IF(L203="Completed",H203*J203,0)</x:f>
        <x:v>7200</x:v>
      </x:c>
      <x:c r="P203" s="12" t="n">
        <x:f>N203-O203</x:f>
        <x:v>4200</x:v>
      </x:c>
    </x:row>
    <x:row r="204" ht="21" customHeight="1">
      <x:c r="A204" s="7" t="n">
        <x:v>199</x:v>
      </x:c>
      <x:c r="B204" s="2" t="str">
        <x:v>TXN-00199</x:v>
      </x:c>
      <x:c r="C204" s="8" t="d">
        <x:v>2025-03-13T00:00:00.000Z</x:v>
      </x:c>
      <x:c r="D204" s="2" t="str">
        <x:v>Abuja</x:v>
      </x:c>
      <x:c r="E204" s="2" t="str">
        <x:v>Electronics</x:v>
      </x:c>
      <x:c r="F204" s="2" t="str">
        <x:v>Headphones</x:v>
      </x:c>
      <x:c r="G204" s="2" t="str">
        <x:v>Online</x:v>
      </x:c>
      <x:c r="H204" s="7" t="n">
        <x:v>1</x:v>
      </x:c>
      <x:c r="I204" s="9" t="n">
        <x:v>18000</x:v>
      </x:c>
      <x:c r="J204" s="9" t="n">
        <x:v>10500</x:v>
      </x:c>
      <x:c r="K204" s="10" t="n">
        <x:v>0.05</x:v>
      </x:c>
      <x:c r="L204" s="2" t="str">
        <x:v>Completed</x:v>
      </x:c>
      <x:c r="M204" s="12" t="n">
        <x:f>H204*I204</x:f>
        <x:v>18000</x:v>
      </x:c>
      <x:c r="N204" s="12" t="n">
        <x:f>IF(L204="Completed",ROUND(M204*(1-K204),2),0)</x:f>
        <x:v>17100</x:v>
      </x:c>
      <x:c r="O204" s="12" t="n">
        <x:f>IF(L204="Completed",H204*J204,0)</x:f>
        <x:v>10500</x:v>
      </x:c>
      <x:c r="P204" s="12" t="n">
        <x:f>N204-O204</x:f>
        <x:v>6600</x:v>
      </x:c>
    </x:row>
    <x:row r="205" ht="21" customHeight="1">
      <x:c r="A205" s="7" t="n">
        <x:v>200</x:v>
      </x:c>
      <x:c r="B205" s="2" t="str">
        <x:v>TXN-00200</x:v>
      </x:c>
      <x:c r="C205" s="8" t="d">
        <x:v>2025-03-05T00:00:00.000Z</x:v>
      </x:c>
      <x:c r="D205" s="2" t="str">
        <x:v>Abuja</x:v>
      </x:c>
      <x:c r="E205" s="2" t="str">
        <x:v>Home</x:v>
      </x:c>
      <x:c r="F205" s="2" t="str">
        <x:v>Bedsheet</x:v>
      </x:c>
      <x:c r="G205" s="2" t="str">
        <x:v>In-store</x:v>
      </x:c>
      <x:c r="H205" s="7" t="n">
        <x:v>1</x:v>
      </x:c>
      <x:c r="I205" s="9" t="n">
        <x:v>14000</x:v>
      </x:c>
      <x:c r="J205" s="9" t="n">
        <x:v>8500</x:v>
      </x:c>
      <x:c r="K205" s="10" t="n">
        <x:v>0.05</x:v>
      </x:c>
      <x:c r="L205" s="2" t="str">
        <x:v>Completed</x:v>
      </x:c>
      <x:c r="M205" s="12" t="n">
        <x:f>H205*I205</x:f>
        <x:v>14000</x:v>
      </x:c>
      <x:c r="N205" s="12" t="n">
        <x:f>IF(L205="Completed",ROUND(M205*(1-K205),2),0)</x:f>
        <x:v>13300</x:v>
      </x:c>
      <x:c r="O205" s="12" t="n">
        <x:f>IF(L205="Completed",H205*J205,0)</x:f>
        <x:v>8500</x:v>
      </x:c>
      <x:c r="P205" s="12" t="n">
        <x:f>N205-O205</x:f>
        <x:v>4800</x:v>
      </x:c>
    </x:row>
    <x:row r="206" ht="21" customHeight="1">
      <x:c r="A206" s="7" t="n">
        <x:v>201</x:v>
      </x:c>
      <x:c r="B206" s="2" t="str">
        <x:v>TXN-00201</x:v>
      </x:c>
      <x:c r="C206" s="8" t="d">
        <x:v>2025-03-30T00:00:00.000Z</x:v>
      </x:c>
      <x:c r="D206" s="2" t="str">
        <x:v>Abuja</x:v>
      </x:c>
      <x:c r="E206" s="2" t="str">
        <x:v>Fashion</x:v>
      </x:c>
      <x:c r="F206" s="2" t="str">
        <x:v>T-shirt</x:v>
      </x:c>
      <x:c r="G206" s="2" t="str">
        <x:v>Online</x:v>
      </x:c>
      <x:c r="H206" s="7" t="n">
        <x:v>1</x:v>
      </x:c>
      <x:c r="I206" s="9" t="n">
        <x:v>9000</x:v>
      </x:c>
      <x:c r="J206" s="9" t="n">
        <x:v>5000</x:v>
      </x:c>
      <x:c r="K206" s="10" t="n">
        <x:v>0.05</x:v>
      </x:c>
      <x:c r="L206" s="2" t="str">
        <x:v>Completed</x:v>
      </x:c>
      <x:c r="M206" s="12" t="n">
        <x:f>H206*I206</x:f>
        <x:v>9000</x:v>
      </x:c>
      <x:c r="N206" s="12" t="n">
        <x:f>IF(L206="Completed",ROUND(M206*(1-K206),2),0)</x:f>
        <x:v>8550</x:v>
      </x:c>
      <x:c r="O206" s="12" t="n">
        <x:f>IF(L206="Completed",H206*J206,0)</x:f>
        <x:v>5000</x:v>
      </x:c>
      <x:c r="P206" s="12" t="n">
        <x:f>N206-O206</x:f>
        <x:v>3550</x:v>
      </x:c>
    </x:row>
    <x:row r="207" ht="21" customHeight="1">
      <x:c r="A207" s="7" t="n">
        <x:v>202</x:v>
      </x:c>
      <x:c r="B207" s="2" t="str">
        <x:v>TXN-00202</x:v>
      </x:c>
      <x:c r="C207" s="8" t="d">
        <x:v>2025-03-28T00:00:00.000Z</x:v>
      </x:c>
      <x:c r="D207" s="2" t="str">
        <x:v>Lagos</x:v>
      </x:c>
      <x:c r="E207" s="2" t="str">
        <x:v>Electronics</x:v>
      </x:c>
      <x:c r="F207" s="2" t="str">
        <x:v>Bluetooth speaker</x:v>
      </x:c>
      <x:c r="G207" s="2" t="str">
        <x:v>In-store</x:v>
      </x:c>
      <x:c r="H207" s="7" t="n">
        <x:v>3</x:v>
      </x:c>
      <x:c r="I207" s="9" t="n">
        <x:v>26000</x:v>
      </x:c>
      <x:c r="J207" s="9" t="n">
        <x:v>17000</x:v>
      </x:c>
      <x:c r="K207" s="10" t="n">
        <x:v>0</x:v>
      </x:c>
      <x:c r="L207" s="2" t="str">
        <x:v>Completed</x:v>
      </x:c>
      <x:c r="M207" s="12" t="n">
        <x:f>H207*I207</x:f>
        <x:v>78000</x:v>
      </x:c>
      <x:c r="N207" s="12" t="n">
        <x:f>IF(L207="Completed",ROUND(M207*(1-K207),2),0)</x:f>
        <x:v>78000</x:v>
      </x:c>
      <x:c r="O207" s="12" t="n">
        <x:f>IF(L207="Completed",H207*J207,0)</x:f>
        <x:v>51000</x:v>
      </x:c>
      <x:c r="P207" s="12" t="n">
        <x:f>N207-O207</x:f>
        <x:v>27000</x:v>
      </x:c>
    </x:row>
    <x:row r="208" ht="21" customHeight="1">
      <x:c r="A208" s="7" t="n">
        <x:v>203</x:v>
      </x:c>
      <x:c r="B208" s="2" t="str">
        <x:v>TXN-00203</x:v>
      </x:c>
      <x:c r="C208" s="8" t="d">
        <x:v>2025-03-14T00:00:00.000Z</x:v>
      </x:c>
      <x:c r="D208" s="2" t="str">
        <x:v>Lagos</x:v>
      </x:c>
      <x:c r="E208" s="2" t="str">
        <x:v>Beauty</x:v>
      </x:c>
      <x:c r="F208" s="2" t="str">
        <x:v>Moisturizer</x:v>
      </x:c>
      <x:c r="G208" s="2" t="str">
        <x:v>In-store</x:v>
      </x:c>
      <x:c r="H208" s="7" t="n">
        <x:v>1</x:v>
      </x:c>
      <x:c r="I208" s="9" t="n">
        <x:v>6500</x:v>
      </x:c>
      <x:c r="J208" s="9" t="n">
        <x:v>3500</x:v>
      </x:c>
      <x:c r="K208" s="10" t="n">
        <x:v>0</x:v>
      </x:c>
      <x:c r="L208" s="2" t="str">
        <x:v>Returned</x:v>
      </x:c>
      <x:c r="M208" s="12" t="n">
        <x:f>H208*I208</x:f>
        <x:v>6500</x:v>
      </x:c>
      <x:c r="N208" s="12" t="n">
        <x:f>IF(L208="Completed",ROUND(M208*(1-K208),2),0)</x:f>
        <x:v>0</x:v>
      </x:c>
      <x:c r="O208" s="12" t="n">
        <x:f>IF(L208="Completed",H208*J208,0)</x:f>
        <x:v>0</x:v>
      </x:c>
      <x:c r="P208" s="12" t="n">
        <x:f>N208-O208</x:f>
        <x:v>0</x:v>
      </x:c>
    </x:row>
    <x:row r="209" ht="21" customHeight="1">
      <x:c r="A209" s="7" t="n">
        <x:v>204</x:v>
      </x:c>
      <x:c r="B209" s="2" t="str">
        <x:v>TXN-00204</x:v>
      </x:c>
      <x:c r="C209" s="8" t="d">
        <x:v>2025-03-28T00:00:00.000Z</x:v>
      </x:c>
      <x:c r="D209" s="2" t="str">
        <x:v>Lagos</x:v>
      </x:c>
      <x:c r="E209" s="2" t="str">
        <x:v>Home</x:v>
      </x:c>
      <x:c r="F209" s="2" t="str">
        <x:v>Cookware set</x:v>
      </x:c>
      <x:c r="G209" s="2" t="str">
        <x:v>Online</x:v>
      </x:c>
      <x:c r="H209" s="7" t="n">
        <x:v>2</x:v>
      </x:c>
      <x:c r="I209" s="9" t="n">
        <x:v>35000</x:v>
      </x:c>
      <x:c r="J209" s="9" t="n">
        <x:v>22500</x:v>
      </x:c>
      <x:c r="K209" s="10" t="n">
        <x:v>0.1</x:v>
      </x:c>
      <x:c r="L209" s="2" t="str">
        <x:v>Completed</x:v>
      </x:c>
      <x:c r="M209" s="12" t="n">
        <x:f>H209*I209</x:f>
        <x:v>70000</x:v>
      </x:c>
      <x:c r="N209" s="12" t="n">
        <x:f>IF(L209="Completed",ROUND(M209*(1-K209),2),0)</x:f>
        <x:v>63000</x:v>
      </x:c>
      <x:c r="O209" s="12" t="n">
        <x:f>IF(L209="Completed",H209*J209,0)</x:f>
        <x:v>45000</x:v>
      </x:c>
      <x:c r="P209" s="12" t="n">
        <x:f>N209-O209</x:f>
        <x:v>18000</x:v>
      </x:c>
    </x:row>
    <x:row r="210" ht="21" customHeight="1">
      <x:c r="A210" s="7" t="n">
        <x:v>205</x:v>
      </x:c>
      <x:c r="B210" s="2" t="str">
        <x:v>TXN-00205</x:v>
      </x:c>
      <x:c r="C210" s="8" t="d">
        <x:v>2025-03-31T00:00:00.000Z</x:v>
      </x:c>
      <x:c r="D210" s="2" t="str">
        <x:v>Lagos</x:v>
      </x:c>
      <x:c r="E210" s="2" t="str">
        <x:v>Fashion</x:v>
      </x:c>
      <x:c r="F210" s="2" t="str">
        <x:v>Sneakers</x:v>
      </x:c>
      <x:c r="G210" s="2" t="str">
        <x:v>Online</x:v>
      </x:c>
      <x:c r="H210" s="7" t="n">
        <x:v>2</x:v>
      </x:c>
      <x:c r="I210" s="9" t="n">
        <x:v>28000</x:v>
      </x:c>
      <x:c r="J210" s="9" t="n">
        <x:v>17500</x:v>
      </x:c>
      <x:c r="K210" s="10" t="n">
        <x:v>0.05</x:v>
      </x:c>
      <x:c r="L210" s="2" t="str">
        <x:v>Completed</x:v>
      </x:c>
      <x:c r="M210" s="12" t="n">
        <x:f>H210*I210</x:f>
        <x:v>56000</x:v>
      </x:c>
      <x:c r="N210" s="12" t="n">
        <x:f>IF(L210="Completed",ROUND(M210*(1-K210),2),0)</x:f>
        <x:v>53200</x:v>
      </x:c>
      <x:c r="O210" s="12" t="n">
        <x:f>IF(L210="Completed",H210*J210,0)</x:f>
        <x:v>35000</x:v>
      </x:c>
      <x:c r="P210" s="12" t="n">
        <x:f>N210-O210</x:f>
        <x:v>18200</x:v>
      </x:c>
    </x:row>
    <x:row r="211" ht="21" customHeight="1">
      <x:c r="A211" s="7" t="n">
        <x:v>206</x:v>
      </x:c>
      <x:c r="B211" s="2" t="str">
        <x:v>TXN-00206</x:v>
      </x:c>
      <x:c r="C211" s="8" t="d">
        <x:v>2025-03-11T00:00:00.000Z</x:v>
      </x:c>
      <x:c r="D211" s="2" t="str">
        <x:v>Lagos</x:v>
      </x:c>
      <x:c r="E211" s="2" t="str">
        <x:v>Electronics</x:v>
      </x:c>
      <x:c r="F211" s="2" t="str">
        <x:v>Headphones</x:v>
      </x:c>
      <x:c r="G211" s="2" t="str">
        <x:v>Online</x:v>
      </x:c>
      <x:c r="H211" s="7" t="n">
        <x:v>1</x:v>
      </x:c>
      <x:c r="I211" s="9" t="n">
        <x:v>18000</x:v>
      </x:c>
      <x:c r="J211" s="9" t="n">
        <x:v>10500</x:v>
      </x:c>
      <x:c r="K211" s="10" t="n">
        <x:v>0</x:v>
      </x:c>
      <x:c r="L211" s="2" t="str">
        <x:v>Completed</x:v>
      </x:c>
      <x:c r="M211" s="12" t="n">
        <x:f>H211*I211</x:f>
        <x:v>18000</x:v>
      </x:c>
      <x:c r="N211" s="12" t="n">
        <x:f>IF(L211="Completed",ROUND(M211*(1-K211),2),0)</x:f>
        <x:v>18000</x:v>
      </x:c>
      <x:c r="O211" s="12" t="n">
        <x:f>IF(L211="Completed",H211*J211,0)</x:f>
        <x:v>10500</x:v>
      </x:c>
      <x:c r="P211" s="12" t="n">
        <x:f>N211-O211</x:f>
        <x:v>7500</x:v>
      </x:c>
    </x:row>
    <x:row r="212" ht="21" customHeight="1">
      <x:c r="A212" s="7" t="n">
        <x:v>207</x:v>
      </x:c>
      <x:c r="B212" s="2" t="str">
        <x:v>TXN-00207</x:v>
      </x:c>
      <x:c r="C212" s="8" t="d">
        <x:v>2025-03-25T00:00:00.000Z</x:v>
      </x:c>
      <x:c r="D212" s="2" t="str">
        <x:v>Unknown</x:v>
      </x:c>
      <x:c r="E212" s="2" t="str">
        <x:v>Beauty</x:v>
      </x:c>
      <x:c r="F212" s="2" t="str">
        <x:v>Perfume</x:v>
      </x:c>
      <x:c r="G212" s="2" t="str">
        <x:v>In-store</x:v>
      </x:c>
      <x:c r="H212" s="7" t="n">
        <x:v>1</x:v>
      </x:c>
      <x:c r="I212" s="9" t="n">
        <x:v>17000</x:v>
      </x:c>
      <x:c r="J212" s="9" t="n">
        <x:v>9000</x:v>
      </x:c>
      <x:c r="K212" s="10" t="n">
        <x:v>0</x:v>
      </x:c>
      <x:c r="L212" s="2" t="str">
        <x:v>Completed</x:v>
      </x:c>
      <x:c r="M212" s="12" t="n">
        <x:f>H212*I212</x:f>
        <x:v>17000</x:v>
      </x:c>
      <x:c r="N212" s="12" t="n">
        <x:f>IF(L212="Completed",ROUND(M212*(1-K212),2),0)</x:f>
        <x:v>17000</x:v>
      </x:c>
      <x:c r="O212" s="12" t="n">
        <x:f>IF(L212="Completed",H212*J212,0)</x:f>
        <x:v>9000</x:v>
      </x:c>
      <x:c r="P212" s="12" t="n">
        <x:f>N212-O212</x:f>
        <x:v>8000</x:v>
      </x:c>
    </x:row>
    <x:row r="213" ht="21" customHeight="1">
      <x:c r="A213" s="7" t="n">
        <x:v>208</x:v>
      </x:c>
      <x:c r="B213" s="2" t="str">
        <x:v>TXN-00208</x:v>
      </x:c>
      <x:c r="C213" s="8" t="d">
        <x:v>2025-03-09T00:00:00.000Z</x:v>
      </x:c>
      <x:c r="D213" s="2" t="str">
        <x:v>Abuja</x:v>
      </x:c>
      <x:c r="E213" s="2" t="str">
        <x:v>Home</x:v>
      </x:c>
      <x:c r="F213" s="2" t="str">
        <x:v>Desk lamp</x:v>
      </x:c>
      <x:c r="G213" s="2" t="str">
        <x:v>Online</x:v>
      </x:c>
      <x:c r="H213" s="7" t="n">
        <x:v>2</x:v>
      </x:c>
      <x:c r="I213" s="9" t="n">
        <x:v>12000</x:v>
      </x:c>
      <x:c r="J213" s="9" t="n">
        <x:v>7200</x:v>
      </x:c>
      <x:c r="K213" s="10" t="n">
        <x:v>0</x:v>
      </x:c>
      <x:c r="L213" s="2" t="str">
        <x:v>Completed</x:v>
      </x:c>
      <x:c r="M213" s="12" t="n">
        <x:f>H213*I213</x:f>
        <x:v>24000</x:v>
      </x:c>
      <x:c r="N213" s="12" t="n">
        <x:f>IF(L213="Completed",ROUND(M213*(1-K213),2),0)</x:f>
        <x:v>24000</x:v>
      </x:c>
      <x:c r="O213" s="12" t="n">
        <x:f>IF(L213="Completed",H213*J213,0)</x:f>
        <x:v>14400</x:v>
      </x:c>
      <x:c r="P213" s="12" t="n">
        <x:f>N213-O213</x:f>
        <x:v>9600</x:v>
      </x:c>
    </x:row>
    <x:row r="214" ht="21" customHeight="1">
      <x:c r="A214" s="7" t="n">
        <x:v>209</x:v>
      </x:c>
      <x:c r="B214" s="2" t="str">
        <x:v>TXN-00209</x:v>
      </x:c>
      <x:c r="C214" s="8" t="d">
        <x:v>2025-03-30T00:00:00.000Z</x:v>
      </x:c>
      <x:c r="D214" s="2" t="str">
        <x:v>Abuja</x:v>
      </x:c>
      <x:c r="E214" s="2" t="str">
        <x:v>Electronics</x:v>
      </x:c>
      <x:c r="F214" s="2" t="str">
        <x:v>Bluetooth speaker</x:v>
      </x:c>
      <x:c r="G214" s="2" t="str">
        <x:v>In-store</x:v>
      </x:c>
      <x:c r="H214" s="7" t="n">
        <x:v>2</x:v>
      </x:c>
      <x:c r="I214" s="9" t="n">
        <x:v>26000</x:v>
      </x:c>
      <x:c r="J214" s="9" t="n">
        <x:v>17000</x:v>
      </x:c>
      <x:c r="K214" s="10" t="n">
        <x:v>0</x:v>
      </x:c>
      <x:c r="L214" s="2" t="str">
        <x:v>Completed</x:v>
      </x:c>
      <x:c r="M214" s="12" t="n">
        <x:f>H214*I214</x:f>
        <x:v>52000</x:v>
      </x:c>
      <x:c r="N214" s="12" t="n">
        <x:f>IF(L214="Completed",ROUND(M214*(1-K214),2),0)</x:f>
        <x:v>52000</x:v>
      </x:c>
      <x:c r="O214" s="12" t="n">
        <x:f>IF(L214="Completed",H214*J214,0)</x:f>
        <x:v>34000</x:v>
      </x:c>
      <x:c r="P214" s="12" t="n">
        <x:f>N214-O214</x:f>
        <x:v>18000</x:v>
      </x:c>
    </x:row>
    <x:row r="215" ht="21" customHeight="1">
      <x:c r="A215" s="7" t="n">
        <x:v>210</x:v>
      </x:c>
      <x:c r="B215" s="2" t="str">
        <x:v>TXN-00210</x:v>
      </x:c>
      <x:c r="C215" s="8" t="d">
        <x:v>2025-03-20T00:00:00.000Z</x:v>
      </x:c>
      <x:c r="D215" s="2" t="str">
        <x:v>Lagos</x:v>
      </x:c>
      <x:c r="E215" s="2" t="str">
        <x:v>Electronics</x:v>
      </x:c>
      <x:c r="F215" s="2" t="str">
        <x:v>Headphones</x:v>
      </x:c>
      <x:c r="G215" s="2" t="str">
        <x:v>Online</x:v>
      </x:c>
      <x:c r="H215" s="7" t="n">
        <x:v>1</x:v>
      </x:c>
      <x:c r="I215" s="9" t="n">
        <x:v>18000</x:v>
      </x:c>
      <x:c r="J215" s="9" t="n">
        <x:v>10500</x:v>
      </x:c>
      <x:c r="K215" s="10" t="n">
        <x:v>0</x:v>
      </x:c>
      <x:c r="L215" s="2" t="str">
        <x:v>Completed</x:v>
      </x:c>
      <x:c r="M215" s="12" t="n">
        <x:f>H215*I215</x:f>
        <x:v>18000</x:v>
      </x:c>
      <x:c r="N215" s="12" t="n">
        <x:f>IF(L215="Completed",ROUND(M215*(1-K215),2),0)</x:f>
        <x:v>18000</x:v>
      </x:c>
      <x:c r="O215" s="12" t="n">
        <x:f>IF(L215="Completed",H215*J215,0)</x:f>
        <x:v>10500</x:v>
      </x:c>
      <x:c r="P215" s="12" t="n">
        <x:f>N215-O215</x:f>
        <x:v>7500</x:v>
      </x:c>
    </x:row>
    <x:row r="216" ht="21" customHeight="1">
      <x:c r="A216" s="7" t="n">
        <x:v>211</x:v>
      </x:c>
      <x:c r="B216" s="2" t="str">
        <x:v>TXN-00211</x:v>
      </x:c>
      <x:c r="C216" s="8" t="d">
        <x:v>2025-03-11T00:00:00.000Z</x:v>
      </x:c>
      <x:c r="D216" s="2" t="str">
        <x:v>Kano</x:v>
      </x:c>
      <x:c r="E216" s="2" t="str">
        <x:v>Electronics</x:v>
      </x:c>
      <x:c r="F216" s="2" t="str">
        <x:v>Power bank</x:v>
      </x:c>
      <x:c r="G216" s="2" t="str">
        <x:v>In-store</x:v>
      </x:c>
      <x:c r="H216" s="7" t="n">
        <x:v>3</x:v>
      </x:c>
      <x:c r="I216" s="9" t="n">
        <x:v>15000</x:v>
      </x:c>
      <x:c r="J216" s="9" t="n">
        <x:v>9500</x:v>
      </x:c>
      <x:c r="K216" s="10" t="n">
        <x:v>0.05</x:v>
      </x:c>
      <x:c r="L216" s="2" t="str">
        <x:v>Completed</x:v>
      </x:c>
      <x:c r="M216" s="12" t="n">
        <x:f>H216*I216</x:f>
        <x:v>45000</x:v>
      </x:c>
      <x:c r="N216" s="12" t="n">
        <x:f>IF(L216="Completed",ROUND(M216*(1-K216),2),0)</x:f>
        <x:v>42750</x:v>
      </x:c>
      <x:c r="O216" s="12" t="n">
        <x:f>IF(L216="Completed",H216*J216,0)</x:f>
        <x:v>28500</x:v>
      </x:c>
      <x:c r="P216" s="12" t="n">
        <x:f>N216-O216</x:f>
        <x:v>14250</x:v>
      </x:c>
    </x:row>
    <x:row r="217" ht="21" customHeight="1">
      <x:c r="A217" s="7" t="n">
        <x:v>212</x:v>
      </x:c>
      <x:c r="B217" s="2" t="str">
        <x:v>TXN-00212</x:v>
      </x:c>
      <x:c r="C217" s="8" t="d">
        <x:v>2025-03-26T00:00:00.000Z</x:v>
      </x:c>
      <x:c r="D217" s="2" t="str">
        <x:v>Port Harcourt</x:v>
      </x:c>
      <x:c r="E217" s="2" t="str">
        <x:v>Electronics</x:v>
      </x:c>
      <x:c r="F217" s="2" t="str">
        <x:v>Headphones</x:v>
      </x:c>
      <x:c r="G217" s="2" t="str">
        <x:v>Online</x:v>
      </x:c>
      <x:c r="H217" s="7" t="n">
        <x:v>1</x:v>
      </x:c>
      <x:c r="I217" s="9" t="n">
        <x:v>18000</x:v>
      </x:c>
      <x:c r="J217" s="9" t="n">
        <x:v>10500</x:v>
      </x:c>
      <x:c r="K217" s="10" t="n">
        <x:v>0</x:v>
      </x:c>
      <x:c r="L217" s="2" t="str">
        <x:v>Completed</x:v>
      </x:c>
      <x:c r="M217" s="12" t="n">
        <x:f>H217*I217</x:f>
        <x:v>18000</x:v>
      </x:c>
      <x:c r="N217" s="12" t="n">
        <x:f>IF(L217="Completed",ROUND(M217*(1-K217),2),0)</x:f>
        <x:v>18000</x:v>
      </x:c>
      <x:c r="O217" s="12" t="n">
        <x:f>IF(L217="Completed",H217*J217,0)</x:f>
        <x:v>10500</x:v>
      </x:c>
      <x:c r="P217" s="12" t="n">
        <x:f>N217-O217</x:f>
        <x:v>7500</x:v>
      </x:c>
    </x:row>
    <x:row r="218" ht="21" customHeight="1">
      <x:c r="A218" s="7" t="n">
        <x:v>213</x:v>
      </x:c>
      <x:c r="B218" s="2" t="str">
        <x:v>TXN-00213</x:v>
      </x:c>
      <x:c r="C218" s="8" t="d">
        <x:v>2025-03-27T00:00:00.000Z</x:v>
      </x:c>
      <x:c r="D218" s="2" t="str">
        <x:v>Abuja</x:v>
      </x:c>
      <x:c r="E218" s="2" t="str">
        <x:v>Electronics</x:v>
      </x:c>
      <x:c r="F218" s="2" t="str">
        <x:v>Bluetooth speaker</x:v>
      </x:c>
      <x:c r="G218" s="2" t="str">
        <x:v>Online</x:v>
      </x:c>
      <x:c r="H218" s="7" t="n">
        <x:v>1</x:v>
      </x:c>
      <x:c r="I218" s="9" t="n">
        <x:v>26000</x:v>
      </x:c>
      <x:c r="J218" s="9" t="n">
        <x:v>17000</x:v>
      </x:c>
      <x:c r="K218" s="10" t="n">
        <x:v>0.1</x:v>
      </x:c>
      <x:c r="L218" s="2" t="str">
        <x:v>Completed</x:v>
      </x:c>
      <x:c r="M218" s="12" t="n">
        <x:f>H218*I218</x:f>
        <x:v>26000</x:v>
      </x:c>
      <x:c r="N218" s="12" t="n">
        <x:f>IF(L218="Completed",ROUND(M218*(1-K218),2),0)</x:f>
        <x:v>23400</x:v>
      </x:c>
      <x:c r="O218" s="12" t="n">
        <x:f>IF(L218="Completed",H218*J218,0)</x:f>
        <x:v>17000</x:v>
      </x:c>
      <x:c r="P218" s="12" t="n">
        <x:f>N218-O218</x:f>
        <x:v>6400</x:v>
      </x:c>
    </x:row>
    <x:row r="219" ht="21" customHeight="1">
      <x:c r="A219" s="7" t="n">
        <x:v>214</x:v>
      </x:c>
      <x:c r="B219" s="2" t="str">
        <x:v>TXN-00214</x:v>
      </x:c>
      <x:c r="C219" s="8" t="d">
        <x:v>2025-03-05T00:00:00.000Z</x:v>
      </x:c>
      <x:c r="D219" s="2" t="str">
        <x:v>Port Harcourt</x:v>
      </x:c>
      <x:c r="E219" s="2" t="str">
        <x:v>Fashion</x:v>
      </x:c>
      <x:c r="F219" s="2" t="str">
        <x:v>T-shirt</x:v>
      </x:c>
      <x:c r="G219" s="2" t="str">
        <x:v>Online</x:v>
      </x:c>
      <x:c r="H219" s="7" t="n">
        <x:v>1</x:v>
      </x:c>
      <x:c r="I219" s="9" t="n">
        <x:v>9000</x:v>
      </x:c>
      <x:c r="J219" s="9" t="n">
        <x:v>5000</x:v>
      </x:c>
      <x:c r="K219" s="10" t="n">
        <x:v>0</x:v>
      </x:c>
      <x:c r="L219" s="2" t="str">
        <x:v>Completed</x:v>
      </x:c>
      <x:c r="M219" s="12" t="n">
        <x:f>H219*I219</x:f>
        <x:v>9000</x:v>
      </x:c>
      <x:c r="N219" s="12" t="n">
        <x:f>IF(L219="Completed",ROUND(M219*(1-K219),2),0)</x:f>
        <x:v>9000</x:v>
      </x:c>
      <x:c r="O219" s="12" t="n">
        <x:f>IF(L219="Completed",H219*J219,0)</x:f>
        <x:v>5000</x:v>
      </x:c>
      <x:c r="P219" s="12" t="n">
        <x:f>N219-O219</x:f>
        <x:v>4000</x:v>
      </x:c>
    </x:row>
    <x:row r="220" ht="21" customHeight="1">
      <x:c r="A220" s="7" t="n">
        <x:v>215</x:v>
      </x:c>
      <x:c r="B220" s="2" t="str">
        <x:v>TXN-00215</x:v>
      </x:c>
      <x:c r="C220" s="8" t="d">
        <x:v>2025-03-18T00:00:00.000Z</x:v>
      </x:c>
      <x:c r="D220" s="2" t="str">
        <x:v>Lagos</x:v>
      </x:c>
      <x:c r="E220" s="2" t="str">
        <x:v>Fashion</x:v>
      </x:c>
      <x:c r="F220" s="2" t="str">
        <x:v>Handbag</x:v>
      </x:c>
      <x:c r="G220" s="2" t="str">
        <x:v>Online</x:v>
      </x:c>
      <x:c r="H220" s="7" t="n">
        <x:v>1</x:v>
      </x:c>
      <x:c r="I220" s="9" t="n">
        <x:v>22000</x:v>
      </x:c>
      <x:c r="J220" s="9" t="n">
        <x:v>13500</x:v>
      </x:c>
      <x:c r="K220" s="10" t="n">
        <x:v>0</x:v>
      </x:c>
      <x:c r="L220" s="2" t="str">
        <x:v>Completed</x:v>
      </x:c>
      <x:c r="M220" s="12" t="n">
        <x:f>H220*I220</x:f>
        <x:v>22000</x:v>
      </x:c>
      <x:c r="N220" s="12" t="n">
        <x:f>IF(L220="Completed",ROUND(M220*(1-K220),2),0)</x:f>
        <x:v>22000</x:v>
      </x:c>
      <x:c r="O220" s="12" t="n">
        <x:f>IF(L220="Completed",H220*J220,0)</x:f>
        <x:v>13500</x:v>
      </x:c>
      <x:c r="P220" s="12" t="n">
        <x:f>N220-O220</x:f>
        <x:v>8500</x:v>
      </x:c>
    </x:row>
    <x:row r="221" ht="21" customHeight="1">
      <x:c r="A221" s="7" t="n">
        <x:v>216</x:v>
      </x:c>
      <x:c r="B221" s="2" t="str">
        <x:v>TXN-00216</x:v>
      </x:c>
      <x:c r="C221" s="8" t="d">
        <x:v>2025-03-16T00:00:00.000Z</x:v>
      </x:c>
      <x:c r="D221" s="2" t="str">
        <x:v>Port Harcourt</x:v>
      </x:c>
      <x:c r="E221" s="2" t="str">
        <x:v>Electronics</x:v>
      </x:c>
      <x:c r="F221" s="2" t="str">
        <x:v>Headphones</x:v>
      </x:c>
      <x:c r="G221" s="2" t="str">
        <x:v>In-store</x:v>
      </x:c>
      <x:c r="H221" s="7" t="n">
        <x:v>1</x:v>
      </x:c>
      <x:c r="I221" s="9" t="n">
        <x:v>18000</x:v>
      </x:c>
      <x:c r="J221" s="9" t="n">
        <x:v>10500</x:v>
      </x:c>
      <x:c r="K221" s="10" t="n">
        <x:v>0</x:v>
      </x:c>
      <x:c r="L221" s="2" t="str">
        <x:v>Completed</x:v>
      </x:c>
      <x:c r="M221" s="12" t="n">
        <x:f>H221*I221</x:f>
        <x:v>18000</x:v>
      </x:c>
      <x:c r="N221" s="12" t="n">
        <x:f>IF(L221="Completed",ROUND(M221*(1-K221),2),0)</x:f>
        <x:v>18000</x:v>
      </x:c>
      <x:c r="O221" s="12" t="n">
        <x:f>IF(L221="Completed",H221*J221,0)</x:f>
        <x:v>10500</x:v>
      </x:c>
      <x:c r="P221" s="12" t="n">
        <x:f>N221-O221</x:f>
        <x:v>7500</x:v>
      </x:c>
    </x:row>
    <x:row r="222" ht="21" customHeight="1">
      <x:c r="A222" s="7" t="n">
        <x:v>217</x:v>
      </x:c>
      <x:c r="B222" s="2" t="str">
        <x:v>TXN-00217</x:v>
      </x:c>
      <x:c r="C222" s="8" t="d">
        <x:v>2025-03-31T00:00:00.000Z</x:v>
      </x:c>
      <x:c r="D222" s="2" t="str">
        <x:v>Lagos</x:v>
      </x:c>
      <x:c r="E222" s="2" t="str">
        <x:v>Beauty</x:v>
      </x:c>
      <x:c r="F222" s="2" t="str">
        <x:v>Body wash</x:v>
      </x:c>
      <x:c r="G222" s="2" t="str">
        <x:v>Online</x:v>
      </x:c>
      <x:c r="H222" s="7" t="n">
        <x:v>3</x:v>
      </x:c>
      <x:c r="I222" s="9" t="n">
        <x:v>4500</x:v>
      </x:c>
      <x:c r="J222" s="9" t="n">
        <x:v>2300</x:v>
      </x:c>
      <x:c r="K222" s="10" t="n">
        <x:v>0.15</x:v>
      </x:c>
      <x:c r="L222" s="2" t="str">
        <x:v>Completed</x:v>
      </x:c>
      <x:c r="M222" s="12" t="n">
        <x:f>H222*I222</x:f>
        <x:v>13500</x:v>
      </x:c>
      <x:c r="N222" s="12" t="n">
        <x:f>IF(L222="Completed",ROUND(M222*(1-K222),2),0)</x:f>
        <x:v>11475</x:v>
      </x:c>
      <x:c r="O222" s="12" t="n">
        <x:f>IF(L222="Completed",H222*J222,0)</x:f>
        <x:v>6900</x:v>
      </x:c>
      <x:c r="P222" s="12" t="n">
        <x:f>N222-O222</x:f>
        <x:v>4575</x:v>
      </x:c>
    </x:row>
    <x:row r="223" ht="21" customHeight="1">
      <x:c r="A223" s="7" t="n">
        <x:v>218</x:v>
      </x:c>
      <x:c r="B223" s="2" t="str">
        <x:v>TXN-00218</x:v>
      </x:c>
      <x:c r="C223" s="8" t="d">
        <x:v>2025-03-21T00:00:00.000Z</x:v>
      </x:c>
      <x:c r="D223" s="2" t="str">
        <x:v>Lagos</x:v>
      </x:c>
      <x:c r="E223" s="2" t="str">
        <x:v>Electronics</x:v>
      </x:c>
      <x:c r="F223" s="2" t="str">
        <x:v>Bluetooth speaker</x:v>
      </x:c>
      <x:c r="G223" s="2" t="str">
        <x:v>Online</x:v>
      </x:c>
      <x:c r="H223" s="7" t="n">
        <x:v>1</x:v>
      </x:c>
      <x:c r="I223" s="9" t="n">
        <x:v>26000</x:v>
      </x:c>
      <x:c r="J223" s="9" t="n">
        <x:v>17000</x:v>
      </x:c>
      <x:c r="K223" s="10" t="n">
        <x:v>0</x:v>
      </x:c>
      <x:c r="L223" s="2" t="str">
        <x:v>Completed</x:v>
      </x:c>
      <x:c r="M223" s="12" t="n">
        <x:f>H223*I223</x:f>
        <x:v>26000</x:v>
      </x:c>
      <x:c r="N223" s="12" t="n">
        <x:f>IF(L223="Completed",ROUND(M223*(1-K223),2),0)</x:f>
        <x:v>26000</x:v>
      </x:c>
      <x:c r="O223" s="12" t="n">
        <x:f>IF(L223="Completed",H223*J223,0)</x:f>
        <x:v>17000</x:v>
      </x:c>
      <x:c r="P223" s="12" t="n">
        <x:f>N223-O223</x:f>
        <x:v>9000</x:v>
      </x:c>
    </x:row>
    <x:row r="224" ht="21" customHeight="1">
      <x:c r="A224" s="7" t="n">
        <x:v>219</x:v>
      </x:c>
      <x:c r="B224" s="2" t="str">
        <x:v>TXN-00219</x:v>
      </x:c>
      <x:c r="C224" s="8" t="d">
        <x:v>2025-03-18T00:00:00.000Z</x:v>
      </x:c>
      <x:c r="D224" s="2" t="str">
        <x:v>Lagos</x:v>
      </x:c>
      <x:c r="E224" s="2" t="str">
        <x:v>Electronics</x:v>
      </x:c>
      <x:c r="F224" s="2" t="str">
        <x:v>Power bank</x:v>
      </x:c>
      <x:c r="G224" s="2" t="str">
        <x:v>In-store</x:v>
      </x:c>
      <x:c r="H224" s="7" t="n">
        <x:v>1</x:v>
      </x:c>
      <x:c r="I224" s="9" t="n">
        <x:v>15000</x:v>
      </x:c>
      <x:c r="J224" s="9" t="n">
        <x:v>9500</x:v>
      </x:c>
      <x:c r="K224" s="10" t="n">
        <x:v>0.05</x:v>
      </x:c>
      <x:c r="L224" s="2" t="str">
        <x:v>Completed</x:v>
      </x:c>
      <x:c r="M224" s="12" t="n">
        <x:f>H224*I224</x:f>
        <x:v>15000</x:v>
      </x:c>
      <x:c r="N224" s="12" t="n">
        <x:f>IF(L224="Completed",ROUND(M224*(1-K224),2),0)</x:f>
        <x:v>14250</x:v>
      </x:c>
      <x:c r="O224" s="12" t="n">
        <x:f>IF(L224="Completed",H224*J224,0)</x:f>
        <x:v>9500</x:v>
      </x:c>
      <x:c r="P224" s="12" t="n">
        <x:f>N224-O224</x:f>
        <x:v>4750</x:v>
      </x:c>
    </x:row>
    <x:row r="225" ht="21" customHeight="1">
      <x:c r="A225" s="7" t="n">
        <x:v>220</x:v>
      </x:c>
      <x:c r="B225" s="2" t="str">
        <x:v>TXN-00220</x:v>
      </x:c>
      <x:c r="C225" s="8" t="d">
        <x:v>2025-03-03T00:00:00.000Z</x:v>
      </x:c>
      <x:c r="D225" s="2" t="str">
        <x:v>Port Harcourt</x:v>
      </x:c>
      <x:c r="E225" s="2" t="str">
        <x:v>Electronics</x:v>
      </x:c>
      <x:c r="F225" s="2" t="str">
        <x:v>Headphones</x:v>
      </x:c>
      <x:c r="G225" s="2" t="str">
        <x:v>In-store</x:v>
      </x:c>
      <x:c r="H225" s="7" t="n">
        <x:v>2</x:v>
      </x:c>
      <x:c r="I225" s="9" t="n">
        <x:v>18000</x:v>
      </x:c>
      <x:c r="J225" s="9" t="n">
        <x:v>10500</x:v>
      </x:c>
      <x:c r="K225" s="10" t="n">
        <x:v>0</x:v>
      </x:c>
      <x:c r="L225" s="2" t="str">
        <x:v>Completed</x:v>
      </x:c>
      <x:c r="M225" s="12" t="n">
        <x:f>H225*I225</x:f>
        <x:v>36000</x:v>
      </x:c>
      <x:c r="N225" s="12" t="n">
        <x:f>IF(L225="Completed",ROUND(M225*(1-K225),2),0)</x:f>
        <x:v>36000</x:v>
      </x:c>
      <x:c r="O225" s="12" t="n">
        <x:f>IF(L225="Completed",H225*J225,0)</x:f>
        <x:v>21000</x:v>
      </x:c>
      <x:c r="P225" s="12" t="n">
        <x:f>N225-O225</x:f>
        <x:v>15000</x:v>
      </x:c>
    </x:row>
    <x:row r="226" ht="21" customHeight="1">
      <x:c r="A226" s="7" t="n">
        <x:v>221</x:v>
      </x:c>
      <x:c r="B226" s="2" t="str">
        <x:v>TXN-00221</x:v>
      </x:c>
      <x:c r="C226" s="8" t="d">
        <x:v>2025-03-31T00:00:00.000Z</x:v>
      </x:c>
      <x:c r="D226" s="2" t="str">
        <x:v>Lagos</x:v>
      </x:c>
      <x:c r="E226" s="2" t="str">
        <x:v>Home</x:v>
      </x:c>
      <x:c r="F226" s="2" t="str">
        <x:v>Bedsheet</x:v>
      </x:c>
      <x:c r="G226" s="2" t="str">
        <x:v>Online</x:v>
      </x:c>
      <x:c r="H226" s="7" t="n">
        <x:v>2</x:v>
      </x:c>
      <x:c r="I226" s="9" t="n">
        <x:v>14000</x:v>
      </x:c>
      <x:c r="J226" s="9" t="n">
        <x:v>8500</x:v>
      </x:c>
      <x:c r="K226" s="10" t="n">
        <x:v>0</x:v>
      </x:c>
      <x:c r="L226" s="2" t="str">
        <x:v>Completed</x:v>
      </x:c>
      <x:c r="M226" s="12" t="n">
        <x:f>H226*I226</x:f>
        <x:v>28000</x:v>
      </x:c>
      <x:c r="N226" s="12" t="n">
        <x:f>IF(L226="Completed",ROUND(M226*(1-K226),2),0)</x:f>
        <x:v>28000</x:v>
      </x:c>
      <x:c r="O226" s="12" t="n">
        <x:f>IF(L226="Completed",H226*J226,0)</x:f>
        <x:v>17000</x:v>
      </x:c>
      <x:c r="P226" s="12" t="n">
        <x:f>N226-O226</x:f>
        <x:v>11000</x:v>
      </x:c>
    </x:row>
    <x:row r="227" ht="21" customHeight="1">
      <x:c r="A227" s="7" t="n">
        <x:v>222</x:v>
      </x:c>
      <x:c r="B227" s="2" t="str">
        <x:v>TXN-00222</x:v>
      </x:c>
      <x:c r="C227" s="8" t="d">
        <x:v>2025-03-11T00:00:00.000Z</x:v>
      </x:c>
      <x:c r="D227" s="2" t="str">
        <x:v>Abuja</x:v>
      </x:c>
      <x:c r="E227" s="2" t="str">
        <x:v>Electronics</x:v>
      </x:c>
      <x:c r="F227" s="2" t="str">
        <x:v>Bluetooth speaker</x:v>
      </x:c>
      <x:c r="G227" s="2" t="str">
        <x:v>In-store</x:v>
      </x:c>
      <x:c r="H227" s="7" t="n">
        <x:v>3</x:v>
      </x:c>
      <x:c r="I227" s="9" t="n">
        <x:v>26000</x:v>
      </x:c>
      <x:c r="J227" s="9" t="n">
        <x:v>17000</x:v>
      </x:c>
      <x:c r="K227" s="10" t="n">
        <x:v>0</x:v>
      </x:c>
      <x:c r="L227" s="2" t="str">
        <x:v>Completed</x:v>
      </x:c>
      <x:c r="M227" s="12" t="n">
        <x:f>H227*I227</x:f>
        <x:v>78000</x:v>
      </x:c>
      <x:c r="N227" s="12" t="n">
        <x:f>IF(L227="Completed",ROUND(M227*(1-K227),2),0)</x:f>
        <x:v>78000</x:v>
      </x:c>
      <x:c r="O227" s="12" t="n">
        <x:f>IF(L227="Completed",H227*J227,0)</x:f>
        <x:v>51000</x:v>
      </x:c>
      <x:c r="P227" s="12" t="n">
        <x:f>N227-O227</x:f>
        <x:v>27000</x:v>
      </x:c>
    </x:row>
    <x:row r="228" ht="21" customHeight="1">
      <x:c r="A228" s="7" t="n">
        <x:v>223</x:v>
      </x:c>
      <x:c r="B228" s="2" t="str">
        <x:v>TXN-00223</x:v>
      </x:c>
      <x:c r="C228" s="8" t="d">
        <x:v>2025-03-29T00:00:00.000Z</x:v>
      </x:c>
      <x:c r="D228" s="2" t="str">
        <x:v>Port Harcourt</x:v>
      </x:c>
      <x:c r="E228" s="2" t="str">
        <x:v>Home</x:v>
      </x:c>
      <x:c r="F228" s="2" t="str">
        <x:v>Cookware set</x:v>
      </x:c>
      <x:c r="G228" s="2" t="str">
        <x:v>Online</x:v>
      </x:c>
      <x:c r="H228" s="7" t="n">
        <x:v>1</x:v>
      </x:c>
      <x:c r="I228" s="9" t="n">
        <x:v>35000</x:v>
      </x:c>
      <x:c r="J228" s="9" t="n">
        <x:v>22500</x:v>
      </x:c>
      <x:c r="K228" s="10" t="n">
        <x:v>0.05</x:v>
      </x:c>
      <x:c r="L228" s="2" t="str">
        <x:v>Completed</x:v>
      </x:c>
      <x:c r="M228" s="12" t="n">
        <x:f>H228*I228</x:f>
        <x:v>35000</x:v>
      </x:c>
      <x:c r="N228" s="12" t="n">
        <x:f>IF(L228="Completed",ROUND(M228*(1-K228),2),0)</x:f>
        <x:v>33250</x:v>
      </x:c>
      <x:c r="O228" s="12" t="n">
        <x:f>IF(L228="Completed",H228*J228,0)</x:f>
        <x:v>22500</x:v>
      </x:c>
      <x:c r="P228" s="12" t="n">
        <x:f>N228-O228</x:f>
        <x:v>10750</x:v>
      </x:c>
    </x:row>
    <x:row r="229" ht="21" customHeight="1">
      <x:c r="A229" s="7" t="n">
        <x:v>224</x:v>
      </x:c>
      <x:c r="B229" s="2" t="str">
        <x:v>TXN-00224</x:v>
      </x:c>
      <x:c r="C229" s="8" t="d">
        <x:v>2025-03-16T00:00:00.000Z</x:v>
      </x:c>
      <x:c r="D229" s="2" t="str">
        <x:v>Abuja</x:v>
      </x:c>
      <x:c r="E229" s="2" t="str">
        <x:v>Home</x:v>
      </x:c>
      <x:c r="F229" s="2" t="str">
        <x:v>Bedsheet</x:v>
      </x:c>
      <x:c r="G229" s="2" t="str">
        <x:v>In-store</x:v>
      </x:c>
      <x:c r="H229" s="7" t="n">
        <x:v>2</x:v>
      </x:c>
      <x:c r="I229" s="9" t="n">
        <x:v>14000</x:v>
      </x:c>
      <x:c r="J229" s="9" t="n">
        <x:v>8500</x:v>
      </x:c>
      <x:c r="K229" s="10" t="n">
        <x:v>0.05</x:v>
      </x:c>
      <x:c r="L229" s="2" t="str">
        <x:v>Completed</x:v>
      </x:c>
      <x:c r="M229" s="12" t="n">
        <x:f>H229*I229</x:f>
        <x:v>28000</x:v>
      </x:c>
      <x:c r="N229" s="12" t="n">
        <x:f>IF(L229="Completed",ROUND(M229*(1-K229),2),0)</x:f>
        <x:v>26600</x:v>
      </x:c>
      <x:c r="O229" s="12" t="n">
        <x:f>IF(L229="Completed",H229*J229,0)</x:f>
        <x:v>17000</x:v>
      </x:c>
      <x:c r="P229" s="12" t="n">
        <x:f>N229-O229</x:f>
        <x:v>9600</x:v>
      </x:c>
    </x:row>
    <x:row r="230" ht="21" customHeight="1">
      <x:c r="A230" s="7" t="n">
        <x:v>225</x:v>
      </x:c>
      <x:c r="B230" s="2" t="str">
        <x:v>TXN-00225</x:v>
      </x:c>
      <x:c r="C230" s="8" t="d">
        <x:v>2025-03-14T00:00:00.000Z</x:v>
      </x:c>
      <x:c r="D230" s="2" t="str">
        <x:v>Lagos</x:v>
      </x:c>
      <x:c r="E230" s="2" t="str">
        <x:v>Beauty</x:v>
      </x:c>
      <x:c r="F230" s="2" t="str">
        <x:v>Perfume</x:v>
      </x:c>
      <x:c r="G230" s="2" t="str">
        <x:v>In-store</x:v>
      </x:c>
      <x:c r="H230" s="7" t="n">
        <x:v>3</x:v>
      </x:c>
      <x:c r="I230" s="9" t="n">
        <x:v>17000</x:v>
      </x:c>
      <x:c r="J230" s="9" t="n">
        <x:v>9000</x:v>
      </x:c>
      <x:c r="K230" s="10" t="n">
        <x:v>0</x:v>
      </x:c>
      <x:c r="L230" s="2" t="str">
        <x:v>Returned</x:v>
      </x:c>
      <x:c r="M230" s="12" t="n">
        <x:f>H230*I230</x:f>
        <x:v>51000</x:v>
      </x:c>
      <x:c r="N230" s="12" t="n">
        <x:f>IF(L230="Completed",ROUND(M230*(1-K230),2),0)</x:f>
        <x:v>0</x:v>
      </x:c>
      <x:c r="O230" s="12" t="n">
        <x:f>IF(L230="Completed",H230*J230,0)</x:f>
        <x:v>0</x:v>
      </x:c>
      <x:c r="P230" s="12" t="n">
        <x:f>N230-O230</x:f>
        <x:v>0</x:v>
      </x:c>
    </x:row>
    <x:row r="231" ht="21" customHeight="1">
      <x:c r="A231" s="7" t="n">
        <x:v>226</x:v>
      </x:c>
      <x:c r="B231" s="2" t="str">
        <x:v>TXN-00226</x:v>
      </x:c>
      <x:c r="C231" s="8" t="d">
        <x:v>2025-03-08T00:00:00.000Z</x:v>
      </x:c>
      <x:c r="D231" s="2" t="str">
        <x:v>Kano</x:v>
      </x:c>
      <x:c r="E231" s="2" t="str">
        <x:v>Beauty</x:v>
      </x:c>
      <x:c r="F231" s="2" t="str">
        <x:v>Perfume</x:v>
      </x:c>
      <x:c r="G231" s="2" t="str">
        <x:v>In-store</x:v>
      </x:c>
      <x:c r="H231" s="7" t="n">
        <x:v>3</x:v>
      </x:c>
      <x:c r="I231" s="9" t="n">
        <x:v>17000</x:v>
      </x:c>
      <x:c r="J231" s="9" t="n">
        <x:v>9000</x:v>
      </x:c>
      <x:c r="K231" s="10" t="n">
        <x:v>0</x:v>
      </x:c>
      <x:c r="L231" s="2" t="str">
        <x:v>Completed</x:v>
      </x:c>
      <x:c r="M231" s="12" t="n">
        <x:f>H231*I231</x:f>
        <x:v>51000</x:v>
      </x:c>
      <x:c r="N231" s="12" t="n">
        <x:f>IF(L231="Completed",ROUND(M231*(1-K231),2),0)</x:f>
        <x:v>51000</x:v>
      </x:c>
      <x:c r="O231" s="12" t="n">
        <x:f>IF(L231="Completed",H231*J231,0)</x:f>
        <x:v>27000</x:v>
      </x:c>
      <x:c r="P231" s="12" t="n">
        <x:f>N231-O231</x:f>
        <x:v>24000</x:v>
      </x:c>
    </x:row>
    <x:row r="232" ht="21" customHeight="1">
      <x:c r="A232" s="7" t="n">
        <x:v>227</x:v>
      </x:c>
      <x:c r="B232" s="2" t="str">
        <x:v>TXN-00227</x:v>
      </x:c>
      <x:c r="C232" s="8" t="d">
        <x:v>2025-03-20T00:00:00.000Z</x:v>
      </x:c>
      <x:c r="D232" s="2" t="str">
        <x:v>Abuja</x:v>
      </x:c>
      <x:c r="E232" s="2" t="str">
        <x:v>Beauty</x:v>
      </x:c>
      <x:c r="F232" s="2" t="str">
        <x:v>Perfume</x:v>
      </x:c>
      <x:c r="G232" s="2" t="str">
        <x:v>Online</x:v>
      </x:c>
      <x:c r="H232" s="7" t="n">
        <x:v>3</x:v>
      </x:c>
      <x:c r="I232" s="9" t="n">
        <x:v>17000</x:v>
      </x:c>
      <x:c r="J232" s="9" t="n">
        <x:v>9000</x:v>
      </x:c>
      <x:c r="K232" s="10" t="n">
        <x:v>0</x:v>
      </x:c>
      <x:c r="L232" s="2" t="str">
        <x:v>Returned</x:v>
      </x:c>
      <x:c r="M232" s="12" t="n">
        <x:f>H232*I232</x:f>
        <x:v>51000</x:v>
      </x:c>
      <x:c r="N232" s="12" t="n">
        <x:f>IF(L232="Completed",ROUND(M232*(1-K232),2),0)</x:f>
        <x:v>0</x:v>
      </x:c>
      <x:c r="O232" s="12" t="n">
        <x:f>IF(L232="Completed",H232*J232,0)</x:f>
        <x:v>0</x:v>
      </x:c>
      <x:c r="P232" s="12" t="n">
        <x:f>N232-O232</x:f>
        <x:v>0</x:v>
      </x:c>
    </x:row>
    <x:row r="233" ht="21" customHeight="1">
      <x:c r="A233" s="7" t="n">
        <x:v>228</x:v>
      </x:c>
      <x:c r="B233" s="2" t="str">
        <x:v>TXN-00228</x:v>
      </x:c>
      <x:c r="C233" s="8" t="d">
        <x:v>2025-03-05T00:00:00.000Z</x:v>
      </x:c>
      <x:c r="D233" s="2" t="str">
        <x:v>Abuja</x:v>
      </x:c>
      <x:c r="E233" s="2" t="str">
        <x:v>Fashion</x:v>
      </x:c>
      <x:c r="F233" s="2" t="str">
        <x:v>Sneakers</x:v>
      </x:c>
      <x:c r="G233" s="2" t="str">
        <x:v>Online</x:v>
      </x:c>
      <x:c r="H233" s="7" t="n">
        <x:v>1</x:v>
      </x:c>
      <x:c r="I233" s="9" t="n">
        <x:v>28000</x:v>
      </x:c>
      <x:c r="J233" s="9" t="n">
        <x:v>17500</x:v>
      </x:c>
      <x:c r="K233" s="10" t="n">
        <x:v>0</x:v>
      </x:c>
      <x:c r="L233" s="2" t="str">
        <x:v>Completed</x:v>
      </x:c>
      <x:c r="M233" s="12" t="n">
        <x:f>H233*I233</x:f>
        <x:v>28000</x:v>
      </x:c>
      <x:c r="N233" s="12" t="n">
        <x:f>IF(L233="Completed",ROUND(M233*(1-K233),2),0)</x:f>
        <x:v>28000</x:v>
      </x:c>
      <x:c r="O233" s="12" t="n">
        <x:f>IF(L233="Completed",H233*J233,0)</x:f>
        <x:v>17500</x:v>
      </x:c>
      <x:c r="P233" s="12" t="n">
        <x:f>N233-O233</x:f>
        <x:v>10500</x:v>
      </x:c>
    </x:row>
    <x:row r="234" ht="21" customHeight="1">
      <x:c r="A234" s="7" t="n">
        <x:v>229</x:v>
      </x:c>
      <x:c r="B234" s="2" t="str">
        <x:v>TXN-00229</x:v>
      </x:c>
      <x:c r="C234" s="8" t="d">
        <x:v>2025-03-17T00:00:00.000Z</x:v>
      </x:c>
      <x:c r="D234" s="2" t="str">
        <x:v>Port Harcourt</x:v>
      </x:c>
      <x:c r="E234" s="2" t="str">
        <x:v>Beauty</x:v>
      </x:c>
      <x:c r="F234" s="2" t="str">
        <x:v>Body wash</x:v>
      </x:c>
      <x:c r="G234" s="2" t="str">
        <x:v>In-store</x:v>
      </x:c>
      <x:c r="H234" s="7" t="n">
        <x:v>2</x:v>
      </x:c>
      <x:c r="I234" s="9" t="n">
        <x:v>4500</x:v>
      </x:c>
      <x:c r="J234" s="9" t="n">
        <x:v>2300</x:v>
      </x:c>
      <x:c r="K234" s="10" t="n">
        <x:v>0.1</x:v>
      </x:c>
      <x:c r="L234" s="2" t="str">
        <x:v>Completed</x:v>
      </x:c>
      <x:c r="M234" s="12" t="n">
        <x:f>H234*I234</x:f>
        <x:v>9000</x:v>
      </x:c>
      <x:c r="N234" s="12" t="n">
        <x:f>IF(L234="Completed",ROUND(M234*(1-K234),2),0)</x:f>
        <x:v>8100</x:v>
      </x:c>
      <x:c r="O234" s="12" t="n">
        <x:f>IF(L234="Completed",H234*J234,0)</x:f>
        <x:v>4600</x:v>
      </x:c>
      <x:c r="P234" s="12" t="n">
        <x:f>N234-O234</x:f>
        <x:v>3500</x:v>
      </x:c>
    </x:row>
    <x:row r="235" ht="21" customHeight="1">
      <x:c r="A235" s="7" t="n">
        <x:v>230</x:v>
      </x:c>
      <x:c r="B235" s="2" t="str">
        <x:v>TXN-00230</x:v>
      </x:c>
      <x:c r="C235" s="8" t="d">
        <x:v>2025-03-22T00:00:00.000Z</x:v>
      </x:c>
      <x:c r="D235" s="2" t="str">
        <x:v>Abuja</x:v>
      </x:c>
      <x:c r="E235" s="2" t="str">
        <x:v>Fashion</x:v>
      </x:c>
      <x:c r="F235" s="2" t="str">
        <x:v>T-shirt</x:v>
      </x:c>
      <x:c r="G235" s="2" t="str">
        <x:v>Online</x:v>
      </x:c>
      <x:c r="H235" s="7" t="n">
        <x:v>2</x:v>
      </x:c>
      <x:c r="I235" s="9" t="n">
        <x:v>9000</x:v>
      </x:c>
      <x:c r="J235" s="9" t="n">
        <x:v>5000</x:v>
      </x:c>
      <x:c r="K235" s="10" t="n">
        <x:v>0.05</x:v>
      </x:c>
      <x:c r="L235" s="2" t="str">
        <x:v>Completed</x:v>
      </x:c>
      <x:c r="M235" s="12" t="n">
        <x:f>H235*I235</x:f>
        <x:v>18000</x:v>
      </x:c>
      <x:c r="N235" s="12" t="n">
        <x:f>IF(L235="Completed",ROUND(M235*(1-K235),2),0)</x:f>
        <x:v>17100</x:v>
      </x:c>
      <x:c r="O235" s="12" t="n">
        <x:f>IF(L235="Completed",H235*J235,0)</x:f>
        <x:v>10000</x:v>
      </x:c>
      <x:c r="P235" s="12" t="n">
        <x:f>N235-O235</x:f>
        <x:v>7100</x:v>
      </x:c>
    </x:row>
    <x:row r="236" ht="21" customHeight="1">
      <x:c r="A236" s="7" t="n">
        <x:v>231</x:v>
      </x:c>
      <x:c r="B236" s="2" t="str">
        <x:v>TXN-00231</x:v>
      </x:c>
      <x:c r="C236" s="8" t="d">
        <x:v>2025-03-04T00:00:00.000Z</x:v>
      </x:c>
      <x:c r="D236" s="2" t="str">
        <x:v>Kano</x:v>
      </x:c>
      <x:c r="E236" s="2" t="str">
        <x:v>Home</x:v>
      </x:c>
      <x:c r="F236" s="2" t="str">
        <x:v>Bedsheet</x:v>
      </x:c>
      <x:c r="G236" s="2" t="str">
        <x:v>In-store</x:v>
      </x:c>
      <x:c r="H236" s="7" t="n">
        <x:v>1</x:v>
      </x:c>
      <x:c r="I236" s="9" t="n">
        <x:v>14000</x:v>
      </x:c>
      <x:c r="J236" s="9" t="n">
        <x:v>8500</x:v>
      </x:c>
      <x:c r="K236" s="10" t="n">
        <x:v>0.1</x:v>
      </x:c>
      <x:c r="L236" s="2" t="str">
        <x:v>Completed</x:v>
      </x:c>
      <x:c r="M236" s="12" t="n">
        <x:f>H236*I236</x:f>
        <x:v>14000</x:v>
      </x:c>
      <x:c r="N236" s="12" t="n">
        <x:f>IF(L236="Completed",ROUND(M236*(1-K236),2),0)</x:f>
        <x:v>12600</x:v>
      </x:c>
      <x:c r="O236" s="12" t="n">
        <x:f>IF(L236="Completed",H236*J236,0)</x:f>
        <x:v>8500</x:v>
      </x:c>
      <x:c r="P236" s="12" t="n">
        <x:f>N236-O236</x:f>
        <x:v>4100</x:v>
      </x:c>
    </x:row>
    <x:row r="237" ht="21" customHeight="1">
      <x:c r="A237" s="7" t="n">
        <x:v>232</x:v>
      </x:c>
      <x:c r="B237" s="2" t="str">
        <x:v>TXN-00232</x:v>
      </x:c>
      <x:c r="C237" s="8" t="d">
        <x:v>2025-03-28T00:00:00.000Z</x:v>
      </x:c>
      <x:c r="D237" s="2" t="str">
        <x:v>Port Harcourt</x:v>
      </x:c>
      <x:c r="E237" s="2" t="str">
        <x:v>Home</x:v>
      </x:c>
      <x:c r="F237" s="2" t="str">
        <x:v>Bedsheet</x:v>
      </x:c>
      <x:c r="G237" s="2" t="str">
        <x:v>Online</x:v>
      </x:c>
      <x:c r="H237" s="7" t="n">
        <x:v>2</x:v>
      </x:c>
      <x:c r="I237" s="9" t="n">
        <x:v>14000</x:v>
      </x:c>
      <x:c r="J237" s="9" t="n">
        <x:v>8500</x:v>
      </x:c>
      <x:c r="K237" s="10" t="n">
        <x:v>0.1</x:v>
      </x:c>
      <x:c r="L237" s="2" t="str">
        <x:v>Completed</x:v>
      </x:c>
      <x:c r="M237" s="12" t="n">
        <x:f>H237*I237</x:f>
        <x:v>28000</x:v>
      </x:c>
      <x:c r="N237" s="12" t="n">
        <x:f>IF(L237="Completed",ROUND(M237*(1-K237),2),0)</x:f>
        <x:v>25200</x:v>
      </x:c>
      <x:c r="O237" s="12" t="n">
        <x:f>IF(L237="Completed",H237*J237,0)</x:f>
        <x:v>17000</x:v>
      </x:c>
      <x:c r="P237" s="12" t="n">
        <x:f>N237-O237</x:f>
        <x:v>8200</x:v>
      </x:c>
    </x:row>
    <x:row r="238" ht="21" customHeight="1">
      <x:c r="A238" s="7" t="n">
        <x:v>233</x:v>
      </x:c>
      <x:c r="B238" s="2" t="str">
        <x:v>TXN-00233</x:v>
      </x:c>
      <x:c r="C238" s="8" t="d">
        <x:v>2025-03-28T00:00:00.000Z</x:v>
      </x:c>
      <x:c r="D238" s="2" t="str">
        <x:v>Lagos</x:v>
      </x:c>
      <x:c r="E238" s="2" t="str">
        <x:v>Fashion</x:v>
      </x:c>
      <x:c r="F238" s="2" t="str">
        <x:v>Sneakers</x:v>
      </x:c>
      <x:c r="G238" s="2" t="str">
        <x:v>Online</x:v>
      </x:c>
      <x:c r="H238" s="7" t="n">
        <x:v>1</x:v>
      </x:c>
      <x:c r="I238" s="9" t="n">
        <x:v>28000</x:v>
      </x:c>
      <x:c r="J238" s="9" t="n">
        <x:v>17500</x:v>
      </x:c>
      <x:c r="K238" s="10" t="n">
        <x:v>0.05</x:v>
      </x:c>
      <x:c r="L238" s="2" t="str">
        <x:v>Completed</x:v>
      </x:c>
      <x:c r="M238" s="12" t="n">
        <x:f>H238*I238</x:f>
        <x:v>28000</x:v>
      </x:c>
      <x:c r="N238" s="12" t="n">
        <x:f>IF(L238="Completed",ROUND(M238*(1-K238),2),0)</x:f>
        <x:v>26600</x:v>
      </x:c>
      <x:c r="O238" s="12" t="n">
        <x:f>IF(L238="Completed",H238*J238,0)</x:f>
        <x:v>17500</x:v>
      </x:c>
      <x:c r="P238" s="12" t="n">
        <x:f>N238-O238</x:f>
        <x:v>9100</x:v>
      </x:c>
    </x:row>
    <x:row r="239" ht="21" customHeight="1">
      <x:c r="A239" s="7" t="n">
        <x:v>234</x:v>
      </x:c>
      <x:c r="B239" s="2" t="str">
        <x:v>TXN-00234</x:v>
      </x:c>
      <x:c r="C239" s="8" t="d">
        <x:v>2025-03-11T00:00:00.000Z</x:v>
      </x:c>
      <x:c r="D239" s="2" t="str">
        <x:v>Lagos</x:v>
      </x:c>
      <x:c r="E239" s="2" t="str">
        <x:v>Beauty</x:v>
      </x:c>
      <x:c r="F239" s="2" t="str">
        <x:v>Body wash</x:v>
      </x:c>
      <x:c r="G239" s="2" t="str">
        <x:v>In-store</x:v>
      </x:c>
      <x:c r="H239" s="7" t="n">
        <x:v>1</x:v>
      </x:c>
      <x:c r="I239" s="9" t="n">
        <x:v>4500</x:v>
      </x:c>
      <x:c r="J239" s="9" t="n">
        <x:v>2300</x:v>
      </x:c>
      <x:c r="K239" s="10" t="n">
        <x:v>0.05</x:v>
      </x:c>
      <x:c r="L239" s="2" t="str">
        <x:v>Completed</x:v>
      </x:c>
      <x:c r="M239" s="12" t="n">
        <x:f>H239*I239</x:f>
        <x:v>4500</x:v>
      </x:c>
      <x:c r="N239" s="12" t="n">
        <x:f>IF(L239="Completed",ROUND(M239*(1-K239),2),0)</x:f>
        <x:v>4275</x:v>
      </x:c>
      <x:c r="O239" s="12" t="n">
        <x:f>IF(L239="Completed",H239*J239,0)</x:f>
        <x:v>2300</x:v>
      </x:c>
      <x:c r="P239" s="12" t="n">
        <x:f>N239-O239</x:f>
        <x:v>1975</x:v>
      </x:c>
    </x:row>
    <x:row r="240" ht="21" customHeight="1">
      <x:c r="A240" s="7" t="n">
        <x:v>235</x:v>
      </x:c>
      <x:c r="B240" s="2" t="str">
        <x:v>TXN-00235</x:v>
      </x:c>
      <x:c r="C240" s="8" t="d">
        <x:v>2025-03-04T00:00:00.000Z</x:v>
      </x:c>
      <x:c r="D240" s="2" t="str">
        <x:v>Port Harcourt</x:v>
      </x:c>
      <x:c r="E240" s="2" t="str">
        <x:v>Electronics</x:v>
      </x:c>
      <x:c r="F240" s="2" t="str">
        <x:v>Power bank</x:v>
      </x:c>
      <x:c r="G240" s="2" t="str">
        <x:v>Online</x:v>
      </x:c>
      <x:c r="H240" s="7" t="n">
        <x:v>1</x:v>
      </x:c>
      <x:c r="I240" s="9" t="n">
        <x:v>15000</x:v>
      </x:c>
      <x:c r="J240" s="9" t="n">
        <x:v>9500</x:v>
      </x:c>
      <x:c r="K240" s="10" t="n">
        <x:v>0.1</x:v>
      </x:c>
      <x:c r="L240" s="2" t="str">
        <x:v>Completed</x:v>
      </x:c>
      <x:c r="M240" s="12" t="n">
        <x:f>H240*I240</x:f>
        <x:v>15000</x:v>
      </x:c>
      <x:c r="N240" s="12" t="n">
        <x:f>IF(L240="Completed",ROUND(M240*(1-K240),2),0)</x:f>
        <x:v>13500</x:v>
      </x:c>
      <x:c r="O240" s="12" t="n">
        <x:f>IF(L240="Completed",H240*J240,0)</x:f>
        <x:v>9500</x:v>
      </x:c>
      <x:c r="P240" s="12" t="n">
        <x:f>N240-O240</x:f>
        <x:v>4000</x:v>
      </x:c>
    </x:row>
    <x:row r="241" ht="21" customHeight="1">
      <x:c r="A241" s="7" t="n">
        <x:v>236</x:v>
      </x:c>
      <x:c r="B241" s="2" t="str">
        <x:v>TXN-00236</x:v>
      </x:c>
      <x:c r="C241" s="8" t="d">
        <x:v>2025-03-29T00:00:00.000Z</x:v>
      </x:c>
      <x:c r="D241" s="2" t="str">
        <x:v>Port Harcourt</x:v>
      </x:c>
      <x:c r="E241" s="2" t="str">
        <x:v>Electronics</x:v>
      </x:c>
      <x:c r="F241" s="2" t="str">
        <x:v>Bluetooth speaker</x:v>
      </x:c>
      <x:c r="G241" s="2" t="str">
        <x:v>Online</x:v>
      </x:c>
      <x:c r="H241" s="7" t="n">
        <x:v>3</x:v>
      </x:c>
      <x:c r="I241" s="9" t="n">
        <x:v>26000</x:v>
      </x:c>
      <x:c r="J241" s="9" t="n">
        <x:v>17000</x:v>
      </x:c>
      <x:c r="K241" s="10" t="n">
        <x:v>0</x:v>
      </x:c>
      <x:c r="L241" s="2" t="str">
        <x:v>Completed</x:v>
      </x:c>
      <x:c r="M241" s="12" t="n">
        <x:f>H241*I241</x:f>
        <x:v>78000</x:v>
      </x:c>
      <x:c r="N241" s="12" t="n">
        <x:f>IF(L241="Completed",ROUND(M241*(1-K241),2),0)</x:f>
        <x:v>78000</x:v>
      </x:c>
      <x:c r="O241" s="12" t="n">
        <x:f>IF(L241="Completed",H241*J241,0)</x:f>
        <x:v>51000</x:v>
      </x:c>
      <x:c r="P241" s="12" t="n">
        <x:f>N241-O241</x:f>
        <x:v>27000</x:v>
      </x:c>
    </x:row>
    <x:row r="242" ht="21" customHeight="1">
      <x:c r="A242" s="7" t="n">
        <x:v>237</x:v>
      </x:c>
      <x:c r="B242" s="2" t="str">
        <x:v>TXN-00237</x:v>
      </x:c>
      <x:c r="C242" s="8" t="d">
        <x:v>2025-03-27T00:00:00.000Z</x:v>
      </x:c>
      <x:c r="D242" s="2" t="str">
        <x:v>Abuja</x:v>
      </x:c>
      <x:c r="E242" s="2" t="str">
        <x:v>Fashion</x:v>
      </x:c>
      <x:c r="F242" s="2" t="str">
        <x:v>Handbag</x:v>
      </x:c>
      <x:c r="G242" s="2" t="str">
        <x:v>In-store</x:v>
      </x:c>
      <x:c r="H242" s="7" t="n">
        <x:v>4</x:v>
      </x:c>
      <x:c r="I242" s="9" t="n">
        <x:v>22000</x:v>
      </x:c>
      <x:c r="J242" s="9" t="n">
        <x:v>13500</x:v>
      </x:c>
      <x:c r="K242" s="10" t="n">
        <x:v>0.05</x:v>
      </x:c>
      <x:c r="L242" s="2" t="str">
        <x:v>Completed</x:v>
      </x:c>
      <x:c r="M242" s="12" t="n">
        <x:f>H242*I242</x:f>
        <x:v>88000</x:v>
      </x:c>
      <x:c r="N242" s="12" t="n">
        <x:f>IF(L242="Completed",ROUND(M242*(1-K242),2),0)</x:f>
        <x:v>83600</x:v>
      </x:c>
      <x:c r="O242" s="12" t="n">
        <x:f>IF(L242="Completed",H242*J242,0)</x:f>
        <x:v>54000</x:v>
      </x:c>
      <x:c r="P242" s="12" t="n">
        <x:f>N242-O242</x:f>
        <x:v>29600</x:v>
      </x:c>
    </x:row>
    <x:row r="243" ht="21" customHeight="1">
      <x:c r="A243" s="7" t="n">
        <x:v>238</x:v>
      </x:c>
      <x:c r="B243" s="2" t="str">
        <x:v>TXN-00238</x:v>
      </x:c>
      <x:c r="C243" s="8" t="d">
        <x:v>2025-03-20T00:00:00.000Z</x:v>
      </x:c>
      <x:c r="D243" s="2" t="str">
        <x:v>Abuja</x:v>
      </x:c>
      <x:c r="E243" s="2" t="str">
        <x:v>Beauty</x:v>
      </x:c>
      <x:c r="F243" s="2" t="str">
        <x:v>Moisturizer</x:v>
      </x:c>
      <x:c r="G243" s="2" t="str">
        <x:v>Online</x:v>
      </x:c>
      <x:c r="H243" s="7" t="n">
        <x:v>2</x:v>
      </x:c>
      <x:c r="I243" s="9" t="n">
        <x:v>6500</x:v>
      </x:c>
      <x:c r="J243" s="9" t="n">
        <x:v>3500</x:v>
      </x:c>
      <x:c r="K243" s="10" t="n">
        <x:v>0</x:v>
      </x:c>
      <x:c r="L243" s="2" t="str">
        <x:v>Completed</x:v>
      </x:c>
      <x:c r="M243" s="12" t="n">
        <x:f>H243*I243</x:f>
        <x:v>13000</x:v>
      </x:c>
      <x:c r="N243" s="12" t="n">
        <x:f>IF(L243="Completed",ROUND(M243*(1-K243),2),0)</x:f>
        <x:v>13000</x:v>
      </x:c>
      <x:c r="O243" s="12" t="n">
        <x:f>IF(L243="Completed",H243*J243,0)</x:f>
        <x:v>7000</x:v>
      </x:c>
      <x:c r="P243" s="12" t="n">
        <x:f>N243-O243</x:f>
        <x:v>6000</x:v>
      </x:c>
    </x:row>
    <x:row r="244" ht="21" customHeight="1">
      <x:c r="A244" s="7" t="n">
        <x:v>239</x:v>
      </x:c>
      <x:c r="B244" s="2" t="str">
        <x:v>TXN-00239</x:v>
      </x:c>
      <x:c r="C244" s="8" t="d">
        <x:v>2025-03-22T00:00:00.000Z</x:v>
      </x:c>
      <x:c r="D244" s="2" t="str">
        <x:v>Lagos</x:v>
      </x:c>
      <x:c r="E244" s="2" t="str">
        <x:v>Beauty</x:v>
      </x:c>
      <x:c r="F244" s="2" t="str">
        <x:v>Moisturizer</x:v>
      </x:c>
      <x:c r="G244" s="2" t="str">
        <x:v>Online</x:v>
      </x:c>
      <x:c r="H244" s="7" t="n">
        <x:v>1</x:v>
      </x:c>
      <x:c r="I244" s="9" t="n">
        <x:v>6500</x:v>
      </x:c>
      <x:c r="J244" s="9" t="n">
        <x:v>3500</x:v>
      </x:c>
      <x:c r="K244" s="10" t="n">
        <x:v>0.1</x:v>
      </x:c>
      <x:c r="L244" s="2" t="str">
        <x:v>Completed</x:v>
      </x:c>
      <x:c r="M244" s="12" t="n">
        <x:f>H244*I244</x:f>
        <x:v>6500</x:v>
      </x:c>
      <x:c r="N244" s="12" t="n">
        <x:f>IF(L244="Completed",ROUND(M244*(1-K244),2),0)</x:f>
        <x:v>5850</x:v>
      </x:c>
      <x:c r="O244" s="12" t="n">
        <x:f>IF(L244="Completed",H244*J244,0)</x:f>
        <x:v>3500</x:v>
      </x:c>
      <x:c r="P244" s="12" t="n">
        <x:f>N244-O244</x:f>
        <x:v>2350</x:v>
      </x:c>
    </x:row>
    <x:row r="245" ht="21" customHeight="1">
      <x:c r="A245" s="7" t="n">
        <x:v>240</x:v>
      </x:c>
      <x:c r="B245" s="2" t="str">
        <x:v>TXN-00240</x:v>
      </x:c>
      <x:c r="C245" s="8" t="d">
        <x:v>2025-03-09T00:00:00.000Z</x:v>
      </x:c>
      <x:c r="D245" s="2" t="str">
        <x:v>Lagos</x:v>
      </x:c>
      <x:c r="E245" s="2" t="str">
        <x:v>Electronics</x:v>
      </x:c>
      <x:c r="F245" s="2" t="str">
        <x:v>Power bank</x:v>
      </x:c>
      <x:c r="G245" s="2" t="str">
        <x:v>Online</x:v>
      </x:c>
      <x:c r="H245" s="7" t="n">
        <x:v>1</x:v>
      </x:c>
      <x:c r="I245" s="9" t="n">
        <x:v>15000</x:v>
      </x:c>
      <x:c r="J245" s="9" t="n">
        <x:v>9500</x:v>
      </x:c>
      <x:c r="K245" s="10" t="n">
        <x:v>0</x:v>
      </x:c>
      <x:c r="L245" s="2" t="str">
        <x:v>Completed</x:v>
      </x:c>
      <x:c r="M245" s="12" t="n">
        <x:f>H245*I245</x:f>
        <x:v>15000</x:v>
      </x:c>
      <x:c r="N245" s="12" t="n">
        <x:f>IF(L245="Completed",ROUND(M245*(1-K245),2),0)</x:f>
        <x:v>15000</x:v>
      </x:c>
      <x:c r="O245" s="12" t="n">
        <x:f>IF(L245="Completed",H245*J245,0)</x:f>
        <x:v>9500</x:v>
      </x:c>
      <x:c r="P245" s="12" t="n">
        <x:f>N245-O245</x:f>
        <x:v>5500</x:v>
      </x:c>
    </x:row>
    <x:row r="246" ht="21" customHeight="1">
      <x:c r="A246" s="7" t="n">
        <x:v>241</x:v>
      </x:c>
      <x:c r="B246" s="2" t="str">
        <x:v>TXN-00241</x:v>
      </x:c>
      <x:c r="C246" s="8" t="d">
        <x:v>2025-03-18T00:00:00.000Z</x:v>
      </x:c>
      <x:c r="D246" s="2" t="str">
        <x:v>Abuja</x:v>
      </x:c>
      <x:c r="E246" s="2" t="str">
        <x:v>Fashion</x:v>
      </x:c>
      <x:c r="F246" s="2" t="str">
        <x:v>T-shirt</x:v>
      </x:c>
      <x:c r="G246" s="2" t="str">
        <x:v>Online</x:v>
      </x:c>
      <x:c r="H246" s="7" t="n">
        <x:v>2</x:v>
      </x:c>
      <x:c r="I246" s="9" t="n">
        <x:v>9000</x:v>
      </x:c>
      <x:c r="J246" s="9" t="n">
        <x:v>5000</x:v>
      </x:c>
      <x:c r="K246" s="10" t="n">
        <x:v>0.05</x:v>
      </x:c>
      <x:c r="L246" s="2" t="str">
        <x:v>Completed</x:v>
      </x:c>
      <x:c r="M246" s="12" t="n">
        <x:f>H246*I246</x:f>
        <x:v>18000</x:v>
      </x:c>
      <x:c r="N246" s="12" t="n">
        <x:f>IF(L246="Completed",ROUND(M246*(1-K246),2),0)</x:f>
        <x:v>17100</x:v>
      </x:c>
      <x:c r="O246" s="12" t="n">
        <x:f>IF(L246="Completed",H246*J246,0)</x:f>
        <x:v>10000</x:v>
      </x:c>
      <x:c r="P246" s="12" t="n">
        <x:f>N246-O246</x:f>
        <x:v>7100</x:v>
      </x:c>
    </x:row>
    <x:row r="247" ht="21" customHeight="1">
      <x:c r="A247" s="7" t="n">
        <x:v>242</x:v>
      </x:c>
      <x:c r="B247" s="2" t="str">
        <x:v>TXN-00242</x:v>
      </x:c>
      <x:c r="C247" s="8" t="d">
        <x:v>2025-03-06T00:00:00.000Z</x:v>
      </x:c>
      <x:c r="D247" s="2" t="str">
        <x:v>Lagos</x:v>
      </x:c>
      <x:c r="E247" s="2" t="str">
        <x:v>Fashion</x:v>
      </x:c>
      <x:c r="F247" s="2" t="str">
        <x:v>Sneakers</x:v>
      </x:c>
      <x:c r="G247" s="2" t="str">
        <x:v>Online</x:v>
      </x:c>
      <x:c r="H247" s="7" t="n">
        <x:v>1</x:v>
      </x:c>
      <x:c r="I247" s="9" t="n">
        <x:v>28000</x:v>
      </x:c>
      <x:c r="J247" s="9" t="n">
        <x:v>17500</x:v>
      </x:c>
      <x:c r="K247" s="10" t="n">
        <x:v>0</x:v>
      </x:c>
      <x:c r="L247" s="2" t="str">
        <x:v>Completed</x:v>
      </x:c>
      <x:c r="M247" s="12" t="n">
        <x:f>H247*I247</x:f>
        <x:v>28000</x:v>
      </x:c>
      <x:c r="N247" s="12" t="n">
        <x:f>IF(L247="Completed",ROUND(M247*(1-K247),2),0)</x:f>
        <x:v>28000</x:v>
      </x:c>
      <x:c r="O247" s="12" t="n">
        <x:f>IF(L247="Completed",H247*J247,0)</x:f>
        <x:v>17500</x:v>
      </x:c>
      <x:c r="P247" s="12" t="n">
        <x:f>N247-O247</x:f>
        <x:v>10500</x:v>
      </x:c>
    </x:row>
    <x:row r="248" ht="21" customHeight="1">
      <x:c r="A248" s="7" t="n">
        <x:v>243</x:v>
      </x:c>
      <x:c r="B248" s="2" t="str">
        <x:v>TXN-00243</x:v>
      </x:c>
      <x:c r="C248" s="8" t="d">
        <x:v>2025-03-01T00:00:00.000Z</x:v>
      </x:c>
      <x:c r="D248" s="2" t="str">
        <x:v>Lagos</x:v>
      </x:c>
      <x:c r="E248" s="2" t="str">
        <x:v>Fashion</x:v>
      </x:c>
      <x:c r="F248" s="2" t="str">
        <x:v>Sneakers</x:v>
      </x:c>
      <x:c r="G248" s="2" t="str">
        <x:v>Online</x:v>
      </x:c>
      <x:c r="H248" s="7" t="n">
        <x:v>3</x:v>
      </x:c>
      <x:c r="I248" s="9" t="n">
        <x:v>28000</x:v>
      </x:c>
      <x:c r="J248" s="9" t="n">
        <x:v>17500</x:v>
      </x:c>
      <x:c r="K248" s="10" t="n">
        <x:v>0</x:v>
      </x:c>
      <x:c r="L248" s="2" t="str">
        <x:v>Returned</x:v>
      </x:c>
      <x:c r="M248" s="12" t="n">
        <x:f>H248*I248</x:f>
        <x:v>84000</x:v>
      </x:c>
      <x:c r="N248" s="12" t="n">
        <x:f>IF(L248="Completed",ROUND(M248*(1-K248),2),0)</x:f>
        <x:v>0</x:v>
      </x:c>
      <x:c r="O248" s="12" t="n">
        <x:f>IF(L248="Completed",H248*J248,0)</x:f>
        <x:v>0</x:v>
      </x:c>
      <x:c r="P248" s="12" t="n">
        <x:f>N248-O248</x:f>
        <x:v>0</x:v>
      </x:c>
    </x:row>
    <x:row r="249" ht="21" customHeight="1">
      <x:c r="A249" s="7" t="n">
        <x:v>244</x:v>
      </x:c>
      <x:c r="B249" s="2" t="str">
        <x:v>TXN-00244</x:v>
      </x:c>
      <x:c r="C249" s="8" t="d">
        <x:v>2025-03-10T00:00:00.000Z</x:v>
      </x:c>
      <x:c r="D249" s="2" t="str">
        <x:v>Kano</x:v>
      </x:c>
      <x:c r="E249" s="2" t="str">
        <x:v>Home</x:v>
      </x:c>
      <x:c r="F249" s="2" t="str">
        <x:v>Bedsheet</x:v>
      </x:c>
      <x:c r="G249" s="2" t="str">
        <x:v>Online</x:v>
      </x:c>
      <x:c r="H249" s="7" t="n">
        <x:v>1</x:v>
      </x:c>
      <x:c r="I249" s="9" t="n">
        <x:v>14000</x:v>
      </x:c>
      <x:c r="J249" s="9" t="n">
        <x:v>8500</x:v>
      </x:c>
      <x:c r="K249" s="10" t="n">
        <x:v>0.15</x:v>
      </x:c>
      <x:c r="L249" s="2" t="str">
        <x:v>Completed</x:v>
      </x:c>
      <x:c r="M249" s="12" t="n">
        <x:f>H249*I249</x:f>
        <x:v>14000</x:v>
      </x:c>
      <x:c r="N249" s="12" t="n">
        <x:f>IF(L249="Completed",ROUND(M249*(1-K249),2),0)</x:f>
        <x:v>11900</x:v>
      </x:c>
      <x:c r="O249" s="12" t="n">
        <x:f>IF(L249="Completed",H249*J249,0)</x:f>
        <x:v>8500</x:v>
      </x:c>
      <x:c r="P249" s="12" t="n">
        <x:f>N249-O249</x:f>
        <x:v>3400</x:v>
      </x:c>
    </x:row>
    <x:row r="250" ht="21" customHeight="1">
      <x:c r="A250" s="7" t="n">
        <x:v>245</x:v>
      </x:c>
      <x:c r="B250" s="2" t="str">
        <x:v>TXN-00245</x:v>
      </x:c>
      <x:c r="C250" s="8" t="d">
        <x:v>2025-03-10T00:00:00.000Z</x:v>
      </x:c>
      <x:c r="D250" s="2" t="str">
        <x:v>Port Harcourt</x:v>
      </x:c>
      <x:c r="E250" s="2" t="str">
        <x:v>Beauty</x:v>
      </x:c>
      <x:c r="F250" s="2" t="str">
        <x:v>Perfume</x:v>
      </x:c>
      <x:c r="G250" s="2" t="str">
        <x:v>In-store</x:v>
      </x:c>
      <x:c r="H250" s="7" t="n">
        <x:v>3</x:v>
      </x:c>
      <x:c r="I250" s="9" t="n">
        <x:v>17000</x:v>
      </x:c>
      <x:c r="J250" s="9" t="n">
        <x:v>9000</x:v>
      </x:c>
      <x:c r="K250" s="10" t="n">
        <x:v>0.15</x:v>
      </x:c>
      <x:c r="L250" s="2" t="str">
        <x:v>Completed</x:v>
      </x:c>
      <x:c r="M250" s="12" t="n">
        <x:f>H250*I250</x:f>
        <x:v>51000</x:v>
      </x:c>
      <x:c r="N250" s="12" t="n">
        <x:f>IF(L250="Completed",ROUND(M250*(1-K250),2),0)</x:f>
        <x:v>43350</x:v>
      </x:c>
      <x:c r="O250" s="12" t="n">
        <x:f>IF(L250="Completed",H250*J250,0)</x:f>
        <x:v>27000</x:v>
      </x:c>
      <x:c r="P250" s="12" t="n">
        <x:f>N250-O250</x:f>
        <x:v>16350</x:v>
      </x:c>
    </x:row>
    <x:row r="251" ht="21" customHeight="1">
      <x:c r="A251" s="7" t="n">
        <x:v>246</x:v>
      </x:c>
      <x:c r="B251" s="2" t="str">
        <x:v>TXN-00246</x:v>
      </x:c>
      <x:c r="C251" s="8" t="d">
        <x:v>2025-03-21T00:00:00.000Z</x:v>
      </x:c>
      <x:c r="D251" s="2" t="str">
        <x:v>Lagos</x:v>
      </x:c>
      <x:c r="E251" s="2" t="str">
        <x:v>Home</x:v>
      </x:c>
      <x:c r="F251" s="2" t="str">
        <x:v>Bedsheet</x:v>
      </x:c>
      <x:c r="G251" s="2" t="str">
        <x:v>In-store</x:v>
      </x:c>
      <x:c r="H251" s="7" t="n">
        <x:v>1</x:v>
      </x:c>
      <x:c r="I251" s="9" t="n">
        <x:v>14000</x:v>
      </x:c>
      <x:c r="J251" s="9" t="n">
        <x:v>8500</x:v>
      </x:c>
      <x:c r="K251" s="10" t="n">
        <x:v>0</x:v>
      </x:c>
      <x:c r="L251" s="2" t="str">
        <x:v>Completed</x:v>
      </x:c>
      <x:c r="M251" s="12" t="n">
        <x:f>H251*I251</x:f>
        <x:v>14000</x:v>
      </x:c>
      <x:c r="N251" s="12" t="n">
        <x:f>IF(L251="Completed",ROUND(M251*(1-K251),2),0)</x:f>
        <x:v>14000</x:v>
      </x:c>
      <x:c r="O251" s="12" t="n">
        <x:f>IF(L251="Completed",H251*J251,0)</x:f>
        <x:v>8500</x:v>
      </x:c>
      <x:c r="P251" s="12" t="n">
        <x:f>N251-O251</x:f>
        <x:v>5500</x:v>
      </x:c>
    </x:row>
    <x:row r="252" ht="21" customHeight="1">
      <x:c r="A252" s="7" t="n">
        <x:v>247</x:v>
      </x:c>
      <x:c r="B252" s="2" t="str">
        <x:v>TXN-00247</x:v>
      </x:c>
      <x:c r="C252" s="8" t="d">
        <x:v>2025-03-13T00:00:00.000Z</x:v>
      </x:c>
      <x:c r="D252" s="2" t="str">
        <x:v>Unknown</x:v>
      </x:c>
      <x:c r="E252" s="2" t="str">
        <x:v>Electronics</x:v>
      </x:c>
      <x:c r="F252" s="2" t="str">
        <x:v>Power bank</x:v>
      </x:c>
      <x:c r="G252" s="2" t="str">
        <x:v>In-store</x:v>
      </x:c>
      <x:c r="H252" s="7" t="n">
        <x:v>1</x:v>
      </x:c>
      <x:c r="I252" s="9" t="n">
        <x:v>15000</x:v>
      </x:c>
      <x:c r="J252" s="9" t="n">
        <x:v>9500</x:v>
      </x:c>
      <x:c r="K252" s="10" t="n">
        <x:v>0</x:v>
      </x:c>
      <x:c r="L252" s="2" t="str">
        <x:v>Returned</x:v>
      </x:c>
      <x:c r="M252" s="12" t="n">
        <x:f>H252*I252</x:f>
        <x:v>15000</x:v>
      </x:c>
      <x:c r="N252" s="12" t="n">
        <x:f>IF(L252="Completed",ROUND(M252*(1-K252),2),0)</x:f>
        <x:v>0</x:v>
      </x:c>
      <x:c r="O252" s="12" t="n">
        <x:f>IF(L252="Completed",H252*J252,0)</x:f>
        <x:v>0</x:v>
      </x:c>
      <x:c r="P252" s="12" t="n">
        <x:f>N252-O252</x:f>
        <x:v>0</x:v>
      </x:c>
    </x:row>
    <x:row r="253" ht="21" customHeight="1">
      <x:c r="A253" s="7" t="n">
        <x:v>248</x:v>
      </x:c>
      <x:c r="B253" s="2" t="str">
        <x:v>TXN-00248</x:v>
      </x:c>
      <x:c r="C253" s="8" t="d">
        <x:v>2025-03-31T00:00:00.000Z</x:v>
      </x:c>
      <x:c r="D253" s="2" t="str">
        <x:v>Lagos</x:v>
      </x:c>
      <x:c r="E253" s="2" t="str">
        <x:v>Fashion</x:v>
      </x:c>
      <x:c r="F253" s="2" t="str">
        <x:v>Sneakers</x:v>
      </x:c>
      <x:c r="G253" s="2" t="str">
        <x:v>Online</x:v>
      </x:c>
      <x:c r="H253" s="7" t="n">
        <x:v>1</x:v>
      </x:c>
      <x:c r="I253" s="9" t="n">
        <x:v>28000</x:v>
      </x:c>
      <x:c r="J253" s="9" t="n">
        <x:v>17500</x:v>
      </x:c>
      <x:c r="K253" s="10" t="n">
        <x:v>0.15</x:v>
      </x:c>
      <x:c r="L253" s="2" t="str">
        <x:v>Completed</x:v>
      </x:c>
      <x:c r="M253" s="12" t="n">
        <x:f>H253*I253</x:f>
        <x:v>28000</x:v>
      </x:c>
      <x:c r="N253" s="12" t="n">
        <x:f>IF(L253="Completed",ROUND(M253*(1-K253),2),0)</x:f>
        <x:v>23800</x:v>
      </x:c>
      <x:c r="O253" s="12" t="n">
        <x:f>IF(L253="Completed",H253*J253,0)</x:f>
        <x:v>17500</x:v>
      </x:c>
      <x:c r="P253" s="12" t="n">
        <x:f>N253-O253</x:f>
        <x:v>6300</x:v>
      </x:c>
    </x:row>
    <x:row r="254" ht="21" customHeight="1">
      <x:c r="A254" s="7" t="n">
        <x:v>249</x:v>
      </x:c>
      <x:c r="B254" s="2" t="str">
        <x:v>TXN-00249</x:v>
      </x:c>
      <x:c r="C254" s="8" t="d">
        <x:v>2025-03-23T00:00:00.000Z</x:v>
      </x:c>
      <x:c r="D254" s="2" t="str">
        <x:v>Kano</x:v>
      </x:c>
      <x:c r="E254" s="2" t="str">
        <x:v>Electronics</x:v>
      </x:c>
      <x:c r="F254" s="2" t="str">
        <x:v>Bluetooth speaker</x:v>
      </x:c>
      <x:c r="G254" s="2" t="str">
        <x:v>Online</x:v>
      </x:c>
      <x:c r="H254" s="7" t="n">
        <x:v>1</x:v>
      </x:c>
      <x:c r="I254" s="9" t="n">
        <x:v>26000</x:v>
      </x:c>
      <x:c r="J254" s="9" t="n">
        <x:v>17000</x:v>
      </x:c>
      <x:c r="K254" s="10" t="n">
        <x:v>0</x:v>
      </x:c>
      <x:c r="L254" s="2" t="str">
        <x:v>Returned</x:v>
      </x:c>
      <x:c r="M254" s="12" t="n">
        <x:f>H254*I254</x:f>
        <x:v>26000</x:v>
      </x:c>
      <x:c r="N254" s="12" t="n">
        <x:f>IF(L254="Completed",ROUND(M254*(1-K254),2),0)</x:f>
        <x:v>0</x:v>
      </x:c>
      <x:c r="O254" s="12" t="n">
        <x:f>IF(L254="Completed",H254*J254,0)</x:f>
        <x:v>0</x:v>
      </x:c>
      <x:c r="P254" s="12" t="n">
        <x:f>N254-O254</x:f>
        <x:v>0</x:v>
      </x:c>
    </x:row>
    <x:row r="255" ht="21" customHeight="1">
      <x:c r="A255" s="7" t="n">
        <x:v>250</x:v>
      </x:c>
      <x:c r="B255" s="2" t="str">
        <x:v>TXN-00250</x:v>
      </x:c>
      <x:c r="C255" s="8" t="d">
        <x:v>2025-03-30T00:00:00.000Z</x:v>
      </x:c>
      <x:c r="D255" s="2" t="str">
        <x:v>Abuja</x:v>
      </x:c>
      <x:c r="E255" s="2" t="str">
        <x:v>Electronics</x:v>
      </x:c>
      <x:c r="F255" s="2" t="str">
        <x:v>Headphones</x:v>
      </x:c>
      <x:c r="G255" s="2" t="str">
        <x:v>Online</x:v>
      </x:c>
      <x:c r="H255" s="7" t="n">
        <x:v>1</x:v>
      </x:c>
      <x:c r="I255" s="9" t="n">
        <x:v>18000</x:v>
      </x:c>
      <x:c r="J255" s="9" t="n">
        <x:v>10500</x:v>
      </x:c>
      <x:c r="K255" s="10" t="n">
        <x:v>0</x:v>
      </x:c>
      <x:c r="L255" s="2" t="str">
        <x:v>Completed</x:v>
      </x:c>
      <x:c r="M255" s="12" t="n">
        <x:f>H255*I255</x:f>
        <x:v>18000</x:v>
      </x:c>
      <x:c r="N255" s="12" t="n">
        <x:f>IF(L255="Completed",ROUND(M255*(1-K255),2),0)</x:f>
        <x:v>18000</x:v>
      </x:c>
      <x:c r="O255" s="12" t="n">
        <x:f>IF(L255="Completed",H255*J255,0)</x:f>
        <x:v>10500</x:v>
      </x:c>
      <x:c r="P255" s="12" t="n">
        <x:f>N255-O255</x:f>
        <x:v>7500</x:v>
      </x:c>
    </x:row>
    <x:row r="256" ht="21" customHeight="1">
      <x:c r="A256" s="7" t="n">
        <x:v>251</x:v>
      </x:c>
      <x:c r="B256" s="2" t="str">
        <x:v>TXN-00251</x:v>
      </x:c>
      <x:c r="C256" s="8" t="d">
        <x:v>2025-03-27T00:00:00.000Z</x:v>
      </x:c>
      <x:c r="D256" s="2" t="str">
        <x:v>Kano</x:v>
      </x:c>
      <x:c r="E256" s="2" t="str">
        <x:v>Beauty</x:v>
      </x:c>
      <x:c r="F256" s="2" t="str">
        <x:v>Moisturizer</x:v>
      </x:c>
      <x:c r="G256" s="2" t="str">
        <x:v>Online</x:v>
      </x:c>
      <x:c r="H256" s="7" t="n">
        <x:v>1</x:v>
      </x:c>
      <x:c r="I256" s="9" t="n">
        <x:v>6500</x:v>
      </x:c>
      <x:c r="J256" s="9" t="n">
        <x:v>3500</x:v>
      </x:c>
      <x:c r="K256" s="10" t="n">
        <x:v>0.1</x:v>
      </x:c>
      <x:c r="L256" s="2" t="str">
        <x:v>Completed</x:v>
      </x:c>
      <x:c r="M256" s="12" t="n">
        <x:f>H256*I256</x:f>
        <x:v>6500</x:v>
      </x:c>
      <x:c r="N256" s="12" t="n">
        <x:f>IF(L256="Completed",ROUND(M256*(1-K256),2),0)</x:f>
        <x:v>5850</x:v>
      </x:c>
      <x:c r="O256" s="12" t="n">
        <x:f>IF(L256="Completed",H256*J256,0)</x:f>
        <x:v>3500</x:v>
      </x:c>
      <x:c r="P256" s="12" t="n">
        <x:f>N256-O256</x:f>
        <x:v>2350</x:v>
      </x:c>
    </x:row>
    <x:row r="257" ht="21" customHeight="1">
      <x:c r="A257" s="7" t="n">
        <x:v>252</x:v>
      </x:c>
      <x:c r="B257" s="2" t="str">
        <x:v>TXN-00252</x:v>
      </x:c>
      <x:c r="C257" s="8" t="d">
        <x:v>2025-03-07T00:00:00.000Z</x:v>
      </x:c>
      <x:c r="D257" s="2" t="str">
        <x:v>Kano</x:v>
      </x:c>
      <x:c r="E257" s="2" t="str">
        <x:v>Home</x:v>
      </x:c>
      <x:c r="F257" s="2" t="str">
        <x:v>Cookware set</x:v>
      </x:c>
      <x:c r="G257" s="2" t="str">
        <x:v>In-store</x:v>
      </x:c>
      <x:c r="H257" s="7" t="n">
        <x:v>3</x:v>
      </x:c>
      <x:c r="I257" s="9" t="n">
        <x:v>35000</x:v>
      </x:c>
      <x:c r="J257" s="9" t="n">
        <x:v>22500</x:v>
      </x:c>
      <x:c r="K257" s="10" t="n">
        <x:v>0.15</x:v>
      </x:c>
      <x:c r="L257" s="2" t="str">
        <x:v>Completed</x:v>
      </x:c>
      <x:c r="M257" s="12" t="n">
        <x:f>H257*I257</x:f>
        <x:v>105000</x:v>
      </x:c>
      <x:c r="N257" s="12" t="n">
        <x:f>IF(L257="Completed",ROUND(M257*(1-K257),2),0)</x:f>
        <x:v>89250</x:v>
      </x:c>
      <x:c r="O257" s="12" t="n">
        <x:f>IF(L257="Completed",H257*J257,0)</x:f>
        <x:v>67500</x:v>
      </x:c>
      <x:c r="P257" s="12" t="n">
        <x:f>N257-O257</x:f>
        <x:v>21750</x:v>
      </x:c>
    </x:row>
    <x:row r="258" ht="21" customHeight="1">
      <x:c r="A258" s="7" t="n">
        <x:v>253</x:v>
      </x:c>
      <x:c r="B258" s="2" t="str">
        <x:v>TXN-00253</x:v>
      </x:c>
      <x:c r="C258" s="8" t="d">
        <x:v>2025-03-22T00:00:00.000Z</x:v>
      </x:c>
      <x:c r="D258" s="2" t="str">
        <x:v>Port Harcourt</x:v>
      </x:c>
      <x:c r="E258" s="2" t="str">
        <x:v>Electronics</x:v>
      </x:c>
      <x:c r="F258" s="2" t="str">
        <x:v>Bluetooth speaker</x:v>
      </x:c>
      <x:c r="G258" s="2" t="str">
        <x:v>In-store</x:v>
      </x:c>
      <x:c r="H258" s="7" t="n">
        <x:v>1</x:v>
      </x:c>
      <x:c r="I258" s="9" t="n">
        <x:v>26000</x:v>
      </x:c>
      <x:c r="J258" s="9" t="n">
        <x:v>17000</x:v>
      </x:c>
      <x:c r="K258" s="10" t="n">
        <x:v>0</x:v>
      </x:c>
      <x:c r="L258" s="2" t="str">
        <x:v>Completed</x:v>
      </x:c>
      <x:c r="M258" s="12" t="n">
        <x:f>H258*I258</x:f>
        <x:v>26000</x:v>
      </x:c>
      <x:c r="N258" s="12" t="n">
        <x:f>IF(L258="Completed",ROUND(M258*(1-K258),2),0)</x:f>
        <x:v>26000</x:v>
      </x:c>
      <x:c r="O258" s="12" t="n">
        <x:f>IF(L258="Completed",H258*J258,0)</x:f>
        <x:v>17000</x:v>
      </x:c>
      <x:c r="P258" s="12" t="n">
        <x:f>N258-O258</x:f>
        <x:v>9000</x:v>
      </x:c>
    </x:row>
    <x:row r="259" ht="21" customHeight="1">
      <x:c r="A259" s="7" t="n">
        <x:v>254</x:v>
      </x:c>
      <x:c r="B259" s="2" t="str">
        <x:v>TXN-00254</x:v>
      </x:c>
      <x:c r="C259" s="8" t="d">
        <x:v>2025-03-05T00:00:00.000Z</x:v>
      </x:c>
      <x:c r="D259" s="2" t="str">
        <x:v>Lagos</x:v>
      </x:c>
      <x:c r="E259" s="2" t="str">
        <x:v>Fashion</x:v>
      </x:c>
      <x:c r="F259" s="2" t="str">
        <x:v>Sneakers</x:v>
      </x:c>
      <x:c r="G259" s="2" t="str">
        <x:v>Online</x:v>
      </x:c>
      <x:c r="H259" s="7" t="n">
        <x:v>2</x:v>
      </x:c>
      <x:c r="I259" s="9" t="n">
        <x:v>28000</x:v>
      </x:c>
      <x:c r="J259" s="9" t="n">
        <x:v>17500</x:v>
      </x:c>
      <x:c r="K259" s="10" t="n">
        <x:v>0.05</x:v>
      </x:c>
      <x:c r="L259" s="2" t="str">
        <x:v>Completed</x:v>
      </x:c>
      <x:c r="M259" s="12" t="n">
        <x:f>H259*I259</x:f>
        <x:v>56000</x:v>
      </x:c>
      <x:c r="N259" s="12" t="n">
        <x:f>IF(L259="Completed",ROUND(M259*(1-K259),2),0)</x:f>
        <x:v>53200</x:v>
      </x:c>
      <x:c r="O259" s="12" t="n">
        <x:f>IF(L259="Completed",H259*J259,0)</x:f>
        <x:v>35000</x:v>
      </x:c>
      <x:c r="P259" s="12" t="n">
        <x:f>N259-O259</x:f>
        <x:v>18200</x:v>
      </x:c>
    </x:row>
    <x:row r="260" ht="21" customHeight="1">
      <x:c r="A260" s="7" t="n">
        <x:v>255</x:v>
      </x:c>
      <x:c r="B260" s="2" t="str">
        <x:v>TXN-00255</x:v>
      </x:c>
      <x:c r="C260" s="8" t="d">
        <x:v>2025-03-01T00:00:00.000Z</x:v>
      </x:c>
      <x:c r="D260" s="2" t="str">
        <x:v>Lagos</x:v>
      </x:c>
      <x:c r="E260" s="2" t="str">
        <x:v>Home</x:v>
      </x:c>
      <x:c r="F260" s="2" t="str">
        <x:v>Cookware set</x:v>
      </x:c>
      <x:c r="G260" s="2" t="str">
        <x:v>In-store</x:v>
      </x:c>
      <x:c r="H260" s="7" t="n">
        <x:v>1</x:v>
      </x:c>
      <x:c r="I260" s="9" t="n">
        <x:v>35000</x:v>
      </x:c>
      <x:c r="J260" s="9" t="n">
        <x:v>22500</x:v>
      </x:c>
      <x:c r="K260" s="10" t="n">
        <x:v>0</x:v>
      </x:c>
      <x:c r="L260" s="2" t="str">
        <x:v>Completed</x:v>
      </x:c>
      <x:c r="M260" s="12" t="n">
        <x:f>H260*I260</x:f>
        <x:v>35000</x:v>
      </x:c>
      <x:c r="N260" s="12" t="n">
        <x:f>IF(L260="Completed",ROUND(M260*(1-K260),2),0)</x:f>
        <x:v>35000</x:v>
      </x:c>
      <x:c r="O260" s="12" t="n">
        <x:f>IF(L260="Completed",H260*J260,0)</x:f>
        <x:v>22500</x:v>
      </x:c>
      <x:c r="P260" s="12" t="n">
        <x:f>N260-O260</x:f>
        <x:v>12500</x:v>
      </x:c>
    </x:row>
    <x:row r="261" ht="21" customHeight="1">
      <x:c r="A261" s="7" t="n">
        <x:v>256</x:v>
      </x:c>
      <x:c r="B261" s="2" t="str">
        <x:v>TXN-00256</x:v>
      </x:c>
      <x:c r="C261" s="8" t="d">
        <x:v>2025-03-23T00:00:00.000Z</x:v>
      </x:c>
      <x:c r="D261" s="2" t="str">
        <x:v>Lagos</x:v>
      </x:c>
      <x:c r="E261" s="2" t="str">
        <x:v>Electronics</x:v>
      </x:c>
      <x:c r="F261" s="2" t="str">
        <x:v>Headphones</x:v>
      </x:c>
      <x:c r="G261" s="2" t="str">
        <x:v>Online</x:v>
      </x:c>
      <x:c r="H261" s="7" t="n">
        <x:v>2</x:v>
      </x:c>
      <x:c r="I261" s="9" t="n">
        <x:v>18000</x:v>
      </x:c>
      <x:c r="J261" s="9" t="n">
        <x:v>10500</x:v>
      </x:c>
      <x:c r="K261" s="10" t="n">
        <x:v>0.05</x:v>
      </x:c>
      <x:c r="L261" s="2" t="str">
        <x:v>Returned</x:v>
      </x:c>
      <x:c r="M261" s="12" t="n">
        <x:f>H261*I261</x:f>
        <x:v>36000</x:v>
      </x:c>
      <x:c r="N261" s="12" t="n">
        <x:f>IF(L261="Completed",ROUND(M261*(1-K261),2),0)</x:f>
        <x:v>0</x:v>
      </x:c>
      <x:c r="O261" s="12" t="n">
        <x:f>IF(L261="Completed",H261*J261,0)</x:f>
        <x:v>0</x:v>
      </x:c>
      <x:c r="P261" s="12" t="n">
        <x:f>N261-O261</x:f>
        <x:v>0</x:v>
      </x:c>
    </x:row>
    <x:row r="262" ht="21" customHeight="1">
      <x:c r="A262" s="7" t="n">
        <x:v>257</x:v>
      </x:c>
      <x:c r="B262" s="2" t="str">
        <x:v>TXN-00257</x:v>
      </x:c>
      <x:c r="C262" s="8" t="d">
        <x:v>2025-03-18T00:00:00.000Z</x:v>
      </x:c>
      <x:c r="D262" s="2" t="str">
        <x:v>Abuja</x:v>
      </x:c>
      <x:c r="E262" s="2" t="str">
        <x:v>Beauty</x:v>
      </x:c>
      <x:c r="F262" s="2" t="str">
        <x:v>Perfume</x:v>
      </x:c>
      <x:c r="G262" s="2" t="str">
        <x:v>Online</x:v>
      </x:c>
      <x:c r="H262" s="7" t="n">
        <x:v>1</x:v>
      </x:c>
      <x:c r="I262" s="9" t="n">
        <x:v>17000</x:v>
      </x:c>
      <x:c r="J262" s="9" t="n">
        <x:v>9000</x:v>
      </x:c>
      <x:c r="K262" s="10" t="n">
        <x:v>0</x:v>
      </x:c>
      <x:c r="L262" s="2" t="str">
        <x:v>Completed</x:v>
      </x:c>
      <x:c r="M262" s="12" t="n">
        <x:f>H262*I262</x:f>
        <x:v>17000</x:v>
      </x:c>
      <x:c r="N262" s="12" t="n">
        <x:f>IF(L262="Completed",ROUND(M262*(1-K262),2),0)</x:f>
        <x:v>17000</x:v>
      </x:c>
      <x:c r="O262" s="12" t="n">
        <x:f>IF(L262="Completed",H262*J262,0)</x:f>
        <x:v>9000</x:v>
      </x:c>
      <x:c r="P262" s="12" t="n">
        <x:f>N262-O262</x:f>
        <x:v>8000</x:v>
      </x:c>
    </x:row>
    <x:row r="263" ht="21" customHeight="1">
      <x:c r="A263" s="7" t="n">
        <x:v>258</x:v>
      </x:c>
      <x:c r="B263" s="2" t="str">
        <x:v>TXN-00258</x:v>
      </x:c>
      <x:c r="C263" s="8" t="d">
        <x:v>2025-03-10T00:00:00.000Z</x:v>
      </x:c>
      <x:c r="D263" s="2" t="str">
        <x:v>Lagos</x:v>
      </x:c>
      <x:c r="E263" s="2" t="str">
        <x:v>Home</x:v>
      </x:c>
      <x:c r="F263" s="2" t="str">
        <x:v>Cookware set</x:v>
      </x:c>
      <x:c r="G263" s="2" t="str">
        <x:v>Online</x:v>
      </x:c>
      <x:c r="H263" s="7" t="n">
        <x:v>1</x:v>
      </x:c>
      <x:c r="I263" s="9" t="n">
        <x:v>35000</x:v>
      </x:c>
      <x:c r="J263" s="9" t="n">
        <x:v>22500</x:v>
      </x:c>
      <x:c r="K263" s="10" t="n">
        <x:v>0.15</x:v>
      </x:c>
      <x:c r="L263" s="2" t="str">
        <x:v>Completed</x:v>
      </x:c>
      <x:c r="M263" s="12" t="n">
        <x:f>H263*I263</x:f>
        <x:v>35000</x:v>
      </x:c>
      <x:c r="N263" s="12" t="n">
        <x:f>IF(L263="Completed",ROUND(M263*(1-K263),2),0)</x:f>
        <x:v>29750</x:v>
      </x:c>
      <x:c r="O263" s="12" t="n">
        <x:f>IF(L263="Completed",H263*J263,0)</x:f>
        <x:v>22500</x:v>
      </x:c>
      <x:c r="P263" s="12" t="n">
        <x:f>N263-O263</x:f>
        <x:v>7250</x:v>
      </x:c>
    </x:row>
    <x:row r="264" ht="21" customHeight="1">
      <x:c r="A264" s="7" t="n">
        <x:v>259</x:v>
      </x:c>
      <x:c r="B264" s="2" t="str">
        <x:v>TXN-00259</x:v>
      </x:c>
      <x:c r="C264" s="8" t="d">
        <x:v>2025-03-27T00:00:00.000Z</x:v>
      </x:c>
      <x:c r="D264" s="2" t="str">
        <x:v>Lagos</x:v>
      </x:c>
      <x:c r="E264" s="2" t="str">
        <x:v>Electronics</x:v>
      </x:c>
      <x:c r="F264" s="2" t="str">
        <x:v>Bluetooth speaker</x:v>
      </x:c>
      <x:c r="G264" s="2" t="str">
        <x:v>In-store</x:v>
      </x:c>
      <x:c r="H264" s="7" t="n">
        <x:v>2</x:v>
      </x:c>
      <x:c r="I264" s="9" t="n">
        <x:v>26000</x:v>
      </x:c>
      <x:c r="J264" s="9" t="n">
        <x:v>17000</x:v>
      </x:c>
      <x:c r="K264" s="10" t="n">
        <x:v>0</x:v>
      </x:c>
      <x:c r="L264" s="2" t="str">
        <x:v>Completed</x:v>
      </x:c>
      <x:c r="M264" s="12" t="n">
        <x:f>H264*I264</x:f>
        <x:v>52000</x:v>
      </x:c>
      <x:c r="N264" s="12" t="n">
        <x:f>IF(L264="Completed",ROUND(M264*(1-K264),2),0)</x:f>
        <x:v>52000</x:v>
      </x:c>
      <x:c r="O264" s="12" t="n">
        <x:f>IF(L264="Completed",H264*J264,0)</x:f>
        <x:v>34000</x:v>
      </x:c>
      <x:c r="P264" s="12" t="n">
        <x:f>N264-O264</x:f>
        <x:v>18000</x:v>
      </x:c>
    </x:row>
    <x:row r="265" ht="21" customHeight="1">
      <x:c r="A265" s="7" t="n">
        <x:v>260</x:v>
      </x:c>
      <x:c r="B265" s="2" t="str">
        <x:v>TXN-00260</x:v>
      </x:c>
      <x:c r="C265" s="8" t="d">
        <x:v>2025-03-31T00:00:00.000Z</x:v>
      </x:c>
      <x:c r="D265" s="2" t="str">
        <x:v>Unknown</x:v>
      </x:c>
      <x:c r="E265" s="2" t="str">
        <x:v>Electronics</x:v>
      </x:c>
      <x:c r="F265" s="2" t="str">
        <x:v>Headphones</x:v>
      </x:c>
      <x:c r="G265" s="2" t="str">
        <x:v>Online</x:v>
      </x:c>
      <x:c r="H265" s="7" t="n">
        <x:v>3</x:v>
      </x:c>
      <x:c r="I265" s="9" t="n">
        <x:v>18000</x:v>
      </x:c>
      <x:c r="J265" s="9" t="n">
        <x:v>10500</x:v>
      </x:c>
      <x:c r="K265" s="10" t="n">
        <x:v>0</x:v>
      </x:c>
      <x:c r="L265" s="2" t="str">
        <x:v>Completed</x:v>
      </x:c>
      <x:c r="M265" s="12" t="n">
        <x:f>H265*I265</x:f>
        <x:v>54000</x:v>
      </x:c>
      <x:c r="N265" s="12" t="n">
        <x:f>IF(L265="Completed",ROUND(M265*(1-K265),2),0)</x:f>
        <x:v>54000</x:v>
      </x:c>
      <x:c r="O265" s="12" t="n">
        <x:f>IF(L265="Completed",H265*J265,0)</x:f>
        <x:v>31500</x:v>
      </x:c>
      <x:c r="P265" s="12" t="n">
        <x:f>N265-O265</x:f>
        <x:v>22500</x:v>
      </x:c>
    </x:row>
    <x:row r="266" ht="21" customHeight="1">
      <x:c r="A266" s="7" t="n">
        <x:v>261</x:v>
      </x:c>
      <x:c r="B266" s="2" t="str">
        <x:v>TXN-00261</x:v>
      </x:c>
      <x:c r="C266" s="8" t="d">
        <x:v>2025-03-25T00:00:00.000Z</x:v>
      </x:c>
      <x:c r="D266" s="2" t="str">
        <x:v>Kano</x:v>
      </x:c>
      <x:c r="E266" s="2" t="str">
        <x:v>Electronics</x:v>
      </x:c>
      <x:c r="F266" s="2" t="str">
        <x:v>Bluetooth speaker</x:v>
      </x:c>
      <x:c r="G266" s="2" t="str">
        <x:v>Online</x:v>
      </x:c>
      <x:c r="H266" s="7" t="n">
        <x:v>1</x:v>
      </x:c>
      <x:c r="I266" s="9" t="n">
        <x:v>26000</x:v>
      </x:c>
      <x:c r="J266" s="9" t="n">
        <x:v>17000</x:v>
      </x:c>
      <x:c r="K266" s="10" t="n">
        <x:v>0.05</x:v>
      </x:c>
      <x:c r="L266" s="2" t="str">
        <x:v>Completed</x:v>
      </x:c>
      <x:c r="M266" s="12" t="n">
        <x:f>H266*I266</x:f>
        <x:v>26000</x:v>
      </x:c>
      <x:c r="N266" s="12" t="n">
        <x:f>IF(L266="Completed",ROUND(M266*(1-K266),2),0)</x:f>
        <x:v>24700</x:v>
      </x:c>
      <x:c r="O266" s="12" t="n">
        <x:f>IF(L266="Completed",H266*J266,0)</x:f>
        <x:v>17000</x:v>
      </x:c>
      <x:c r="P266" s="12" t="n">
        <x:f>N266-O266</x:f>
        <x:v>7700</x:v>
      </x:c>
    </x:row>
    <x:row r="267" ht="21" customHeight="1">
      <x:c r="A267" s="7" t="n">
        <x:v>262</x:v>
      </x:c>
      <x:c r="B267" s="2" t="str">
        <x:v>TXN-00262</x:v>
      </x:c>
      <x:c r="C267" s="8" t="d">
        <x:v>2025-03-19T00:00:00.000Z</x:v>
      </x:c>
      <x:c r="D267" s="2" t="str">
        <x:v>Lagos</x:v>
      </x:c>
      <x:c r="E267" s="2" t="str">
        <x:v>Beauty</x:v>
      </x:c>
      <x:c r="F267" s="2" t="str">
        <x:v>Perfume</x:v>
      </x:c>
      <x:c r="G267" s="2" t="str">
        <x:v>Online</x:v>
      </x:c>
      <x:c r="H267" s="7" t="n">
        <x:v>1</x:v>
      </x:c>
      <x:c r="I267" s="9" t="n">
        <x:v>17000</x:v>
      </x:c>
      <x:c r="J267" s="9" t="n">
        <x:v>9000</x:v>
      </x:c>
      <x:c r="K267" s="10" t="n">
        <x:v>0.05</x:v>
      </x:c>
      <x:c r="L267" s="2" t="str">
        <x:v>Completed</x:v>
      </x:c>
      <x:c r="M267" s="12" t="n">
        <x:f>H267*I267</x:f>
        <x:v>17000</x:v>
      </x:c>
      <x:c r="N267" s="12" t="n">
        <x:f>IF(L267="Completed",ROUND(M267*(1-K267),2),0)</x:f>
        <x:v>16150</x:v>
      </x:c>
      <x:c r="O267" s="12" t="n">
        <x:f>IF(L267="Completed",H267*J267,0)</x:f>
        <x:v>9000</x:v>
      </x:c>
      <x:c r="P267" s="12" t="n">
        <x:f>N267-O267</x:f>
        <x:v>7150</x:v>
      </x:c>
    </x:row>
    <x:row r="268" ht="21" customHeight="1">
      <x:c r="A268" s="7" t="n">
        <x:v>263</x:v>
      </x:c>
      <x:c r="B268" s="2" t="str">
        <x:v>TXN-00263</x:v>
      </x:c>
      <x:c r="C268" s="8" t="d">
        <x:v>2025-03-31T00:00:00.000Z</x:v>
      </x:c>
      <x:c r="D268" s="2" t="str">
        <x:v>Lagos</x:v>
      </x:c>
      <x:c r="E268" s="2" t="str">
        <x:v>Electronics</x:v>
      </x:c>
      <x:c r="F268" s="2" t="str">
        <x:v>Power bank</x:v>
      </x:c>
      <x:c r="G268" s="2" t="str">
        <x:v>In-store</x:v>
      </x:c>
      <x:c r="H268" s="7" t="n">
        <x:v>1</x:v>
      </x:c>
      <x:c r="I268" s="9" t="n">
        <x:v>15000</x:v>
      </x:c>
      <x:c r="J268" s="9" t="n">
        <x:v>9500</x:v>
      </x:c>
      <x:c r="K268" s="10" t="n">
        <x:v>0</x:v>
      </x:c>
      <x:c r="L268" s="2" t="str">
        <x:v>Completed</x:v>
      </x:c>
      <x:c r="M268" s="12" t="n">
        <x:f>H268*I268</x:f>
        <x:v>15000</x:v>
      </x:c>
      <x:c r="N268" s="12" t="n">
        <x:f>IF(L268="Completed",ROUND(M268*(1-K268),2),0)</x:f>
        <x:v>15000</x:v>
      </x:c>
      <x:c r="O268" s="12" t="n">
        <x:f>IF(L268="Completed",H268*J268,0)</x:f>
        <x:v>9500</x:v>
      </x:c>
      <x:c r="P268" s="12" t="n">
        <x:f>N268-O268</x:f>
        <x:v>5500</x:v>
      </x:c>
    </x:row>
    <x:row r="269" ht="21" customHeight="1">
      <x:c r="A269" s="7" t="n">
        <x:v>264</x:v>
      </x:c>
      <x:c r="B269" s="2" t="str">
        <x:v>TXN-00264</x:v>
      </x:c>
      <x:c r="C269" s="8" t="d">
        <x:v>2025-03-30T00:00:00.000Z</x:v>
      </x:c>
      <x:c r="D269" s="2" t="str">
        <x:v>Port Harcourt</x:v>
      </x:c>
      <x:c r="E269" s="2" t="str">
        <x:v>Beauty</x:v>
      </x:c>
      <x:c r="F269" s="2" t="str">
        <x:v>Body wash</x:v>
      </x:c>
      <x:c r="G269" s="2" t="str">
        <x:v>Online</x:v>
      </x:c>
      <x:c r="H269" s="7" t="n">
        <x:v>1</x:v>
      </x:c>
      <x:c r="I269" s="9" t="n">
        <x:v>4500</x:v>
      </x:c>
      <x:c r="J269" s="9" t="n">
        <x:v>2300</x:v>
      </x:c>
      <x:c r="K269" s="10" t="n">
        <x:v>0</x:v>
      </x:c>
      <x:c r="L269" s="2" t="str">
        <x:v>Completed</x:v>
      </x:c>
      <x:c r="M269" s="12" t="n">
        <x:f>H269*I269</x:f>
        <x:v>4500</x:v>
      </x:c>
      <x:c r="N269" s="12" t="n">
        <x:f>IF(L269="Completed",ROUND(M269*(1-K269),2),0)</x:f>
        <x:v>4500</x:v>
      </x:c>
      <x:c r="O269" s="12" t="n">
        <x:f>IF(L269="Completed",H269*J269,0)</x:f>
        <x:v>2300</x:v>
      </x:c>
      <x:c r="P269" s="12" t="n">
        <x:f>N269-O269</x:f>
        <x:v>2200</x:v>
      </x:c>
    </x:row>
    <x:row r="270" ht="21" customHeight="1">
      <x:c r="A270" s="7" t="n">
        <x:v>265</x:v>
      </x:c>
      <x:c r="B270" s="2" t="str">
        <x:v>TXN-00265</x:v>
      </x:c>
      <x:c r="C270" s="8" t="d">
        <x:v>2025-03-22T00:00:00.000Z</x:v>
      </x:c>
      <x:c r="D270" s="2" t="str">
        <x:v>Lagos</x:v>
      </x:c>
      <x:c r="E270" s="2" t="str">
        <x:v>Beauty</x:v>
      </x:c>
      <x:c r="F270" s="2" t="str">
        <x:v>Body wash</x:v>
      </x:c>
      <x:c r="G270" s="2" t="str">
        <x:v>Online</x:v>
      </x:c>
      <x:c r="H270" s="7" t="n">
        <x:v>1</x:v>
      </x:c>
      <x:c r="I270" s="9" t="n">
        <x:v>4500</x:v>
      </x:c>
      <x:c r="J270" s="9" t="n">
        <x:v>2300</x:v>
      </x:c>
      <x:c r="K270" s="10" t="n">
        <x:v>0</x:v>
      </x:c>
      <x:c r="L270" s="2" t="str">
        <x:v>Completed</x:v>
      </x:c>
      <x:c r="M270" s="12" t="n">
        <x:f>H270*I270</x:f>
        <x:v>4500</x:v>
      </x:c>
      <x:c r="N270" s="12" t="n">
        <x:f>IF(L270="Completed",ROUND(M270*(1-K270),2),0)</x:f>
        <x:v>4500</x:v>
      </x:c>
      <x:c r="O270" s="12" t="n">
        <x:f>IF(L270="Completed",H270*J270,0)</x:f>
        <x:v>2300</x:v>
      </x:c>
      <x:c r="P270" s="12" t="n">
        <x:f>N270-O270</x:f>
        <x:v>2200</x:v>
      </x:c>
    </x:row>
    <x:row r="271" ht="21" customHeight="1">
      <x:c r="A271" s="7" t="n">
        <x:v>266</x:v>
      </x:c>
      <x:c r="B271" s="2" t="str">
        <x:v>TXN-00266</x:v>
      </x:c>
      <x:c r="C271" s="8" t="d">
        <x:v>2025-03-01T00:00:00.000Z</x:v>
      </x:c>
      <x:c r="D271" s="2" t="str">
        <x:v>Kano</x:v>
      </x:c>
      <x:c r="E271" s="2" t="str">
        <x:v>Fashion</x:v>
      </x:c>
      <x:c r="F271" s="2" t="str">
        <x:v>Handbag</x:v>
      </x:c>
      <x:c r="G271" s="2" t="str">
        <x:v>In-store</x:v>
      </x:c>
      <x:c r="H271" s="7" t="n">
        <x:v>1</x:v>
      </x:c>
      <x:c r="I271" s="9" t="n">
        <x:v>22000</x:v>
      </x:c>
      <x:c r="J271" s="9" t="n">
        <x:v>13500</x:v>
      </x:c>
      <x:c r="K271" s="10" t="n">
        <x:v>0.05</x:v>
      </x:c>
      <x:c r="L271" s="2" t="str">
        <x:v>Completed</x:v>
      </x:c>
      <x:c r="M271" s="12" t="n">
        <x:f>H271*I271</x:f>
        <x:v>22000</x:v>
      </x:c>
      <x:c r="N271" s="12" t="n">
        <x:f>IF(L271="Completed",ROUND(M271*(1-K271),2),0)</x:f>
        <x:v>20900</x:v>
      </x:c>
      <x:c r="O271" s="12" t="n">
        <x:f>IF(L271="Completed",H271*J271,0)</x:f>
        <x:v>13500</x:v>
      </x:c>
      <x:c r="P271" s="12" t="n">
        <x:f>N271-O271</x:f>
        <x:v>7400</x:v>
      </x:c>
    </x:row>
    <x:row r="272" ht="21" customHeight="1">
      <x:c r="A272" s="7" t="n">
        <x:v>267</x:v>
      </x:c>
      <x:c r="B272" s="2" t="str">
        <x:v>TXN-00267</x:v>
      </x:c>
      <x:c r="C272" s="8" t="d">
        <x:v>2025-03-24T00:00:00.000Z</x:v>
      </x:c>
      <x:c r="D272" s="2" t="str">
        <x:v>Kano</x:v>
      </x:c>
      <x:c r="E272" s="2" t="str">
        <x:v>Fashion</x:v>
      </x:c>
      <x:c r="F272" s="2" t="str">
        <x:v>Handbag</x:v>
      </x:c>
      <x:c r="G272" s="2" t="str">
        <x:v>In-store</x:v>
      </x:c>
      <x:c r="H272" s="7" t="n">
        <x:v>1</x:v>
      </x:c>
      <x:c r="I272" s="9" t="n">
        <x:v>22000</x:v>
      </x:c>
      <x:c r="J272" s="9" t="n">
        <x:v>13500</x:v>
      </x:c>
      <x:c r="K272" s="10" t="n">
        <x:v>0</x:v>
      </x:c>
      <x:c r="L272" s="2" t="str">
        <x:v>Completed</x:v>
      </x:c>
      <x:c r="M272" s="12" t="n">
        <x:f>H272*I272</x:f>
        <x:v>22000</x:v>
      </x:c>
      <x:c r="N272" s="12" t="n">
        <x:f>IF(L272="Completed",ROUND(M272*(1-K272),2),0)</x:f>
        <x:v>22000</x:v>
      </x:c>
      <x:c r="O272" s="12" t="n">
        <x:f>IF(L272="Completed",H272*J272,0)</x:f>
        <x:v>13500</x:v>
      </x:c>
      <x:c r="P272" s="12" t="n">
        <x:f>N272-O272</x:f>
        <x:v>8500</x:v>
      </x:c>
    </x:row>
    <x:row r="273" ht="21" customHeight="1">
      <x:c r="A273" s="7" t="n">
        <x:v>268</x:v>
      </x:c>
      <x:c r="B273" s="2" t="str">
        <x:v>TXN-00268</x:v>
      </x:c>
      <x:c r="C273" s="8" t="d">
        <x:v>2025-03-27T00:00:00.000Z</x:v>
      </x:c>
      <x:c r="D273" s="2" t="str">
        <x:v>Lagos</x:v>
      </x:c>
      <x:c r="E273" s="2" t="str">
        <x:v>Fashion</x:v>
      </x:c>
      <x:c r="F273" s="2" t="str">
        <x:v>T-shirt</x:v>
      </x:c>
      <x:c r="G273" s="2" t="str">
        <x:v>In-store</x:v>
      </x:c>
      <x:c r="H273" s="7" t="n">
        <x:v>1</x:v>
      </x:c>
      <x:c r="I273" s="9" t="n">
        <x:v>9000</x:v>
      </x:c>
      <x:c r="J273" s="9" t="n">
        <x:v>5000</x:v>
      </x:c>
      <x:c r="K273" s="10" t="n">
        <x:v>0.1</x:v>
      </x:c>
      <x:c r="L273" s="2" t="str">
        <x:v>Returned</x:v>
      </x:c>
      <x:c r="M273" s="12" t="n">
        <x:f>H273*I273</x:f>
        <x:v>9000</x:v>
      </x:c>
      <x:c r="N273" s="12" t="n">
        <x:f>IF(L273="Completed",ROUND(M273*(1-K273),2),0)</x:f>
        <x:v>0</x:v>
      </x:c>
      <x:c r="O273" s="12" t="n">
        <x:f>IF(L273="Completed",H273*J273,0)</x:f>
        <x:v>0</x:v>
      </x:c>
      <x:c r="P273" s="12" t="n">
        <x:f>N273-O273</x:f>
        <x:v>0</x:v>
      </x:c>
    </x:row>
    <x:row r="274" ht="21" customHeight="1">
      <x:c r="A274" s="7" t="n">
        <x:v>269</x:v>
      </x:c>
      <x:c r="B274" s="2" t="str">
        <x:v>TXN-00269</x:v>
      </x:c>
      <x:c r="C274" s="8" t="d">
        <x:v>2025-03-19T00:00:00.000Z</x:v>
      </x:c>
      <x:c r="D274" s="2" t="str">
        <x:v>Port Harcourt</x:v>
      </x:c>
      <x:c r="E274" s="2" t="str">
        <x:v>Fashion</x:v>
      </x:c>
      <x:c r="F274" s="2" t="str">
        <x:v>Handbag</x:v>
      </x:c>
      <x:c r="G274" s="2" t="str">
        <x:v>In-store</x:v>
      </x:c>
      <x:c r="H274" s="7" t="n">
        <x:v>1</x:v>
      </x:c>
      <x:c r="I274" s="9" t="n">
        <x:v>22000</x:v>
      </x:c>
      <x:c r="J274" s="9" t="n">
        <x:v>13500</x:v>
      </x:c>
      <x:c r="K274" s="10" t="n">
        <x:v>0.05</x:v>
      </x:c>
      <x:c r="L274" s="2" t="str">
        <x:v>Completed</x:v>
      </x:c>
      <x:c r="M274" s="12" t="n">
        <x:f>H274*I274</x:f>
        <x:v>22000</x:v>
      </x:c>
      <x:c r="N274" s="12" t="n">
        <x:f>IF(L274="Completed",ROUND(M274*(1-K274),2),0)</x:f>
        <x:v>20900</x:v>
      </x:c>
      <x:c r="O274" s="12" t="n">
        <x:f>IF(L274="Completed",H274*J274,0)</x:f>
        <x:v>13500</x:v>
      </x:c>
      <x:c r="P274" s="12" t="n">
        <x:f>N274-O274</x:f>
        <x:v>7400</x:v>
      </x:c>
    </x:row>
    <x:row r="275" ht="21" customHeight="1">
      <x:c r="A275" s="7" t="n">
        <x:v>270</x:v>
      </x:c>
      <x:c r="B275" s="2" t="str">
        <x:v>TXN-00270</x:v>
      </x:c>
      <x:c r="C275" s="8" t="d">
        <x:v>2025-03-17T00:00:00.000Z</x:v>
      </x:c>
      <x:c r="D275" s="2" t="str">
        <x:v>Lagos</x:v>
      </x:c>
      <x:c r="E275" s="2" t="str">
        <x:v>Home</x:v>
      </x:c>
      <x:c r="F275" s="2" t="str">
        <x:v>Cookware set</x:v>
      </x:c>
      <x:c r="G275" s="2" t="str">
        <x:v>Online</x:v>
      </x:c>
      <x:c r="H275" s="7" t="n">
        <x:v>1</x:v>
      </x:c>
      <x:c r="I275" s="9" t="n">
        <x:v>35000</x:v>
      </x:c>
      <x:c r="J275" s="9" t="n">
        <x:v>22500</x:v>
      </x:c>
      <x:c r="K275" s="10" t="n">
        <x:v>0</x:v>
      </x:c>
      <x:c r="L275" s="2" t="str">
        <x:v>Completed</x:v>
      </x:c>
      <x:c r="M275" s="12" t="n">
        <x:f>H275*I275</x:f>
        <x:v>35000</x:v>
      </x:c>
      <x:c r="N275" s="12" t="n">
        <x:f>IF(L275="Completed",ROUND(M275*(1-K275),2),0)</x:f>
        <x:v>35000</x:v>
      </x:c>
      <x:c r="O275" s="12" t="n">
        <x:f>IF(L275="Completed",H275*J275,0)</x:f>
        <x:v>22500</x:v>
      </x:c>
      <x:c r="P275" s="12" t="n">
        <x:f>N275-O275</x:f>
        <x:v>12500</x:v>
      </x:c>
    </x:row>
    <x:row r="276" ht="21" customHeight="1">
      <x:c r="A276" s="7" t="n">
        <x:v>271</x:v>
      </x:c>
      <x:c r="B276" s="2" t="str">
        <x:v>TXN-00271</x:v>
      </x:c>
      <x:c r="C276" s="8" t="d">
        <x:v>2025-03-29T00:00:00.000Z</x:v>
      </x:c>
      <x:c r="D276" s="2" t="str">
        <x:v>Lagos</x:v>
      </x:c>
      <x:c r="E276" s="2" t="str">
        <x:v>Electronics</x:v>
      </x:c>
      <x:c r="F276" s="2" t="str">
        <x:v>Headphones</x:v>
      </x:c>
      <x:c r="G276" s="2" t="str">
        <x:v>In-store</x:v>
      </x:c>
      <x:c r="H276" s="7" t="n">
        <x:v>1</x:v>
      </x:c>
      <x:c r="I276" s="9" t="n">
        <x:v>18000</x:v>
      </x:c>
      <x:c r="J276" s="9" t="n">
        <x:v>10500</x:v>
      </x:c>
      <x:c r="K276" s="10" t="n">
        <x:v>0</x:v>
      </x:c>
      <x:c r="L276" s="2" t="str">
        <x:v>Completed</x:v>
      </x:c>
      <x:c r="M276" s="12" t="n">
        <x:f>H276*I276</x:f>
        <x:v>18000</x:v>
      </x:c>
      <x:c r="N276" s="12" t="n">
        <x:f>IF(L276="Completed",ROUND(M276*(1-K276),2),0)</x:f>
        <x:v>18000</x:v>
      </x:c>
      <x:c r="O276" s="12" t="n">
        <x:f>IF(L276="Completed",H276*J276,0)</x:f>
        <x:v>10500</x:v>
      </x:c>
      <x:c r="P276" s="12" t="n">
        <x:f>N276-O276</x:f>
        <x:v>7500</x:v>
      </x:c>
    </x:row>
    <x:row r="277" ht="21" customHeight="1">
      <x:c r="A277" s="7" t="n">
        <x:v>272</x:v>
      </x:c>
      <x:c r="B277" s="2" t="str">
        <x:v>TXN-00272</x:v>
      </x:c>
      <x:c r="C277" s="8" t="d">
        <x:v>2025-03-29T00:00:00.000Z</x:v>
      </x:c>
      <x:c r="D277" s="2" t="str">
        <x:v>Abuja</x:v>
      </x:c>
      <x:c r="E277" s="2" t="str">
        <x:v>Beauty</x:v>
      </x:c>
      <x:c r="F277" s="2" t="str">
        <x:v>Perfume</x:v>
      </x:c>
      <x:c r="G277" s="2" t="str">
        <x:v>Online</x:v>
      </x:c>
      <x:c r="H277" s="7" t="n">
        <x:v>1</x:v>
      </x:c>
      <x:c r="I277" s="9" t="n">
        <x:v>17000</x:v>
      </x:c>
      <x:c r="J277" s="9" t="n">
        <x:v>9000</x:v>
      </x:c>
      <x:c r="K277" s="10" t="n">
        <x:v>0</x:v>
      </x:c>
      <x:c r="L277" s="2" t="str">
        <x:v>Completed</x:v>
      </x:c>
      <x:c r="M277" s="12" t="n">
        <x:f>H277*I277</x:f>
        <x:v>17000</x:v>
      </x:c>
      <x:c r="N277" s="12" t="n">
        <x:f>IF(L277="Completed",ROUND(M277*(1-K277),2),0)</x:f>
        <x:v>17000</x:v>
      </x:c>
      <x:c r="O277" s="12" t="n">
        <x:f>IF(L277="Completed",H277*J277,0)</x:f>
        <x:v>9000</x:v>
      </x:c>
      <x:c r="P277" s="12" t="n">
        <x:f>N277-O277</x:f>
        <x:v>8000</x:v>
      </x:c>
    </x:row>
    <x:row r="278" ht="21" customHeight="1">
      <x:c r="A278" s="7" t="n">
        <x:v>273</x:v>
      </x:c>
      <x:c r="B278" s="2" t="str">
        <x:v>TXN-00273</x:v>
      </x:c>
      <x:c r="C278" s="8" t="d">
        <x:v>2025-03-16T00:00:00.000Z</x:v>
      </x:c>
      <x:c r="D278" s="2" t="str">
        <x:v>Abuja</x:v>
      </x:c>
      <x:c r="E278" s="2" t="str">
        <x:v>Home</x:v>
      </x:c>
      <x:c r="F278" s="2" t="str">
        <x:v>Desk lamp</x:v>
      </x:c>
      <x:c r="G278" s="2" t="str">
        <x:v>In-store</x:v>
      </x:c>
      <x:c r="H278" s="7" t="n">
        <x:v>3</x:v>
      </x:c>
      <x:c r="I278" s="9" t="n">
        <x:v>12000</x:v>
      </x:c>
      <x:c r="J278" s="9" t="n">
        <x:v>7200</x:v>
      </x:c>
      <x:c r="K278" s="10" t="n">
        <x:v>0.1</x:v>
      </x:c>
      <x:c r="L278" s="2" t="str">
        <x:v>Completed</x:v>
      </x:c>
      <x:c r="M278" s="12" t="n">
        <x:f>H278*I278</x:f>
        <x:v>36000</x:v>
      </x:c>
      <x:c r="N278" s="12" t="n">
        <x:f>IF(L278="Completed",ROUND(M278*(1-K278),2),0)</x:f>
        <x:v>32400</x:v>
      </x:c>
      <x:c r="O278" s="12" t="n">
        <x:f>IF(L278="Completed",H278*J278,0)</x:f>
        <x:v>21600</x:v>
      </x:c>
      <x:c r="P278" s="12" t="n">
        <x:f>N278-O278</x:f>
        <x:v>10800</x:v>
      </x:c>
    </x:row>
    <x:row r="279" ht="21" customHeight="1">
      <x:c r="A279" s="7" t="n">
        <x:v>274</x:v>
      </x:c>
      <x:c r="B279" s="2" t="str">
        <x:v>TXN-00274</x:v>
      </x:c>
      <x:c r="C279" s="8" t="d">
        <x:v>2025-03-27T00:00:00.000Z</x:v>
      </x:c>
      <x:c r="D279" s="2" t="str">
        <x:v>Kano</x:v>
      </x:c>
      <x:c r="E279" s="2" t="str">
        <x:v>Fashion</x:v>
      </x:c>
      <x:c r="F279" s="2" t="str">
        <x:v>T-shirt</x:v>
      </x:c>
      <x:c r="G279" s="2" t="str">
        <x:v>In-store</x:v>
      </x:c>
      <x:c r="H279" s="7" t="n">
        <x:v>1</x:v>
      </x:c>
      <x:c r="I279" s="9" t="n">
        <x:v>9000</x:v>
      </x:c>
      <x:c r="J279" s="9" t="n">
        <x:v>5000</x:v>
      </x:c>
      <x:c r="K279" s="10" t="n">
        <x:v>0.15</x:v>
      </x:c>
      <x:c r="L279" s="2" t="str">
        <x:v>Completed</x:v>
      </x:c>
      <x:c r="M279" s="12" t="n">
        <x:f>H279*I279</x:f>
        <x:v>9000</x:v>
      </x:c>
      <x:c r="N279" s="12" t="n">
        <x:f>IF(L279="Completed",ROUND(M279*(1-K279),2),0)</x:f>
        <x:v>7650</x:v>
      </x:c>
      <x:c r="O279" s="12" t="n">
        <x:f>IF(L279="Completed",H279*J279,0)</x:f>
        <x:v>5000</x:v>
      </x:c>
      <x:c r="P279" s="12" t="n">
        <x:f>N279-O279</x:f>
        <x:v>2650</x:v>
      </x:c>
    </x:row>
    <x:row r="280" ht="21" customHeight="1">
      <x:c r="A280" s="7" t="n">
        <x:v>275</x:v>
      </x:c>
      <x:c r="B280" s="2" t="str">
        <x:v>TXN-00275</x:v>
      </x:c>
      <x:c r="C280" s="8" t="d">
        <x:v>2025-03-17T00:00:00.000Z</x:v>
      </x:c>
      <x:c r="D280" s="2" t="str">
        <x:v>Abuja</x:v>
      </x:c>
      <x:c r="E280" s="2" t="str">
        <x:v>Fashion</x:v>
      </x:c>
      <x:c r="F280" s="2" t="str">
        <x:v>Sneakers</x:v>
      </x:c>
      <x:c r="G280" s="2" t="str">
        <x:v>In-store</x:v>
      </x:c>
      <x:c r="H280" s="7" t="n">
        <x:v>2</x:v>
      </x:c>
      <x:c r="I280" s="9" t="n">
        <x:v>28000</x:v>
      </x:c>
      <x:c r="J280" s="9" t="n">
        <x:v>17500</x:v>
      </x:c>
      <x:c r="K280" s="10" t="n">
        <x:v>0</x:v>
      </x:c>
      <x:c r="L280" s="2" t="str">
        <x:v>Completed</x:v>
      </x:c>
      <x:c r="M280" s="12" t="n">
        <x:f>H280*I280</x:f>
        <x:v>56000</x:v>
      </x:c>
      <x:c r="N280" s="12" t="n">
        <x:f>IF(L280="Completed",ROUND(M280*(1-K280),2),0)</x:f>
        <x:v>56000</x:v>
      </x:c>
      <x:c r="O280" s="12" t="n">
        <x:f>IF(L280="Completed",H280*J280,0)</x:f>
        <x:v>35000</x:v>
      </x:c>
      <x:c r="P280" s="12" t="n">
        <x:f>N280-O280</x:f>
        <x:v>21000</x:v>
      </x:c>
    </x:row>
    <x:row r="281" ht="21" customHeight="1">
      <x:c r="A281" s="7" t="n">
        <x:v>276</x:v>
      </x:c>
      <x:c r="B281" s="2" t="str">
        <x:v>TXN-00276</x:v>
      </x:c>
      <x:c r="C281" s="8" t="d">
        <x:v>2025-03-07T00:00:00.000Z</x:v>
      </x:c>
      <x:c r="D281" s="2" t="str">
        <x:v>Kano</x:v>
      </x:c>
      <x:c r="E281" s="2" t="str">
        <x:v>Home</x:v>
      </x:c>
      <x:c r="F281" s="2" t="str">
        <x:v>Desk lamp</x:v>
      </x:c>
      <x:c r="G281" s="2" t="str">
        <x:v>Online</x:v>
      </x:c>
      <x:c r="H281" s="7" t="n">
        <x:v>2</x:v>
      </x:c>
      <x:c r="I281" s="9" t="n">
        <x:v>12000</x:v>
      </x:c>
      <x:c r="J281" s="9" t="n">
        <x:v>7200</x:v>
      </x:c>
      <x:c r="K281" s="10" t="n">
        <x:v>0.1</x:v>
      </x:c>
      <x:c r="L281" s="2" t="str">
        <x:v>Completed</x:v>
      </x:c>
      <x:c r="M281" s="12" t="n">
        <x:f>H281*I281</x:f>
        <x:v>24000</x:v>
      </x:c>
      <x:c r="N281" s="12" t="n">
        <x:f>IF(L281="Completed",ROUND(M281*(1-K281),2),0)</x:f>
        <x:v>21600</x:v>
      </x:c>
      <x:c r="O281" s="12" t="n">
        <x:f>IF(L281="Completed",H281*J281,0)</x:f>
        <x:v>14400</x:v>
      </x:c>
      <x:c r="P281" s="12" t="n">
        <x:f>N281-O281</x:f>
        <x:v>7200</x:v>
      </x:c>
    </x:row>
    <x:row r="282" ht="21" customHeight="1">
      <x:c r="A282" s="7" t="n">
        <x:v>277</x:v>
      </x:c>
      <x:c r="B282" s="2" t="str">
        <x:v>TXN-00277</x:v>
      </x:c>
      <x:c r="C282" s="8" t="d">
        <x:v>2025-03-14T00:00:00.000Z</x:v>
      </x:c>
      <x:c r="D282" s="2" t="str">
        <x:v>Port Harcourt</x:v>
      </x:c>
      <x:c r="E282" s="2" t="str">
        <x:v>Beauty</x:v>
      </x:c>
      <x:c r="F282" s="2" t="str">
        <x:v>Perfume</x:v>
      </x:c>
      <x:c r="G282" s="2" t="str">
        <x:v>Online</x:v>
      </x:c>
      <x:c r="H282" s="7" t="n">
        <x:v>2</x:v>
      </x:c>
      <x:c r="I282" s="9" t="n">
        <x:v>17000</x:v>
      </x:c>
      <x:c r="J282" s="9" t="n">
        <x:v>9000</x:v>
      </x:c>
      <x:c r="K282" s="10" t="n">
        <x:v>0</x:v>
      </x:c>
      <x:c r="L282" s="2" t="str">
        <x:v>Completed</x:v>
      </x:c>
      <x:c r="M282" s="12" t="n">
        <x:f>H282*I282</x:f>
        <x:v>34000</x:v>
      </x:c>
      <x:c r="N282" s="12" t="n">
        <x:f>IF(L282="Completed",ROUND(M282*(1-K282),2),0)</x:f>
        <x:v>34000</x:v>
      </x:c>
      <x:c r="O282" s="12" t="n">
        <x:f>IF(L282="Completed",H282*J282,0)</x:f>
        <x:v>18000</x:v>
      </x:c>
      <x:c r="P282" s="12" t="n">
        <x:f>N282-O282</x:f>
        <x:v>16000</x:v>
      </x:c>
    </x:row>
    <x:row r="283" ht="21" customHeight="1">
      <x:c r="A283" s="7" t="n">
        <x:v>278</x:v>
      </x:c>
      <x:c r="B283" s="2" t="str">
        <x:v>TXN-00278</x:v>
      </x:c>
      <x:c r="C283" s="8" t="d">
        <x:v>2025-03-18T00:00:00.000Z</x:v>
      </x:c>
      <x:c r="D283" s="2" t="str">
        <x:v>Port Harcourt</x:v>
      </x:c>
      <x:c r="E283" s="2" t="str">
        <x:v>Home</x:v>
      </x:c>
      <x:c r="F283" s="2" t="str">
        <x:v>Bedsheet</x:v>
      </x:c>
      <x:c r="G283" s="2" t="str">
        <x:v>In-store</x:v>
      </x:c>
      <x:c r="H283" s="7" t="n">
        <x:v>4</x:v>
      </x:c>
      <x:c r="I283" s="9" t="n">
        <x:v>14000</x:v>
      </x:c>
      <x:c r="J283" s="9" t="n">
        <x:v>8500</x:v>
      </x:c>
      <x:c r="K283" s="10" t="n">
        <x:v>0.05</x:v>
      </x:c>
      <x:c r="L283" s="2" t="str">
        <x:v>Completed</x:v>
      </x:c>
      <x:c r="M283" s="12" t="n">
        <x:f>H283*I283</x:f>
        <x:v>56000</x:v>
      </x:c>
      <x:c r="N283" s="12" t="n">
        <x:f>IF(L283="Completed",ROUND(M283*(1-K283),2),0)</x:f>
        <x:v>53200</x:v>
      </x:c>
      <x:c r="O283" s="12" t="n">
        <x:f>IF(L283="Completed",H283*J283,0)</x:f>
        <x:v>34000</x:v>
      </x:c>
      <x:c r="P283" s="12" t="n">
        <x:f>N283-O283</x:f>
        <x:v>19200</x:v>
      </x:c>
    </x:row>
    <x:row r="284" ht="21" customHeight="1">
      <x:c r="A284" s="7" t="n">
        <x:v>279</x:v>
      </x:c>
      <x:c r="B284" s="2" t="str">
        <x:v>TXN-00279</x:v>
      </x:c>
      <x:c r="C284" s="8" t="d">
        <x:v>2025-03-21T00:00:00.000Z</x:v>
      </x:c>
      <x:c r="D284" s="2" t="str">
        <x:v>Port Harcourt</x:v>
      </x:c>
      <x:c r="E284" s="2" t="str">
        <x:v>Beauty</x:v>
      </x:c>
      <x:c r="F284" s="2" t="str">
        <x:v>Body wash</x:v>
      </x:c>
      <x:c r="G284" s="2" t="str">
        <x:v>Online</x:v>
      </x:c>
      <x:c r="H284" s="7" t="n">
        <x:v>2</x:v>
      </x:c>
      <x:c r="I284" s="9" t="n">
        <x:v>4500</x:v>
      </x:c>
      <x:c r="J284" s="9" t="n">
        <x:v>2300</x:v>
      </x:c>
      <x:c r="K284" s="10" t="n">
        <x:v>0.1</x:v>
      </x:c>
      <x:c r="L284" s="2" t="str">
        <x:v>Completed</x:v>
      </x:c>
      <x:c r="M284" s="12" t="n">
        <x:f>H284*I284</x:f>
        <x:v>9000</x:v>
      </x:c>
      <x:c r="N284" s="12" t="n">
        <x:f>IF(L284="Completed",ROUND(M284*(1-K284),2),0)</x:f>
        <x:v>8100</x:v>
      </x:c>
      <x:c r="O284" s="12" t="n">
        <x:f>IF(L284="Completed",H284*J284,0)</x:f>
        <x:v>4600</x:v>
      </x:c>
      <x:c r="P284" s="12" t="n">
        <x:f>N284-O284</x:f>
        <x:v>3500</x:v>
      </x:c>
    </x:row>
    <x:row r="285" ht="21" customHeight="1">
      <x:c r="A285" s="7" t="n">
        <x:v>280</x:v>
      </x:c>
      <x:c r="B285" s="2" t="str">
        <x:v>TXN-00280</x:v>
      </x:c>
      <x:c r="C285" s="8" t="d">
        <x:v>2025-03-16T00:00:00.000Z</x:v>
      </x:c>
      <x:c r="D285" s="2" t="str">
        <x:v>Abuja</x:v>
      </x:c>
      <x:c r="E285" s="2" t="str">
        <x:v>Beauty</x:v>
      </x:c>
      <x:c r="F285" s="2" t="str">
        <x:v>Moisturizer</x:v>
      </x:c>
      <x:c r="G285" s="2" t="str">
        <x:v>In-store</x:v>
      </x:c>
      <x:c r="H285" s="7" t="n">
        <x:v>3</x:v>
      </x:c>
      <x:c r="I285" s="9" t="n">
        <x:v>6500</x:v>
      </x:c>
      <x:c r="J285" s="9" t="n">
        <x:v>3500</x:v>
      </x:c>
      <x:c r="K285" s="10" t="n">
        <x:v>0.05</x:v>
      </x:c>
      <x:c r="L285" s="2" t="str">
        <x:v>Completed</x:v>
      </x:c>
      <x:c r="M285" s="12" t="n">
        <x:f>H285*I285</x:f>
        <x:v>19500</x:v>
      </x:c>
      <x:c r="N285" s="12" t="n">
        <x:f>IF(L285="Completed",ROUND(M285*(1-K285),2),0)</x:f>
        <x:v>18525</x:v>
      </x:c>
      <x:c r="O285" s="12" t="n">
        <x:f>IF(L285="Completed",H285*J285,0)</x:f>
        <x:v>10500</x:v>
      </x:c>
      <x:c r="P285" s="12" t="n">
        <x:f>N285-O285</x:f>
        <x:v>8025</x:v>
      </x:c>
    </x:row>
    <x:row r="286" ht="21" customHeight="1">
      <x:c r="A286" s="7" t="n">
        <x:v>281</x:v>
      </x:c>
      <x:c r="B286" s="2" t="str">
        <x:v>TXN-00281</x:v>
      </x:c>
      <x:c r="C286" s="8" t="d">
        <x:v>2025-03-22T00:00:00.000Z</x:v>
      </x:c>
      <x:c r="D286" s="2" t="str">
        <x:v>Abuja</x:v>
      </x:c>
      <x:c r="E286" s="2" t="str">
        <x:v>Home</x:v>
      </x:c>
      <x:c r="F286" s="2" t="str">
        <x:v>Bedsheet</x:v>
      </x:c>
      <x:c r="G286" s="2" t="str">
        <x:v>Online</x:v>
      </x:c>
      <x:c r="H286" s="7" t="n">
        <x:v>2</x:v>
      </x:c>
      <x:c r="I286" s="9" t="n">
        <x:v>14000</x:v>
      </x:c>
      <x:c r="J286" s="9" t="n">
        <x:v>8500</x:v>
      </x:c>
      <x:c r="K286" s="10" t="n">
        <x:v>0.05</x:v>
      </x:c>
      <x:c r="L286" s="2" t="str">
        <x:v>Completed</x:v>
      </x:c>
      <x:c r="M286" s="12" t="n">
        <x:f>H286*I286</x:f>
        <x:v>28000</x:v>
      </x:c>
      <x:c r="N286" s="12" t="n">
        <x:f>IF(L286="Completed",ROUND(M286*(1-K286),2),0)</x:f>
        <x:v>26600</x:v>
      </x:c>
      <x:c r="O286" s="12" t="n">
        <x:f>IF(L286="Completed",H286*J286,0)</x:f>
        <x:v>17000</x:v>
      </x:c>
      <x:c r="P286" s="12" t="n">
        <x:f>N286-O286</x:f>
        <x:v>9600</x:v>
      </x:c>
    </x:row>
    <x:row r="287" ht="21" customHeight="1">
      <x:c r="A287" s="7" t="n">
        <x:v>282</x:v>
      </x:c>
      <x:c r="B287" s="2" t="str">
        <x:v>TXN-00282</x:v>
      </x:c>
      <x:c r="C287" s="8" t="d">
        <x:v>2025-03-07T00:00:00.000Z</x:v>
      </x:c>
      <x:c r="D287" s="2" t="str">
        <x:v>Port Harcourt</x:v>
      </x:c>
      <x:c r="E287" s="2" t="str">
        <x:v>Fashion</x:v>
      </x:c>
      <x:c r="F287" s="2" t="str">
        <x:v>T-shirt</x:v>
      </x:c>
      <x:c r="G287" s="2" t="str">
        <x:v>In-store</x:v>
      </x:c>
      <x:c r="H287" s="7" t="n">
        <x:v>1</x:v>
      </x:c>
      <x:c r="I287" s="9" t="n">
        <x:v>9000</x:v>
      </x:c>
      <x:c r="J287" s="9" t="n">
        <x:v>5000</x:v>
      </x:c>
      <x:c r="K287" s="10" t="n">
        <x:v>0</x:v>
      </x:c>
      <x:c r="L287" s="2" t="str">
        <x:v>Completed</x:v>
      </x:c>
      <x:c r="M287" s="12" t="n">
        <x:f>H287*I287</x:f>
        <x:v>9000</x:v>
      </x:c>
      <x:c r="N287" s="12" t="n">
        <x:f>IF(L287="Completed",ROUND(M287*(1-K287),2),0)</x:f>
        <x:v>9000</x:v>
      </x:c>
      <x:c r="O287" s="12" t="n">
        <x:f>IF(L287="Completed",H287*J287,0)</x:f>
        <x:v>5000</x:v>
      </x:c>
      <x:c r="P287" s="12" t="n">
        <x:f>N287-O287</x:f>
        <x:v>4000</x:v>
      </x:c>
    </x:row>
    <x:row r="288" ht="21" customHeight="1">
      <x:c r="A288" s="7" t="n">
        <x:v>283</x:v>
      </x:c>
      <x:c r="B288" s="2" t="str">
        <x:v>TXN-00283</x:v>
      </x:c>
      <x:c r="C288" s="8" t="d">
        <x:v>2025-03-22T00:00:00.000Z</x:v>
      </x:c>
      <x:c r="D288" s="2" t="str">
        <x:v>Lagos</x:v>
      </x:c>
      <x:c r="E288" s="2" t="str">
        <x:v>Electronics</x:v>
      </x:c>
      <x:c r="F288" s="2" t="str">
        <x:v>Headphones</x:v>
      </x:c>
      <x:c r="G288" s="2" t="str">
        <x:v>Online</x:v>
      </x:c>
      <x:c r="H288" s="7" t="n">
        <x:v>2</x:v>
      </x:c>
      <x:c r="I288" s="9" t="n">
        <x:v>18000</x:v>
      </x:c>
      <x:c r="J288" s="9" t="n">
        <x:v>10500</x:v>
      </x:c>
      <x:c r="K288" s="10" t="n">
        <x:v>0</x:v>
      </x:c>
      <x:c r="L288" s="2" t="str">
        <x:v>Completed</x:v>
      </x:c>
      <x:c r="M288" s="12" t="n">
        <x:f>H288*I288</x:f>
        <x:v>36000</x:v>
      </x:c>
      <x:c r="N288" s="12" t="n">
        <x:f>IF(L288="Completed",ROUND(M288*(1-K288),2),0)</x:f>
        <x:v>36000</x:v>
      </x:c>
      <x:c r="O288" s="12" t="n">
        <x:f>IF(L288="Completed",H288*J288,0)</x:f>
        <x:v>21000</x:v>
      </x:c>
      <x:c r="P288" s="12" t="n">
        <x:f>N288-O288</x:f>
        <x:v>15000</x:v>
      </x:c>
    </x:row>
    <x:row r="289" ht="21" customHeight="1">
      <x:c r="A289" s="7" t="n">
        <x:v>284</x:v>
      </x:c>
      <x:c r="B289" s="2" t="str">
        <x:v>TXN-00284</x:v>
      </x:c>
      <x:c r="C289" s="8" t="d">
        <x:v>2025-03-20T00:00:00.000Z</x:v>
      </x:c>
      <x:c r="D289" s="2" t="str">
        <x:v>Lagos</x:v>
      </x:c>
      <x:c r="E289" s="2" t="str">
        <x:v>Fashion</x:v>
      </x:c>
      <x:c r="F289" s="2" t="str">
        <x:v>Handbag</x:v>
      </x:c>
      <x:c r="G289" s="2" t="str">
        <x:v>Online</x:v>
      </x:c>
      <x:c r="H289" s="7" t="n">
        <x:v>3</x:v>
      </x:c>
      <x:c r="I289" s="9" t="n">
        <x:v>22000</x:v>
      </x:c>
      <x:c r="J289" s="9" t="n">
        <x:v>13500</x:v>
      </x:c>
      <x:c r="K289" s="10" t="n">
        <x:v>0.05</x:v>
      </x:c>
      <x:c r="L289" s="2" t="str">
        <x:v>Completed</x:v>
      </x:c>
      <x:c r="M289" s="12" t="n">
        <x:f>H289*I289</x:f>
        <x:v>66000</x:v>
      </x:c>
      <x:c r="N289" s="12" t="n">
        <x:f>IF(L289="Completed",ROUND(M289*(1-K289),2),0)</x:f>
        <x:v>62700</x:v>
      </x:c>
      <x:c r="O289" s="12" t="n">
        <x:f>IF(L289="Completed",H289*J289,0)</x:f>
        <x:v>40500</x:v>
      </x:c>
      <x:c r="P289" s="12" t="n">
        <x:f>N289-O289</x:f>
        <x:v>22200</x:v>
      </x:c>
    </x:row>
    <x:row r="290" ht="21" customHeight="1">
      <x:c r="A290" s="7" t="n">
        <x:v>285</x:v>
      </x:c>
      <x:c r="B290" s="2" t="str">
        <x:v>TXN-00285</x:v>
      </x:c>
      <x:c r="C290" s="8" t="d">
        <x:v>2025-03-29T00:00:00.000Z</x:v>
      </x:c>
      <x:c r="D290" s="2" t="str">
        <x:v>Abuja</x:v>
      </x:c>
      <x:c r="E290" s="2" t="str">
        <x:v>Beauty</x:v>
      </x:c>
      <x:c r="F290" s="2" t="str">
        <x:v>Moisturizer</x:v>
      </x:c>
      <x:c r="G290" s="2" t="str">
        <x:v>Online</x:v>
      </x:c>
      <x:c r="H290" s="7" t="n">
        <x:v>2</x:v>
      </x:c>
      <x:c r="I290" s="9" t="n">
        <x:v>6500</x:v>
      </x:c>
      <x:c r="J290" s="9" t="n">
        <x:v>3500</x:v>
      </x:c>
      <x:c r="K290" s="10" t="n">
        <x:v>0.05</x:v>
      </x:c>
      <x:c r="L290" s="2" t="str">
        <x:v>Completed</x:v>
      </x:c>
      <x:c r="M290" s="12" t="n">
        <x:f>H290*I290</x:f>
        <x:v>13000</x:v>
      </x:c>
      <x:c r="N290" s="12" t="n">
        <x:f>IF(L290="Completed",ROUND(M290*(1-K290),2),0)</x:f>
        <x:v>12350</x:v>
      </x:c>
      <x:c r="O290" s="12" t="n">
        <x:f>IF(L290="Completed",H290*J290,0)</x:f>
        <x:v>7000</x:v>
      </x:c>
      <x:c r="P290" s="12" t="n">
        <x:f>N290-O290</x:f>
        <x:v>5350</x:v>
      </x:c>
    </x:row>
    <x:row r="291" ht="21" customHeight="1">
      <x:c r="A291" s="7" t="n">
        <x:v>286</x:v>
      </x:c>
      <x:c r="B291" s="2" t="str">
        <x:v>TXN-00286</x:v>
      </x:c>
      <x:c r="C291" s="8" t="d">
        <x:v>2025-03-09T00:00:00.000Z</x:v>
      </x:c>
      <x:c r="D291" s="2" t="str">
        <x:v>Lagos</x:v>
      </x:c>
      <x:c r="E291" s="2" t="str">
        <x:v>Home</x:v>
      </x:c>
      <x:c r="F291" s="2" t="str">
        <x:v>Bedsheet</x:v>
      </x:c>
      <x:c r="G291" s="2" t="str">
        <x:v>In-store</x:v>
      </x:c>
      <x:c r="H291" s="7" t="n">
        <x:v>2</x:v>
      </x:c>
      <x:c r="I291" s="9" t="n">
        <x:v>14000</x:v>
      </x:c>
      <x:c r="J291" s="9" t="n">
        <x:v>8500</x:v>
      </x:c>
      <x:c r="K291" s="10" t="n">
        <x:v>0.05</x:v>
      </x:c>
      <x:c r="L291" s="2" t="str">
        <x:v>Completed</x:v>
      </x:c>
      <x:c r="M291" s="12" t="n">
        <x:f>H291*I291</x:f>
        <x:v>28000</x:v>
      </x:c>
      <x:c r="N291" s="12" t="n">
        <x:f>IF(L291="Completed",ROUND(M291*(1-K291),2),0)</x:f>
        <x:v>26600</x:v>
      </x:c>
      <x:c r="O291" s="12" t="n">
        <x:f>IF(L291="Completed",H291*J291,0)</x:f>
        <x:v>17000</x:v>
      </x:c>
      <x:c r="P291" s="12" t="n">
        <x:f>N291-O291</x:f>
        <x:v>9600</x:v>
      </x:c>
    </x:row>
    <x:row r="292" ht="21" customHeight="1">
      <x:c r="A292" s="7" t="n">
        <x:v>287</x:v>
      </x:c>
      <x:c r="B292" s="2" t="str">
        <x:v>TXN-00287</x:v>
      </x:c>
      <x:c r="C292" s="8" t="d">
        <x:v>2025-03-17T00:00:00.000Z</x:v>
      </x:c>
      <x:c r="D292" s="2" t="str">
        <x:v>Lagos</x:v>
      </x:c>
      <x:c r="E292" s="2" t="str">
        <x:v>Fashion</x:v>
      </x:c>
      <x:c r="F292" s="2" t="str">
        <x:v>Handbag</x:v>
      </x:c>
      <x:c r="G292" s="2" t="str">
        <x:v>In-store</x:v>
      </x:c>
      <x:c r="H292" s="7" t="n">
        <x:v>2</x:v>
      </x:c>
      <x:c r="I292" s="9" t="n">
        <x:v>22000</x:v>
      </x:c>
      <x:c r="J292" s="9" t="n">
        <x:v>13500</x:v>
      </x:c>
      <x:c r="K292" s="10" t="n">
        <x:v>0.15</x:v>
      </x:c>
      <x:c r="L292" s="2" t="str">
        <x:v>Returned</x:v>
      </x:c>
      <x:c r="M292" s="12" t="n">
        <x:f>H292*I292</x:f>
        <x:v>44000</x:v>
      </x:c>
      <x:c r="N292" s="12" t="n">
        <x:f>IF(L292="Completed",ROUND(M292*(1-K292),2),0)</x:f>
        <x:v>0</x:v>
      </x:c>
      <x:c r="O292" s="12" t="n">
        <x:f>IF(L292="Completed",H292*J292,0)</x:f>
        <x:v>0</x:v>
      </x:c>
      <x:c r="P292" s="12" t="n">
        <x:f>N292-O292</x:f>
        <x:v>0</x:v>
      </x:c>
    </x:row>
    <x:row r="293" ht="21" customHeight="1">
      <x:c r="A293" s="7" t="n">
        <x:v>288</x:v>
      </x:c>
      <x:c r="B293" s="2" t="str">
        <x:v>TXN-00288</x:v>
      </x:c>
      <x:c r="C293" s="8" t="d">
        <x:v>2025-03-04T00:00:00.000Z</x:v>
      </x:c>
      <x:c r="D293" s="2" t="str">
        <x:v>Kano</x:v>
      </x:c>
      <x:c r="E293" s="2" t="str">
        <x:v>Fashion</x:v>
      </x:c>
      <x:c r="F293" s="2" t="str">
        <x:v>T-shirt</x:v>
      </x:c>
      <x:c r="G293" s="2" t="str">
        <x:v>In-store</x:v>
      </x:c>
      <x:c r="H293" s="7" t="n">
        <x:v>1</x:v>
      </x:c>
      <x:c r="I293" s="9" t="n">
        <x:v>9000</x:v>
      </x:c>
      <x:c r="J293" s="9" t="n">
        <x:v>5000</x:v>
      </x:c>
      <x:c r="K293" s="10" t="n">
        <x:v>0</x:v>
      </x:c>
      <x:c r="L293" s="2" t="str">
        <x:v>Completed</x:v>
      </x:c>
      <x:c r="M293" s="12" t="n">
        <x:f>H293*I293</x:f>
        <x:v>9000</x:v>
      </x:c>
      <x:c r="N293" s="12" t="n">
        <x:f>IF(L293="Completed",ROUND(M293*(1-K293),2),0)</x:f>
        <x:v>9000</x:v>
      </x:c>
      <x:c r="O293" s="12" t="n">
        <x:f>IF(L293="Completed",H293*J293,0)</x:f>
        <x:v>5000</x:v>
      </x:c>
      <x:c r="P293" s="12" t="n">
        <x:f>N293-O293</x:f>
        <x:v>4000</x:v>
      </x:c>
    </x:row>
    <x:row r="294" ht="21" customHeight="1">
      <x:c r="A294" s="7" t="n">
        <x:v>289</x:v>
      </x:c>
      <x:c r="B294" s="2" t="str">
        <x:v>TXN-00289</x:v>
      </x:c>
      <x:c r="C294" s="8" t="d">
        <x:v>2025-03-16T00:00:00.000Z</x:v>
      </x:c>
      <x:c r="D294" s="2" t="str">
        <x:v>Lagos</x:v>
      </x:c>
      <x:c r="E294" s="2" t="str">
        <x:v>Beauty</x:v>
      </x:c>
      <x:c r="F294" s="2" t="str">
        <x:v>Perfume</x:v>
      </x:c>
      <x:c r="G294" s="2" t="str">
        <x:v>In-store</x:v>
      </x:c>
      <x:c r="H294" s="7" t="n">
        <x:v>1</x:v>
      </x:c>
      <x:c r="I294" s="9" t="n">
        <x:v>17000</x:v>
      </x:c>
      <x:c r="J294" s="9" t="n">
        <x:v>9000</x:v>
      </x:c>
      <x:c r="K294" s="10" t="n">
        <x:v>0</x:v>
      </x:c>
      <x:c r="L294" s="2" t="str">
        <x:v>Completed</x:v>
      </x:c>
      <x:c r="M294" s="12" t="n">
        <x:f>H294*I294</x:f>
        <x:v>17000</x:v>
      </x:c>
      <x:c r="N294" s="12" t="n">
        <x:f>IF(L294="Completed",ROUND(M294*(1-K294),2),0)</x:f>
        <x:v>17000</x:v>
      </x:c>
      <x:c r="O294" s="12" t="n">
        <x:f>IF(L294="Completed",H294*J294,0)</x:f>
        <x:v>9000</x:v>
      </x:c>
      <x:c r="P294" s="12" t="n">
        <x:f>N294-O294</x:f>
        <x:v>8000</x:v>
      </x:c>
    </x:row>
    <x:row r="295" ht="21" customHeight="1">
      <x:c r="A295" s="7" t="n">
        <x:v>290</x:v>
      </x:c>
      <x:c r="B295" s="2" t="str">
        <x:v>TXN-00290</x:v>
      </x:c>
      <x:c r="C295" s="8" t="d">
        <x:v>2025-03-26T00:00:00.000Z</x:v>
      </x:c>
      <x:c r="D295" s="2" t="str">
        <x:v>Lagos</x:v>
      </x:c>
      <x:c r="E295" s="2" t="str">
        <x:v>Fashion</x:v>
      </x:c>
      <x:c r="F295" s="2" t="str">
        <x:v>Sneakers</x:v>
      </x:c>
      <x:c r="G295" s="2" t="str">
        <x:v>In-store</x:v>
      </x:c>
      <x:c r="H295" s="7" t="n">
        <x:v>1</x:v>
      </x:c>
      <x:c r="I295" s="9" t="n">
        <x:v>28000</x:v>
      </x:c>
      <x:c r="J295" s="9" t="n">
        <x:v>17500</x:v>
      </x:c>
      <x:c r="K295" s="10" t="n">
        <x:v>0</x:v>
      </x:c>
      <x:c r="L295" s="2" t="str">
        <x:v>Completed</x:v>
      </x:c>
      <x:c r="M295" s="12" t="n">
        <x:f>H295*I295</x:f>
        <x:v>28000</x:v>
      </x:c>
      <x:c r="N295" s="12" t="n">
        <x:f>IF(L295="Completed",ROUND(M295*(1-K295),2),0)</x:f>
        <x:v>28000</x:v>
      </x:c>
      <x:c r="O295" s="12" t="n">
        <x:f>IF(L295="Completed",H295*J295,0)</x:f>
        <x:v>17500</x:v>
      </x:c>
      <x:c r="P295" s="12" t="n">
        <x:f>N295-O295</x:f>
        <x:v>10500</x:v>
      </x:c>
    </x:row>
    <x:row r="296" ht="21" customHeight="1">
      <x:c r="A296" s="7" t="n">
        <x:v>291</x:v>
      </x:c>
      <x:c r="B296" s="2" t="str">
        <x:v>TXN-00291</x:v>
      </x:c>
      <x:c r="C296" s="8" t="d">
        <x:v>2025-03-14T00:00:00.000Z</x:v>
      </x:c>
      <x:c r="D296" s="2" t="str">
        <x:v>Lagos</x:v>
      </x:c>
      <x:c r="E296" s="2" t="str">
        <x:v>Electronics</x:v>
      </x:c>
      <x:c r="F296" s="2" t="str">
        <x:v>Bluetooth speaker</x:v>
      </x:c>
      <x:c r="G296" s="2" t="str">
        <x:v>Online</x:v>
      </x:c>
      <x:c r="H296" s="7" t="n">
        <x:v>3</x:v>
      </x:c>
      <x:c r="I296" s="9" t="n">
        <x:v>26000</x:v>
      </x:c>
      <x:c r="J296" s="9" t="n">
        <x:v>17000</x:v>
      </x:c>
      <x:c r="K296" s="10" t="n">
        <x:v>0</x:v>
      </x:c>
      <x:c r="L296" s="2" t="str">
        <x:v>Completed</x:v>
      </x:c>
      <x:c r="M296" s="12" t="n">
        <x:f>H296*I296</x:f>
        <x:v>78000</x:v>
      </x:c>
      <x:c r="N296" s="12" t="n">
        <x:f>IF(L296="Completed",ROUND(M296*(1-K296),2),0)</x:f>
        <x:v>78000</x:v>
      </x:c>
      <x:c r="O296" s="12" t="n">
        <x:f>IF(L296="Completed",H296*J296,0)</x:f>
        <x:v>51000</x:v>
      </x:c>
      <x:c r="P296" s="12" t="n">
        <x:f>N296-O296</x:f>
        <x:v>27000</x:v>
      </x:c>
    </x:row>
    <x:row r="297" ht="21" customHeight="1">
      <x:c r="A297" s="7" t="n">
        <x:v>292</x:v>
      </x:c>
      <x:c r="B297" s="2" t="str">
        <x:v>TXN-00292</x:v>
      </x:c>
      <x:c r="C297" s="8" t="d">
        <x:v>2025-03-02T00:00:00.000Z</x:v>
      </x:c>
      <x:c r="D297" s="2" t="str">
        <x:v>Port Harcourt</x:v>
      </x:c>
      <x:c r="E297" s="2" t="str">
        <x:v>Beauty</x:v>
      </x:c>
      <x:c r="F297" s="2" t="str">
        <x:v>Body wash</x:v>
      </x:c>
      <x:c r="G297" s="2" t="str">
        <x:v>Online</x:v>
      </x:c>
      <x:c r="H297" s="7" t="n">
        <x:v>1</x:v>
      </x:c>
      <x:c r="I297" s="9" t="n">
        <x:v>4500</x:v>
      </x:c>
      <x:c r="J297" s="9" t="n">
        <x:v>2300</x:v>
      </x:c>
      <x:c r="K297" s="10" t="n">
        <x:v>0.1</x:v>
      </x:c>
      <x:c r="L297" s="2" t="str">
        <x:v>Completed</x:v>
      </x:c>
      <x:c r="M297" s="12" t="n">
        <x:f>H297*I297</x:f>
        <x:v>4500</x:v>
      </x:c>
      <x:c r="N297" s="12" t="n">
        <x:f>IF(L297="Completed",ROUND(M297*(1-K297),2),0)</x:f>
        <x:v>4050</x:v>
      </x:c>
      <x:c r="O297" s="12" t="n">
        <x:f>IF(L297="Completed",H297*J297,0)</x:f>
        <x:v>2300</x:v>
      </x:c>
      <x:c r="P297" s="12" t="n">
        <x:f>N297-O297</x:f>
        <x:v>1750</x:v>
      </x:c>
    </x:row>
    <x:row r="298" ht="21" customHeight="1">
      <x:c r="A298" s="7" t="n">
        <x:v>293</x:v>
      </x:c>
      <x:c r="B298" s="2" t="str">
        <x:v>TXN-00293</x:v>
      </x:c>
      <x:c r="C298" s="8" t="d">
        <x:v>2025-03-07T00:00:00.000Z</x:v>
      </x:c>
      <x:c r="D298" s="2" t="str">
        <x:v>Lagos</x:v>
      </x:c>
      <x:c r="E298" s="2" t="str">
        <x:v>Electronics</x:v>
      </x:c>
      <x:c r="F298" s="2" t="str">
        <x:v>Headphones</x:v>
      </x:c>
      <x:c r="G298" s="2" t="str">
        <x:v>In-store</x:v>
      </x:c>
      <x:c r="H298" s="7" t="n">
        <x:v>1</x:v>
      </x:c>
      <x:c r="I298" s="9" t="n">
        <x:v>18000</x:v>
      </x:c>
      <x:c r="J298" s="9" t="n">
        <x:v>10500</x:v>
      </x:c>
      <x:c r="K298" s="10" t="n">
        <x:v>0</x:v>
      </x:c>
      <x:c r="L298" s="2" t="str">
        <x:v>Completed</x:v>
      </x:c>
      <x:c r="M298" s="12" t="n">
        <x:f>H298*I298</x:f>
        <x:v>18000</x:v>
      </x:c>
      <x:c r="N298" s="12" t="n">
        <x:f>IF(L298="Completed",ROUND(M298*(1-K298),2),0)</x:f>
        <x:v>18000</x:v>
      </x:c>
      <x:c r="O298" s="12" t="n">
        <x:f>IF(L298="Completed",H298*J298,0)</x:f>
        <x:v>10500</x:v>
      </x:c>
      <x:c r="P298" s="12" t="n">
        <x:f>N298-O298</x:f>
        <x:v>7500</x:v>
      </x:c>
    </x:row>
    <x:row r="299" ht="21" customHeight="1">
      <x:c r="A299" s="7" t="n">
        <x:v>294</x:v>
      </x:c>
      <x:c r="B299" s="2" t="str">
        <x:v>TXN-00294</x:v>
      </x:c>
      <x:c r="C299" s="8" t="d">
        <x:v>2025-03-03T00:00:00.000Z</x:v>
      </x:c>
      <x:c r="D299" s="2" t="str">
        <x:v>Lagos</x:v>
      </x:c>
      <x:c r="E299" s="2" t="str">
        <x:v>Home</x:v>
      </x:c>
      <x:c r="F299" s="2" t="str">
        <x:v>Desk lamp</x:v>
      </x:c>
      <x:c r="G299" s="2" t="str">
        <x:v>Online</x:v>
      </x:c>
      <x:c r="H299" s="7" t="n">
        <x:v>2</x:v>
      </x:c>
      <x:c r="I299" s="9" t="n">
        <x:v>12000</x:v>
      </x:c>
      <x:c r="J299" s="9" t="n">
        <x:v>7200</x:v>
      </x:c>
      <x:c r="K299" s="10" t="n">
        <x:v>0.1</x:v>
      </x:c>
      <x:c r="L299" s="2" t="str">
        <x:v>Completed</x:v>
      </x:c>
      <x:c r="M299" s="12" t="n">
        <x:f>H299*I299</x:f>
        <x:v>24000</x:v>
      </x:c>
      <x:c r="N299" s="12" t="n">
        <x:f>IF(L299="Completed",ROUND(M299*(1-K299),2),0)</x:f>
        <x:v>21600</x:v>
      </x:c>
      <x:c r="O299" s="12" t="n">
        <x:f>IF(L299="Completed",H299*J299,0)</x:f>
        <x:v>14400</x:v>
      </x:c>
      <x:c r="P299" s="12" t="n">
        <x:f>N299-O299</x:f>
        <x:v>7200</x:v>
      </x:c>
    </x:row>
    <x:row r="300" ht="21" customHeight="1">
      <x:c r="A300" s="7" t="n">
        <x:v>295</x:v>
      </x:c>
      <x:c r="B300" s="2" t="str">
        <x:v>TXN-00295</x:v>
      </x:c>
      <x:c r="C300" s="8" t="d">
        <x:v>2025-03-19T00:00:00.000Z</x:v>
      </x:c>
      <x:c r="D300" s="2" t="str">
        <x:v>Port Harcourt</x:v>
      </x:c>
      <x:c r="E300" s="2" t="str">
        <x:v>Fashion</x:v>
      </x:c>
      <x:c r="F300" s="2" t="str">
        <x:v>Handbag</x:v>
      </x:c>
      <x:c r="G300" s="2" t="str">
        <x:v>In-store</x:v>
      </x:c>
      <x:c r="H300" s="7" t="n">
        <x:v>1</x:v>
      </x:c>
      <x:c r="I300" s="9" t="n">
        <x:v>22000</x:v>
      </x:c>
      <x:c r="J300" s="9" t="n">
        <x:v>13500</x:v>
      </x:c>
      <x:c r="K300" s="10" t="n">
        <x:v>0</x:v>
      </x:c>
      <x:c r="L300" s="2" t="str">
        <x:v>Completed</x:v>
      </x:c>
      <x:c r="M300" s="12" t="n">
        <x:f>H300*I300</x:f>
        <x:v>22000</x:v>
      </x:c>
      <x:c r="N300" s="12" t="n">
        <x:f>IF(L300="Completed",ROUND(M300*(1-K300),2),0)</x:f>
        <x:v>22000</x:v>
      </x:c>
      <x:c r="O300" s="12" t="n">
        <x:f>IF(L300="Completed",H300*J300,0)</x:f>
        <x:v>13500</x:v>
      </x:c>
      <x:c r="P300" s="12" t="n">
        <x:f>N300-O300</x:f>
        <x:v>8500</x:v>
      </x:c>
    </x:row>
    <x:row r="301" ht="21" customHeight="1">
      <x:c r="A301" s="7" t="n">
        <x:v>296</x:v>
      </x:c>
      <x:c r="B301" s="2" t="str">
        <x:v>TXN-00296</x:v>
      </x:c>
      <x:c r="C301" s="8" t="d">
        <x:v>2025-03-06T00:00:00.000Z</x:v>
      </x:c>
      <x:c r="D301" s="2" t="str">
        <x:v>Lagos</x:v>
      </x:c>
      <x:c r="E301" s="2" t="str">
        <x:v>Fashion</x:v>
      </x:c>
      <x:c r="F301" s="2" t="str">
        <x:v>T-shirt</x:v>
      </x:c>
      <x:c r="G301" s="2" t="str">
        <x:v>In-store</x:v>
      </x:c>
      <x:c r="H301" s="7" t="n">
        <x:v>1</x:v>
      </x:c>
      <x:c r="I301" s="9" t="n">
        <x:v>9000</x:v>
      </x:c>
      <x:c r="J301" s="9" t="n">
        <x:v>5000</x:v>
      </x:c>
      <x:c r="K301" s="10" t="n">
        <x:v>0.1</x:v>
      </x:c>
      <x:c r="L301" s="2" t="str">
        <x:v>Completed</x:v>
      </x:c>
      <x:c r="M301" s="12" t="n">
        <x:f>H301*I301</x:f>
        <x:v>9000</x:v>
      </x:c>
      <x:c r="N301" s="12" t="n">
        <x:f>IF(L301="Completed",ROUND(M301*(1-K301),2),0)</x:f>
        <x:v>8100</x:v>
      </x:c>
      <x:c r="O301" s="12" t="n">
        <x:f>IF(L301="Completed",H301*J301,0)</x:f>
        <x:v>5000</x:v>
      </x:c>
      <x:c r="P301" s="12" t="n">
        <x:f>N301-O301</x:f>
        <x:v>3100</x:v>
      </x:c>
    </x:row>
    <x:row r="302" ht="21" customHeight="1">
      <x:c r="A302" s="7" t="n">
        <x:v>297</x:v>
      </x:c>
      <x:c r="B302" s="2" t="str">
        <x:v>TXN-00297</x:v>
      </x:c>
      <x:c r="C302" s="8" t="d">
        <x:v>2025-03-08T00:00:00.000Z</x:v>
      </x:c>
      <x:c r="D302" s="2" t="str">
        <x:v>Kano</x:v>
      </x:c>
      <x:c r="E302" s="2" t="str">
        <x:v>Home</x:v>
      </x:c>
      <x:c r="F302" s="2" t="str">
        <x:v>Cookware set</x:v>
      </x:c>
      <x:c r="G302" s="2" t="str">
        <x:v>In-store</x:v>
      </x:c>
      <x:c r="H302" s="7" t="n">
        <x:v>1</x:v>
      </x:c>
      <x:c r="I302" s="9" t="n">
        <x:v>35000</x:v>
      </x:c>
      <x:c r="J302" s="9" t="n">
        <x:v>22500</x:v>
      </x:c>
      <x:c r="K302" s="10" t="n">
        <x:v>0.1</x:v>
      </x:c>
      <x:c r="L302" s="2" t="str">
        <x:v>Completed</x:v>
      </x:c>
      <x:c r="M302" s="12" t="n">
        <x:f>H302*I302</x:f>
        <x:v>35000</x:v>
      </x:c>
      <x:c r="N302" s="12" t="n">
        <x:f>IF(L302="Completed",ROUND(M302*(1-K302),2),0)</x:f>
        <x:v>31500</x:v>
      </x:c>
      <x:c r="O302" s="12" t="n">
        <x:f>IF(L302="Completed",H302*J302,0)</x:f>
        <x:v>22500</x:v>
      </x:c>
      <x:c r="P302" s="12" t="n">
        <x:f>N302-O302</x:f>
        <x:v>9000</x:v>
      </x:c>
    </x:row>
    <x:row r="303" ht="21" customHeight="1">
      <x:c r="A303" s="7" t="n">
        <x:v>298</x:v>
      </x:c>
      <x:c r="B303" s="2" t="str">
        <x:v>TXN-00298</x:v>
      </x:c>
      <x:c r="C303" s="8" t="d">
        <x:v>2025-03-03T00:00:00.000Z</x:v>
      </x:c>
      <x:c r="D303" s="2" t="str">
        <x:v>Lagos</x:v>
      </x:c>
      <x:c r="E303" s="2" t="str">
        <x:v>Beauty</x:v>
      </x:c>
      <x:c r="F303" s="2" t="str">
        <x:v>Perfume</x:v>
      </x:c>
      <x:c r="G303" s="2" t="str">
        <x:v>Online</x:v>
      </x:c>
      <x:c r="H303" s="7" t="n">
        <x:v>3</x:v>
      </x:c>
      <x:c r="I303" s="9" t="n">
        <x:v>17000</x:v>
      </x:c>
      <x:c r="J303" s="9" t="n">
        <x:v>9000</x:v>
      </x:c>
      <x:c r="K303" s="10" t="n">
        <x:v>0.1</x:v>
      </x:c>
      <x:c r="L303" s="2" t="str">
        <x:v>Completed</x:v>
      </x:c>
      <x:c r="M303" s="12" t="n">
        <x:f>H303*I303</x:f>
        <x:v>51000</x:v>
      </x:c>
      <x:c r="N303" s="12" t="n">
        <x:f>IF(L303="Completed",ROUND(M303*(1-K303),2),0)</x:f>
        <x:v>45900</x:v>
      </x:c>
      <x:c r="O303" s="12" t="n">
        <x:f>IF(L303="Completed",H303*J303,0)</x:f>
        <x:v>27000</x:v>
      </x:c>
      <x:c r="P303" s="12" t="n">
        <x:f>N303-O303</x:f>
        <x:v>18900</x:v>
      </x:c>
    </x:row>
    <x:row r="304" ht="21" customHeight="1">
      <x:c r="A304" s="7" t="n">
        <x:v>299</x:v>
      </x:c>
      <x:c r="B304" s="2" t="str">
        <x:v>TXN-00299</x:v>
      </x:c>
      <x:c r="C304" s="8" t="d">
        <x:v>2025-03-16T00:00:00.000Z</x:v>
      </x:c>
      <x:c r="D304" s="2" t="str">
        <x:v>Lagos</x:v>
      </x:c>
      <x:c r="E304" s="2" t="str">
        <x:v>Fashion</x:v>
      </x:c>
      <x:c r="F304" s="2" t="str">
        <x:v>Sneakers</x:v>
      </x:c>
      <x:c r="G304" s="2" t="str">
        <x:v>Online</x:v>
      </x:c>
      <x:c r="H304" s="7" t="n">
        <x:v>1</x:v>
      </x:c>
      <x:c r="I304" s="9" t="n">
        <x:v>28000</x:v>
      </x:c>
      <x:c r="J304" s="9" t="n">
        <x:v>17500</x:v>
      </x:c>
      <x:c r="K304" s="10" t="n">
        <x:v>0</x:v>
      </x:c>
      <x:c r="L304" s="2" t="str">
        <x:v>Completed</x:v>
      </x:c>
      <x:c r="M304" s="12" t="n">
        <x:f>H304*I304</x:f>
        <x:v>28000</x:v>
      </x:c>
      <x:c r="N304" s="12" t="n">
        <x:f>IF(L304="Completed",ROUND(M304*(1-K304),2),0)</x:f>
        <x:v>28000</x:v>
      </x:c>
      <x:c r="O304" s="12" t="n">
        <x:f>IF(L304="Completed",H304*J304,0)</x:f>
        <x:v>17500</x:v>
      </x:c>
      <x:c r="P304" s="12" t="n">
        <x:f>N304-O304</x:f>
        <x:v>10500</x:v>
      </x:c>
    </x:row>
    <x:row r="305" ht="21" customHeight="1">
      <x:c r="A305" s="7" t="n">
        <x:v>300</x:v>
      </x:c>
      <x:c r="B305" s="2" t="str">
        <x:v>TXN-00300</x:v>
      </x:c>
      <x:c r="C305" s="8" t="d">
        <x:v>2025-03-10T00:00:00.000Z</x:v>
      </x:c>
      <x:c r="D305" s="2" t="str">
        <x:v>Lagos</x:v>
      </x:c>
      <x:c r="E305" s="2" t="str">
        <x:v>Home</x:v>
      </x:c>
      <x:c r="F305" s="2" t="str">
        <x:v>Desk lamp</x:v>
      </x:c>
      <x:c r="G305" s="2" t="str">
        <x:v>In-store</x:v>
      </x:c>
      <x:c r="H305" s="7" t="n">
        <x:v>2</x:v>
      </x:c>
      <x:c r="I305" s="9" t="n">
        <x:v>12000</x:v>
      </x:c>
      <x:c r="J305" s="9" t="n">
        <x:v>7200</x:v>
      </x:c>
      <x:c r="K305" s="10" t="n">
        <x:v>0</x:v>
      </x:c>
      <x:c r="L305" s="2" t="str">
        <x:v>Completed</x:v>
      </x:c>
      <x:c r="M305" s="12" t="n">
        <x:f>H305*I305</x:f>
        <x:v>24000</x:v>
      </x:c>
      <x:c r="N305" s="12" t="n">
        <x:f>IF(L305="Completed",ROUND(M305*(1-K305),2),0)</x:f>
        <x:v>24000</x:v>
      </x:c>
      <x:c r="O305" s="12" t="n">
        <x:f>IF(L305="Completed",H305*J305,0)</x:f>
        <x:v>14400</x:v>
      </x:c>
      <x:c r="P305" s="12" t="n">
        <x:f>N305-O305</x:f>
        <x:v>9600</x:v>
      </x:c>
    </x:row>
    <x:row r="306" ht="21" customHeight="1">
      <x:c r="A306" s="7" t="n">
        <x:v>301</x:v>
      </x:c>
      <x:c r="B306" s="2" t="str">
        <x:v>TXN-00301</x:v>
      </x:c>
      <x:c r="C306" s="8" t="d">
        <x:v>2025-03-23T00:00:00.000Z</x:v>
      </x:c>
      <x:c r="D306" s="2" t="str">
        <x:v>Abuja</x:v>
      </x:c>
      <x:c r="E306" s="2" t="str">
        <x:v>Beauty</x:v>
      </x:c>
      <x:c r="F306" s="2" t="str">
        <x:v>Body wash</x:v>
      </x:c>
      <x:c r="G306" s="2" t="str">
        <x:v>In-store</x:v>
      </x:c>
      <x:c r="H306" s="7" t="n">
        <x:v>2</x:v>
      </x:c>
      <x:c r="I306" s="9" t="n">
        <x:v>4500</x:v>
      </x:c>
      <x:c r="J306" s="9" t="n">
        <x:v>2300</x:v>
      </x:c>
      <x:c r="K306" s="10" t="n">
        <x:v>0</x:v>
      </x:c>
      <x:c r="L306" s="2" t="str">
        <x:v>Completed</x:v>
      </x:c>
      <x:c r="M306" s="12" t="n">
        <x:f>H306*I306</x:f>
        <x:v>9000</x:v>
      </x:c>
      <x:c r="N306" s="12" t="n">
        <x:f>IF(L306="Completed",ROUND(M306*(1-K306),2),0)</x:f>
        <x:v>9000</x:v>
      </x:c>
      <x:c r="O306" s="12" t="n">
        <x:f>IF(L306="Completed",H306*J306,0)</x:f>
        <x:v>4600</x:v>
      </x:c>
      <x:c r="P306" s="12" t="n">
        <x:f>N306-O306</x:f>
        <x:v>4400</x:v>
      </x:c>
    </x:row>
    <x:row r="307" ht="21" customHeight="1">
      <x:c r="A307" s="7" t="n">
        <x:v>302</x:v>
      </x:c>
      <x:c r="B307" s="2" t="str">
        <x:v>TXN-00302</x:v>
      </x:c>
      <x:c r="C307" s="8" t="d">
        <x:v>2025-03-06T00:00:00.000Z</x:v>
      </x:c>
      <x:c r="D307" s="2" t="str">
        <x:v>Lagos</x:v>
      </x:c>
      <x:c r="E307" s="2" t="str">
        <x:v>Electronics</x:v>
      </x:c>
      <x:c r="F307" s="2" t="str">
        <x:v>Bluetooth speaker</x:v>
      </x:c>
      <x:c r="G307" s="2" t="str">
        <x:v>In-store</x:v>
      </x:c>
      <x:c r="H307" s="7" t="n">
        <x:v>2</x:v>
      </x:c>
      <x:c r="I307" s="9" t="n">
        <x:v>26000</x:v>
      </x:c>
      <x:c r="J307" s="9" t="n">
        <x:v>17000</x:v>
      </x:c>
      <x:c r="K307" s="10" t="n">
        <x:v>0.1</x:v>
      </x:c>
      <x:c r="L307" s="2" t="str">
        <x:v>Completed</x:v>
      </x:c>
      <x:c r="M307" s="12" t="n">
        <x:f>H307*I307</x:f>
        <x:v>52000</x:v>
      </x:c>
      <x:c r="N307" s="12" t="n">
        <x:f>IF(L307="Completed",ROUND(M307*(1-K307),2),0)</x:f>
        <x:v>46800</x:v>
      </x:c>
      <x:c r="O307" s="12" t="n">
        <x:f>IF(L307="Completed",H307*J307,0)</x:f>
        <x:v>34000</x:v>
      </x:c>
      <x:c r="P307" s="12" t="n">
        <x:f>N307-O307</x:f>
        <x:v>12800</x:v>
      </x:c>
    </x:row>
    <x:row r="308" ht="21" customHeight="1">
      <x:c r="A308" s="7" t="n">
        <x:v>303</x:v>
      </x:c>
      <x:c r="B308" s="2" t="str">
        <x:v>TXN-00303</x:v>
      </x:c>
      <x:c r="C308" s="8" t="d">
        <x:v>2025-03-14T00:00:00.000Z</x:v>
      </x:c>
      <x:c r="D308" s="2" t="str">
        <x:v>Lagos</x:v>
      </x:c>
      <x:c r="E308" s="2" t="str">
        <x:v>Home</x:v>
      </x:c>
      <x:c r="F308" s="2" t="str">
        <x:v>Cookware set</x:v>
      </x:c>
      <x:c r="G308" s="2" t="str">
        <x:v>Online</x:v>
      </x:c>
      <x:c r="H308" s="7" t="n">
        <x:v>3</x:v>
      </x:c>
      <x:c r="I308" s="9" t="n">
        <x:v>35000</x:v>
      </x:c>
      <x:c r="J308" s="9" t="n">
        <x:v>22500</x:v>
      </x:c>
      <x:c r="K308" s="10" t="n">
        <x:v>0.05</x:v>
      </x:c>
      <x:c r="L308" s="2" t="str">
        <x:v>Completed</x:v>
      </x:c>
      <x:c r="M308" s="12" t="n">
        <x:f>H308*I308</x:f>
        <x:v>105000</x:v>
      </x:c>
      <x:c r="N308" s="12" t="n">
        <x:f>IF(L308="Completed",ROUND(M308*(1-K308),2),0)</x:f>
        <x:v>99750</x:v>
      </x:c>
      <x:c r="O308" s="12" t="n">
        <x:f>IF(L308="Completed",H308*J308,0)</x:f>
        <x:v>67500</x:v>
      </x:c>
      <x:c r="P308" s="12" t="n">
        <x:f>N308-O308</x:f>
        <x:v>32250</x:v>
      </x:c>
    </x:row>
    <x:row r="309" ht="21" customHeight="1">
      <x:c r="A309" s="7" t="n">
        <x:v>304</x:v>
      </x:c>
      <x:c r="B309" s="2" t="str">
        <x:v>TXN-00304</x:v>
      </x:c>
      <x:c r="C309" s="8" t="d">
        <x:v>2025-03-14T00:00:00.000Z</x:v>
      </x:c>
      <x:c r="D309" s="2" t="str">
        <x:v>Lagos</x:v>
      </x:c>
      <x:c r="E309" s="2" t="str">
        <x:v>Fashion</x:v>
      </x:c>
      <x:c r="F309" s="2" t="str">
        <x:v>Handbag</x:v>
      </x:c>
      <x:c r="G309" s="2" t="str">
        <x:v>Online</x:v>
      </x:c>
      <x:c r="H309" s="7" t="n">
        <x:v>3</x:v>
      </x:c>
      <x:c r="I309" s="9" t="n">
        <x:v>22000</x:v>
      </x:c>
      <x:c r="J309" s="9" t="n">
        <x:v>13500</x:v>
      </x:c>
      <x:c r="K309" s="10" t="n">
        <x:v>0</x:v>
      </x:c>
      <x:c r="L309" s="2" t="str">
        <x:v>Completed</x:v>
      </x:c>
      <x:c r="M309" s="12" t="n">
        <x:f>H309*I309</x:f>
        <x:v>66000</x:v>
      </x:c>
      <x:c r="N309" s="12" t="n">
        <x:f>IF(L309="Completed",ROUND(M309*(1-K309),2),0)</x:f>
        <x:v>66000</x:v>
      </x:c>
      <x:c r="O309" s="12" t="n">
        <x:f>IF(L309="Completed",H309*J309,0)</x:f>
        <x:v>40500</x:v>
      </x:c>
      <x:c r="P309" s="12" t="n">
        <x:f>N309-O309</x:f>
        <x:v>25500</x:v>
      </x:c>
    </x:row>
    <x:row r="310" ht="21" customHeight="1">
      <x:c r="A310" s="7" t="n">
        <x:v>305</x:v>
      </x:c>
      <x:c r="B310" s="2" t="str">
        <x:v>TXN-00305</x:v>
      </x:c>
      <x:c r="C310" s="8" t="d">
        <x:v>2025-03-23T00:00:00.000Z</x:v>
      </x:c>
      <x:c r="D310" s="2" t="str">
        <x:v>Abuja</x:v>
      </x:c>
      <x:c r="E310" s="2" t="str">
        <x:v>Electronics</x:v>
      </x:c>
      <x:c r="F310" s="2" t="str">
        <x:v>Power bank</x:v>
      </x:c>
      <x:c r="G310" s="2" t="str">
        <x:v>In-store</x:v>
      </x:c>
      <x:c r="H310" s="7" t="n">
        <x:v>2</x:v>
      </x:c>
      <x:c r="I310" s="9" t="n">
        <x:v>15000</x:v>
      </x:c>
      <x:c r="J310" s="9" t="n">
        <x:v>9500</x:v>
      </x:c>
      <x:c r="K310" s="10" t="n">
        <x:v>0.15</x:v>
      </x:c>
      <x:c r="L310" s="2" t="str">
        <x:v>Completed</x:v>
      </x:c>
      <x:c r="M310" s="12" t="n">
        <x:f>H310*I310</x:f>
        <x:v>30000</x:v>
      </x:c>
      <x:c r="N310" s="12" t="n">
        <x:f>IF(L310="Completed",ROUND(M310*(1-K310),2),0)</x:f>
        <x:v>25500</x:v>
      </x:c>
      <x:c r="O310" s="12" t="n">
        <x:f>IF(L310="Completed",H310*J310,0)</x:f>
        <x:v>19000</x:v>
      </x:c>
      <x:c r="P310" s="12" t="n">
        <x:f>N310-O310</x:f>
        <x:v>6500</x:v>
      </x:c>
    </x:row>
    <x:row r="311" ht="21" customHeight="1">
      <x:c r="A311" s="7" t="n">
        <x:v>306</x:v>
      </x:c>
      <x:c r="B311" s="2" t="str">
        <x:v>TXN-00306</x:v>
      </x:c>
      <x:c r="C311" s="8" t="d">
        <x:v>2025-03-21T00:00:00.000Z</x:v>
      </x:c>
      <x:c r="D311" s="2" t="str">
        <x:v>Abuja</x:v>
      </x:c>
      <x:c r="E311" s="2" t="str">
        <x:v>Fashion</x:v>
      </x:c>
      <x:c r="F311" s="2" t="str">
        <x:v>Sneakers</x:v>
      </x:c>
      <x:c r="G311" s="2" t="str">
        <x:v>Online</x:v>
      </x:c>
      <x:c r="H311" s="7" t="n">
        <x:v>2</x:v>
      </x:c>
      <x:c r="I311" s="9" t="n">
        <x:v>28000</x:v>
      </x:c>
      <x:c r="J311" s="9" t="n">
        <x:v>17500</x:v>
      </x:c>
      <x:c r="K311" s="10" t="n">
        <x:v>0</x:v>
      </x:c>
      <x:c r="L311" s="2" t="str">
        <x:v>Completed</x:v>
      </x:c>
      <x:c r="M311" s="12" t="n">
        <x:f>H311*I311</x:f>
        <x:v>56000</x:v>
      </x:c>
      <x:c r="N311" s="12" t="n">
        <x:f>IF(L311="Completed",ROUND(M311*(1-K311),2),0)</x:f>
        <x:v>56000</x:v>
      </x:c>
      <x:c r="O311" s="12" t="n">
        <x:f>IF(L311="Completed",H311*J311,0)</x:f>
        <x:v>35000</x:v>
      </x:c>
      <x:c r="P311" s="12" t="n">
        <x:f>N311-O311</x:f>
        <x:v>21000</x:v>
      </x:c>
    </x:row>
    <x:row r="312" ht="21" customHeight="1">
      <x:c r="A312" s="7" t="n">
        <x:v>307</x:v>
      </x:c>
      <x:c r="B312" s="2" t="str">
        <x:v>TXN-00307</x:v>
      </x:c>
      <x:c r="C312" s="8" t="d">
        <x:v>2025-03-13T00:00:00.000Z</x:v>
      </x:c>
      <x:c r="D312" s="2" t="str">
        <x:v>Kano</x:v>
      </x:c>
      <x:c r="E312" s="2" t="str">
        <x:v>Beauty</x:v>
      </x:c>
      <x:c r="F312" s="2" t="str">
        <x:v>Perfume</x:v>
      </x:c>
      <x:c r="G312" s="2" t="str">
        <x:v>Online</x:v>
      </x:c>
      <x:c r="H312" s="7" t="n">
        <x:v>1</x:v>
      </x:c>
      <x:c r="I312" s="9" t="n">
        <x:v>17000</x:v>
      </x:c>
      <x:c r="J312" s="9" t="n">
        <x:v>9000</x:v>
      </x:c>
      <x:c r="K312" s="10" t="n">
        <x:v>0.1</x:v>
      </x:c>
      <x:c r="L312" s="2" t="str">
        <x:v>Completed</x:v>
      </x:c>
      <x:c r="M312" s="12" t="n">
        <x:f>H312*I312</x:f>
        <x:v>17000</x:v>
      </x:c>
      <x:c r="N312" s="12" t="n">
        <x:f>IF(L312="Completed",ROUND(M312*(1-K312),2),0)</x:f>
        <x:v>15300</x:v>
      </x:c>
      <x:c r="O312" s="12" t="n">
        <x:f>IF(L312="Completed",H312*J312,0)</x:f>
        <x:v>9000</x:v>
      </x:c>
      <x:c r="P312" s="12" t="n">
        <x:f>N312-O312</x:f>
        <x:v>6300</x:v>
      </x:c>
    </x:row>
    <x:row r="313" ht="21" customHeight="1">
      <x:c r="A313" s="7" t="n">
        <x:v>308</x:v>
      </x:c>
      <x:c r="B313" s="2" t="str">
        <x:v>TXN-00308</x:v>
      </x:c>
      <x:c r="C313" s="8" t="d">
        <x:v>2025-04-19T00:00:00.000Z</x:v>
      </x:c>
      <x:c r="D313" s="2" t="str">
        <x:v>Lagos</x:v>
      </x:c>
      <x:c r="E313" s="2" t="str">
        <x:v>Electronics</x:v>
      </x:c>
      <x:c r="F313" s="2" t="str">
        <x:v>Power bank</x:v>
      </x:c>
      <x:c r="G313" s="2" t="str">
        <x:v>Online</x:v>
      </x:c>
      <x:c r="H313" s="7" t="n">
        <x:v>1</x:v>
      </x:c>
      <x:c r="I313" s="9" t="n">
        <x:v>15000</x:v>
      </x:c>
      <x:c r="J313" s="9" t="n">
        <x:v>9500</x:v>
      </x:c>
      <x:c r="K313" s="10" t="n">
        <x:v>0.1</x:v>
      </x:c>
      <x:c r="L313" s="2" t="str">
        <x:v>Completed</x:v>
      </x:c>
      <x:c r="M313" s="12" t="n">
        <x:f>H313*I313</x:f>
        <x:v>15000</x:v>
      </x:c>
      <x:c r="N313" s="12" t="n">
        <x:f>IF(L313="Completed",ROUND(M313*(1-K313),2),0)</x:f>
        <x:v>13500</x:v>
      </x:c>
      <x:c r="O313" s="12" t="n">
        <x:f>IF(L313="Completed",H313*J313,0)</x:f>
        <x:v>9500</x:v>
      </x:c>
      <x:c r="P313" s="12" t="n">
        <x:f>N313-O313</x:f>
        <x:v>4000</x:v>
      </x:c>
    </x:row>
    <x:row r="314" ht="21" customHeight="1">
      <x:c r="A314" s="7" t="n">
        <x:v>309</x:v>
      </x:c>
      <x:c r="B314" s="2" t="str">
        <x:v>TXN-00309</x:v>
      </x:c>
      <x:c r="C314" s="8" t="d">
        <x:v>2025-04-06T00:00:00.000Z</x:v>
      </x:c>
      <x:c r="D314" s="2" t="str">
        <x:v>Lagos</x:v>
      </x:c>
      <x:c r="E314" s="2" t="str">
        <x:v>Home</x:v>
      </x:c>
      <x:c r="F314" s="2" t="str">
        <x:v>Bedsheet</x:v>
      </x:c>
      <x:c r="G314" s="2" t="str">
        <x:v>In-store</x:v>
      </x:c>
      <x:c r="H314" s="7" t="n">
        <x:v>1</x:v>
      </x:c>
      <x:c r="I314" s="9" t="n">
        <x:v>14000</x:v>
      </x:c>
      <x:c r="J314" s="9" t="n">
        <x:v>8500</x:v>
      </x:c>
      <x:c r="K314" s="10" t="n">
        <x:v>0.15</x:v>
      </x:c>
      <x:c r="L314" s="2" t="str">
        <x:v>Completed</x:v>
      </x:c>
      <x:c r="M314" s="12" t="n">
        <x:f>H314*I314</x:f>
        <x:v>14000</x:v>
      </x:c>
      <x:c r="N314" s="12" t="n">
        <x:f>IF(L314="Completed",ROUND(M314*(1-K314),2),0)</x:f>
        <x:v>11900</x:v>
      </x:c>
      <x:c r="O314" s="12" t="n">
        <x:f>IF(L314="Completed",H314*J314,0)</x:f>
        <x:v>8500</x:v>
      </x:c>
      <x:c r="P314" s="12" t="n">
        <x:f>N314-O314</x:f>
        <x:v>3400</x:v>
      </x:c>
    </x:row>
    <x:row r="315" ht="21" customHeight="1">
      <x:c r="A315" s="7" t="n">
        <x:v>310</x:v>
      </x:c>
      <x:c r="B315" s="2" t="str">
        <x:v>TXN-00310</x:v>
      </x:c>
      <x:c r="C315" s="8" t="d">
        <x:v>2025-04-17T00:00:00.000Z</x:v>
      </x:c>
      <x:c r="D315" s="2" t="str">
        <x:v>Abuja</x:v>
      </x:c>
      <x:c r="E315" s="2" t="str">
        <x:v>Fashion</x:v>
      </x:c>
      <x:c r="F315" s="2" t="str">
        <x:v>Handbag</x:v>
      </x:c>
      <x:c r="G315" s="2" t="str">
        <x:v>In-store</x:v>
      </x:c>
      <x:c r="H315" s="7" t="n">
        <x:v>2</x:v>
      </x:c>
      <x:c r="I315" s="9" t="n">
        <x:v>22000</x:v>
      </x:c>
      <x:c r="J315" s="9" t="n">
        <x:v>13500</x:v>
      </x:c>
      <x:c r="K315" s="10" t="n">
        <x:v>0</x:v>
      </x:c>
      <x:c r="L315" s="2" t="str">
        <x:v>Returned</x:v>
      </x:c>
      <x:c r="M315" s="12" t="n">
        <x:f>H315*I315</x:f>
        <x:v>44000</x:v>
      </x:c>
      <x:c r="N315" s="12" t="n">
        <x:f>IF(L315="Completed",ROUND(M315*(1-K315),2),0)</x:f>
        <x:v>0</x:v>
      </x:c>
      <x:c r="O315" s="12" t="n">
        <x:f>IF(L315="Completed",H315*J315,0)</x:f>
        <x:v>0</x:v>
      </x:c>
      <x:c r="P315" s="12" t="n">
        <x:f>N315-O315</x:f>
        <x:v>0</x:v>
      </x:c>
    </x:row>
    <x:row r="316" ht="21" customHeight="1">
      <x:c r="A316" s="7" t="n">
        <x:v>311</x:v>
      </x:c>
      <x:c r="B316" s="2" t="str">
        <x:v>TXN-00311</x:v>
      </x:c>
      <x:c r="C316" s="8" t="d">
        <x:v>2025-04-12T00:00:00.000Z</x:v>
      </x:c>
      <x:c r="D316" s="2" t="str">
        <x:v>Lagos</x:v>
      </x:c>
      <x:c r="E316" s="2" t="str">
        <x:v>Beauty</x:v>
      </x:c>
      <x:c r="F316" s="2" t="str">
        <x:v>Moisturizer</x:v>
      </x:c>
      <x:c r="G316" s="2" t="str">
        <x:v>Online</x:v>
      </x:c>
      <x:c r="H316" s="7" t="n">
        <x:v>2</x:v>
      </x:c>
      <x:c r="I316" s="9" t="n">
        <x:v>6500</x:v>
      </x:c>
      <x:c r="J316" s="9" t="n">
        <x:v>3500</x:v>
      </x:c>
      <x:c r="K316" s="10" t="n">
        <x:v>0.1</x:v>
      </x:c>
      <x:c r="L316" s="2" t="str">
        <x:v>Completed</x:v>
      </x:c>
      <x:c r="M316" s="12" t="n">
        <x:f>H316*I316</x:f>
        <x:v>13000</x:v>
      </x:c>
      <x:c r="N316" s="12" t="n">
        <x:f>IF(L316="Completed",ROUND(M316*(1-K316),2),0)</x:f>
        <x:v>11700</x:v>
      </x:c>
      <x:c r="O316" s="12" t="n">
        <x:f>IF(L316="Completed",H316*J316,0)</x:f>
        <x:v>7000</x:v>
      </x:c>
      <x:c r="P316" s="12" t="n">
        <x:f>N316-O316</x:f>
        <x:v>4700</x:v>
      </x:c>
    </x:row>
    <x:row r="317" ht="21" customHeight="1">
      <x:c r="A317" s="7" t="n">
        <x:v>312</x:v>
      </x:c>
      <x:c r="B317" s="2" t="str">
        <x:v>TXN-00312</x:v>
      </x:c>
      <x:c r="C317" s="8" t="d">
        <x:v>2025-04-30T00:00:00.000Z</x:v>
      </x:c>
      <x:c r="D317" s="2" t="str">
        <x:v>Lagos</x:v>
      </x:c>
      <x:c r="E317" s="2" t="str">
        <x:v>Electronics</x:v>
      </x:c>
      <x:c r="F317" s="2" t="str">
        <x:v>Headphones</x:v>
      </x:c>
      <x:c r="G317" s="2" t="str">
        <x:v>In-store</x:v>
      </x:c>
      <x:c r="H317" s="7" t="n">
        <x:v>3</x:v>
      </x:c>
      <x:c r="I317" s="9" t="n">
        <x:v>18000</x:v>
      </x:c>
      <x:c r="J317" s="9" t="n">
        <x:v>10500</x:v>
      </x:c>
      <x:c r="K317" s="10" t="n">
        <x:v>0</x:v>
      </x:c>
      <x:c r="L317" s="2" t="str">
        <x:v>Completed</x:v>
      </x:c>
      <x:c r="M317" s="12" t="n">
        <x:f>H317*I317</x:f>
        <x:v>54000</x:v>
      </x:c>
      <x:c r="N317" s="12" t="n">
        <x:f>IF(L317="Completed",ROUND(M317*(1-K317),2),0)</x:f>
        <x:v>54000</x:v>
      </x:c>
      <x:c r="O317" s="12" t="n">
        <x:f>IF(L317="Completed",H317*J317,0)</x:f>
        <x:v>31500</x:v>
      </x:c>
      <x:c r="P317" s="12" t="n">
        <x:f>N317-O317</x:f>
        <x:v>22500</x:v>
      </x:c>
    </x:row>
    <x:row r="318" ht="21" customHeight="1">
      <x:c r="A318" s="7" t="n">
        <x:v>313</x:v>
      </x:c>
      <x:c r="B318" s="2" t="str">
        <x:v>TXN-00313</x:v>
      </x:c>
      <x:c r="C318" s="8" t="d">
        <x:v>2025-04-26T00:00:00.000Z</x:v>
      </x:c>
      <x:c r="D318" s="2" t="str">
        <x:v>Lagos</x:v>
      </x:c>
      <x:c r="E318" s="2" t="str">
        <x:v>Beauty</x:v>
      </x:c>
      <x:c r="F318" s="2" t="str">
        <x:v>Moisturizer</x:v>
      </x:c>
      <x:c r="G318" s="2" t="str">
        <x:v>Online</x:v>
      </x:c>
      <x:c r="H318" s="7" t="n">
        <x:v>4</x:v>
      </x:c>
      <x:c r="I318" s="9" t="n">
        <x:v>6500</x:v>
      </x:c>
      <x:c r="J318" s="9" t="n">
        <x:v>3500</x:v>
      </x:c>
      <x:c r="K318" s="10" t="n">
        <x:v>0.05</x:v>
      </x:c>
      <x:c r="L318" s="2" t="str">
        <x:v>Completed</x:v>
      </x:c>
      <x:c r="M318" s="12" t="n">
        <x:f>H318*I318</x:f>
        <x:v>26000</x:v>
      </x:c>
      <x:c r="N318" s="12" t="n">
        <x:f>IF(L318="Completed",ROUND(M318*(1-K318),2),0)</x:f>
        <x:v>24700</x:v>
      </x:c>
      <x:c r="O318" s="12" t="n">
        <x:f>IF(L318="Completed",H318*J318,0)</x:f>
        <x:v>14000</x:v>
      </x:c>
      <x:c r="P318" s="12" t="n">
        <x:f>N318-O318</x:f>
        <x:v>10700</x:v>
      </x:c>
    </x:row>
    <x:row r="319" ht="21" customHeight="1">
      <x:c r="A319" s="7" t="n">
        <x:v>314</x:v>
      </x:c>
      <x:c r="B319" s="2" t="str">
        <x:v>TXN-00314</x:v>
      </x:c>
      <x:c r="C319" s="8" t="d">
        <x:v>2025-04-01T00:00:00.000Z</x:v>
      </x:c>
      <x:c r="D319" s="2" t="str">
        <x:v>Port Harcourt</x:v>
      </x:c>
      <x:c r="E319" s="2" t="str">
        <x:v>Beauty</x:v>
      </x:c>
      <x:c r="F319" s="2" t="str">
        <x:v>Moisturizer</x:v>
      </x:c>
      <x:c r="G319" s="2" t="str">
        <x:v>In-store</x:v>
      </x:c>
      <x:c r="H319" s="7" t="n">
        <x:v>1</x:v>
      </x:c>
      <x:c r="I319" s="9" t="n">
        <x:v>6500</x:v>
      </x:c>
      <x:c r="J319" s="9" t="n">
        <x:v>3500</x:v>
      </x:c>
      <x:c r="K319" s="10" t="n">
        <x:v>0</x:v>
      </x:c>
      <x:c r="L319" s="2" t="str">
        <x:v>Completed</x:v>
      </x:c>
      <x:c r="M319" s="12" t="n">
        <x:f>H319*I319</x:f>
        <x:v>6500</x:v>
      </x:c>
      <x:c r="N319" s="12" t="n">
        <x:f>IF(L319="Completed",ROUND(M319*(1-K319),2),0)</x:f>
        <x:v>6500</x:v>
      </x:c>
      <x:c r="O319" s="12" t="n">
        <x:f>IF(L319="Completed",H319*J319,0)</x:f>
        <x:v>3500</x:v>
      </x:c>
      <x:c r="P319" s="12" t="n">
        <x:f>N319-O319</x:f>
        <x:v>3000</x:v>
      </x:c>
    </x:row>
    <x:row r="320" ht="21" customHeight="1">
      <x:c r="A320" s="7" t="n">
        <x:v>315</x:v>
      </x:c>
      <x:c r="B320" s="2" t="str">
        <x:v>TXN-00315</x:v>
      </x:c>
      <x:c r="C320" s="8" t="d">
        <x:v>2025-04-04T00:00:00.000Z</x:v>
      </x:c>
      <x:c r="D320" s="2" t="str">
        <x:v>Lagos</x:v>
      </x:c>
      <x:c r="E320" s="2" t="str">
        <x:v>Electronics</x:v>
      </x:c>
      <x:c r="F320" s="2" t="str">
        <x:v>Bluetooth speaker</x:v>
      </x:c>
      <x:c r="G320" s="2" t="str">
        <x:v>Online</x:v>
      </x:c>
      <x:c r="H320" s="7" t="n">
        <x:v>2</x:v>
      </x:c>
      <x:c r="I320" s="9" t="n">
        <x:v>26000</x:v>
      </x:c>
      <x:c r="J320" s="9" t="n">
        <x:v>17000</x:v>
      </x:c>
      <x:c r="K320" s="10" t="n">
        <x:v>0.05</x:v>
      </x:c>
      <x:c r="L320" s="2" t="str">
        <x:v>Completed</x:v>
      </x:c>
      <x:c r="M320" s="12" t="n">
        <x:f>H320*I320</x:f>
        <x:v>52000</x:v>
      </x:c>
      <x:c r="N320" s="12" t="n">
        <x:f>IF(L320="Completed",ROUND(M320*(1-K320),2),0)</x:f>
        <x:v>49400</x:v>
      </x:c>
      <x:c r="O320" s="12" t="n">
        <x:f>IF(L320="Completed",H320*J320,0)</x:f>
        <x:v>34000</x:v>
      </x:c>
      <x:c r="P320" s="12" t="n">
        <x:f>N320-O320</x:f>
        <x:v>15400</x:v>
      </x:c>
    </x:row>
    <x:row r="321" ht="21" customHeight="1">
      <x:c r="A321" s="7" t="n">
        <x:v>316</x:v>
      </x:c>
      <x:c r="B321" s="2" t="str">
        <x:v>TXN-00316</x:v>
      </x:c>
      <x:c r="C321" s="8" t="d">
        <x:v>2025-04-14T00:00:00.000Z</x:v>
      </x:c>
      <x:c r="D321" s="2" t="str">
        <x:v>Abuja</x:v>
      </x:c>
      <x:c r="E321" s="2" t="str">
        <x:v>Fashion</x:v>
      </x:c>
      <x:c r="F321" s="2" t="str">
        <x:v>Handbag</x:v>
      </x:c>
      <x:c r="G321" s="2" t="str">
        <x:v>Online</x:v>
      </x:c>
      <x:c r="H321" s="7" t="n">
        <x:v>1</x:v>
      </x:c>
      <x:c r="I321" s="9" t="n">
        <x:v>22000</x:v>
      </x:c>
      <x:c r="J321" s="9" t="n">
        <x:v>13500</x:v>
      </x:c>
      <x:c r="K321" s="10" t="n">
        <x:v>0.1</x:v>
      </x:c>
      <x:c r="L321" s="2" t="str">
        <x:v>Completed</x:v>
      </x:c>
      <x:c r="M321" s="12" t="n">
        <x:f>H321*I321</x:f>
        <x:v>22000</x:v>
      </x:c>
      <x:c r="N321" s="12" t="n">
        <x:f>IF(L321="Completed",ROUND(M321*(1-K321),2),0)</x:f>
        <x:v>19800</x:v>
      </x:c>
      <x:c r="O321" s="12" t="n">
        <x:f>IF(L321="Completed",H321*J321,0)</x:f>
        <x:v>13500</x:v>
      </x:c>
      <x:c r="P321" s="12" t="n">
        <x:f>N321-O321</x:f>
        <x:v>6300</x:v>
      </x:c>
    </x:row>
    <x:row r="322" ht="21" customHeight="1">
      <x:c r="A322" s="7" t="n">
        <x:v>317</x:v>
      </x:c>
      <x:c r="B322" s="2" t="str">
        <x:v>TXN-00317</x:v>
      </x:c>
      <x:c r="C322" s="8" t="d">
        <x:v>2025-04-14T00:00:00.000Z</x:v>
      </x:c>
      <x:c r="D322" s="2" t="str">
        <x:v>Lagos</x:v>
      </x:c>
      <x:c r="E322" s="2" t="str">
        <x:v>Fashion</x:v>
      </x:c>
      <x:c r="F322" s="2" t="str">
        <x:v>T-shirt</x:v>
      </x:c>
      <x:c r="G322" s="2" t="str">
        <x:v>In-store</x:v>
      </x:c>
      <x:c r="H322" s="7" t="n">
        <x:v>1</x:v>
      </x:c>
      <x:c r="I322" s="9" t="n">
        <x:v>9000</x:v>
      </x:c>
      <x:c r="J322" s="9" t="n">
        <x:v>5000</x:v>
      </x:c>
      <x:c r="K322" s="10" t="n">
        <x:v>0</x:v>
      </x:c>
      <x:c r="L322" s="2" t="str">
        <x:v>Returned</x:v>
      </x:c>
      <x:c r="M322" s="12" t="n">
        <x:f>H322*I322</x:f>
        <x:v>9000</x:v>
      </x:c>
      <x:c r="N322" s="12" t="n">
        <x:f>IF(L322="Completed",ROUND(M322*(1-K322),2),0)</x:f>
        <x:v>0</x:v>
      </x:c>
      <x:c r="O322" s="12" t="n">
        <x:f>IF(L322="Completed",H322*J322,0)</x:f>
        <x:v>0</x:v>
      </x:c>
      <x:c r="P322" s="12" t="n">
        <x:f>N322-O322</x:f>
        <x:v>0</x:v>
      </x:c>
    </x:row>
    <x:row r="323" ht="21" customHeight="1">
      <x:c r="A323" s="7" t="n">
        <x:v>318</x:v>
      </x:c>
      <x:c r="B323" s="2" t="str">
        <x:v>TXN-00318</x:v>
      </x:c>
      <x:c r="C323" s="8" t="d">
        <x:v>2025-04-24T00:00:00.000Z</x:v>
      </x:c>
      <x:c r="D323" s="2" t="str">
        <x:v>Port Harcourt</x:v>
      </x:c>
      <x:c r="E323" s="2" t="str">
        <x:v>Electronics</x:v>
      </x:c>
      <x:c r="F323" s="2" t="str">
        <x:v>Headphones</x:v>
      </x:c>
      <x:c r="G323" s="2" t="str">
        <x:v>In-store</x:v>
      </x:c>
      <x:c r="H323" s="7" t="n">
        <x:v>1</x:v>
      </x:c>
      <x:c r="I323" s="9" t="n">
        <x:v>18000</x:v>
      </x:c>
      <x:c r="J323" s="9" t="n">
        <x:v>10500</x:v>
      </x:c>
      <x:c r="K323" s="10" t="n">
        <x:v>0</x:v>
      </x:c>
      <x:c r="L323" s="2" t="str">
        <x:v>Completed</x:v>
      </x:c>
      <x:c r="M323" s="12" t="n">
        <x:f>H323*I323</x:f>
        <x:v>18000</x:v>
      </x:c>
      <x:c r="N323" s="12" t="n">
        <x:f>IF(L323="Completed",ROUND(M323*(1-K323),2),0)</x:f>
        <x:v>18000</x:v>
      </x:c>
      <x:c r="O323" s="12" t="n">
        <x:f>IF(L323="Completed",H323*J323,0)</x:f>
        <x:v>10500</x:v>
      </x:c>
      <x:c r="P323" s="12" t="n">
        <x:f>N323-O323</x:f>
        <x:v>7500</x:v>
      </x:c>
    </x:row>
    <x:row r="324" ht="21" customHeight="1">
      <x:c r="A324" s="7" t="n">
        <x:v>319</x:v>
      </x:c>
      <x:c r="B324" s="2" t="str">
        <x:v>TXN-00319</x:v>
      </x:c>
      <x:c r="C324" s="8" t="d">
        <x:v>2025-04-04T00:00:00.000Z</x:v>
      </x:c>
      <x:c r="D324" s="2" t="str">
        <x:v>Abuja</x:v>
      </x:c>
      <x:c r="E324" s="2" t="str">
        <x:v>Fashion</x:v>
      </x:c>
      <x:c r="F324" s="2" t="str">
        <x:v>T-shirt</x:v>
      </x:c>
      <x:c r="G324" s="2" t="str">
        <x:v>Online</x:v>
      </x:c>
      <x:c r="H324" s="7" t="n">
        <x:v>1</x:v>
      </x:c>
      <x:c r="I324" s="9" t="n">
        <x:v>9000</x:v>
      </x:c>
      <x:c r="J324" s="9" t="n">
        <x:v>5000</x:v>
      </x:c>
      <x:c r="K324" s="10" t="n">
        <x:v>0.1</x:v>
      </x:c>
      <x:c r="L324" s="2" t="str">
        <x:v>Completed</x:v>
      </x:c>
      <x:c r="M324" s="12" t="n">
        <x:f>H324*I324</x:f>
        <x:v>9000</x:v>
      </x:c>
      <x:c r="N324" s="12" t="n">
        <x:f>IF(L324="Completed",ROUND(M324*(1-K324),2),0)</x:f>
        <x:v>8100</x:v>
      </x:c>
      <x:c r="O324" s="12" t="n">
        <x:f>IF(L324="Completed",H324*J324,0)</x:f>
        <x:v>5000</x:v>
      </x:c>
      <x:c r="P324" s="12" t="n">
        <x:f>N324-O324</x:f>
        <x:v>3100</x:v>
      </x:c>
    </x:row>
    <x:row r="325" ht="21" customHeight="1">
      <x:c r="A325" s="7" t="n">
        <x:v>320</x:v>
      </x:c>
      <x:c r="B325" s="2" t="str">
        <x:v>TXN-00320</x:v>
      </x:c>
      <x:c r="C325" s="8" t="d">
        <x:v>2025-04-02T00:00:00.000Z</x:v>
      </x:c>
      <x:c r="D325" s="2" t="str">
        <x:v>Abuja</x:v>
      </x:c>
      <x:c r="E325" s="2" t="str">
        <x:v>Fashion</x:v>
      </x:c>
      <x:c r="F325" s="2" t="str">
        <x:v>Sneakers</x:v>
      </x:c>
      <x:c r="G325" s="2" t="str">
        <x:v>In-store</x:v>
      </x:c>
      <x:c r="H325" s="7" t="n">
        <x:v>4</x:v>
      </x:c>
      <x:c r="I325" s="9" t="n">
        <x:v>28000</x:v>
      </x:c>
      <x:c r="J325" s="9" t="n">
        <x:v>17500</x:v>
      </x:c>
      <x:c r="K325" s="10" t="n">
        <x:v>0.05</x:v>
      </x:c>
      <x:c r="L325" s="2" t="str">
        <x:v>Completed</x:v>
      </x:c>
      <x:c r="M325" s="12" t="n">
        <x:f>H325*I325</x:f>
        <x:v>112000</x:v>
      </x:c>
      <x:c r="N325" s="12" t="n">
        <x:f>IF(L325="Completed",ROUND(M325*(1-K325),2),0)</x:f>
        <x:v>106400</x:v>
      </x:c>
      <x:c r="O325" s="12" t="n">
        <x:f>IF(L325="Completed",H325*J325,0)</x:f>
        <x:v>70000</x:v>
      </x:c>
      <x:c r="P325" s="12" t="n">
        <x:f>N325-O325</x:f>
        <x:v>36400</x:v>
      </x:c>
    </x:row>
    <x:row r="326" ht="21" customHeight="1">
      <x:c r="A326" s="7" t="n">
        <x:v>321</x:v>
      </x:c>
      <x:c r="B326" s="2" t="str">
        <x:v>TXN-00321</x:v>
      </x:c>
      <x:c r="C326" s="8" t="d">
        <x:v>2025-04-02T00:00:00.000Z</x:v>
      </x:c>
      <x:c r="D326" s="2" t="str">
        <x:v>Lagos</x:v>
      </x:c>
      <x:c r="E326" s="2" t="str">
        <x:v>Beauty</x:v>
      </x:c>
      <x:c r="F326" s="2" t="str">
        <x:v>Moisturizer</x:v>
      </x:c>
      <x:c r="G326" s="2" t="str">
        <x:v>Online</x:v>
      </x:c>
      <x:c r="H326" s="7" t="n">
        <x:v>1</x:v>
      </x:c>
      <x:c r="I326" s="9" t="n">
        <x:v>6500</x:v>
      </x:c>
      <x:c r="J326" s="9" t="n">
        <x:v>3500</x:v>
      </x:c>
      <x:c r="K326" s="10" t="n">
        <x:v>0</x:v>
      </x:c>
      <x:c r="L326" s="2" t="str">
        <x:v>Completed</x:v>
      </x:c>
      <x:c r="M326" s="12" t="n">
        <x:f>H326*I326</x:f>
        <x:v>6500</x:v>
      </x:c>
      <x:c r="N326" s="12" t="n">
        <x:f>IF(L326="Completed",ROUND(M326*(1-K326),2),0)</x:f>
        <x:v>6500</x:v>
      </x:c>
      <x:c r="O326" s="12" t="n">
        <x:f>IF(L326="Completed",H326*J326,0)</x:f>
        <x:v>3500</x:v>
      </x:c>
      <x:c r="P326" s="12" t="n">
        <x:f>N326-O326</x:f>
        <x:v>3000</x:v>
      </x:c>
    </x:row>
    <x:row r="327" ht="21" customHeight="1">
      <x:c r="A327" s="7" t="n">
        <x:v>322</x:v>
      </x:c>
      <x:c r="B327" s="2" t="str">
        <x:v>TXN-00322</x:v>
      </x:c>
      <x:c r="C327" s="8" t="d">
        <x:v>2025-04-03T00:00:00.000Z</x:v>
      </x:c>
      <x:c r="D327" s="2" t="str">
        <x:v>Lagos</x:v>
      </x:c>
      <x:c r="E327" s="2" t="str">
        <x:v>Beauty</x:v>
      </x:c>
      <x:c r="F327" s="2" t="str">
        <x:v>Moisturizer</x:v>
      </x:c>
      <x:c r="G327" s="2" t="str">
        <x:v>Online</x:v>
      </x:c>
      <x:c r="H327" s="7" t="n">
        <x:v>2</x:v>
      </x:c>
      <x:c r="I327" s="9" t="n">
        <x:v>6500</x:v>
      </x:c>
      <x:c r="J327" s="9" t="n">
        <x:v>3500</x:v>
      </x:c>
      <x:c r="K327" s="10" t="n">
        <x:v>0</x:v>
      </x:c>
      <x:c r="L327" s="2" t="str">
        <x:v>Completed</x:v>
      </x:c>
      <x:c r="M327" s="12" t="n">
        <x:f>H327*I327</x:f>
        <x:v>13000</x:v>
      </x:c>
      <x:c r="N327" s="12" t="n">
        <x:f>IF(L327="Completed",ROUND(M327*(1-K327),2),0)</x:f>
        <x:v>13000</x:v>
      </x:c>
      <x:c r="O327" s="12" t="n">
        <x:f>IF(L327="Completed",H327*J327,0)</x:f>
        <x:v>7000</x:v>
      </x:c>
      <x:c r="P327" s="12" t="n">
        <x:f>N327-O327</x:f>
        <x:v>6000</x:v>
      </x:c>
    </x:row>
    <x:row r="328" ht="21" customHeight="1">
      <x:c r="A328" s="7" t="n">
        <x:v>323</x:v>
      </x:c>
      <x:c r="B328" s="2" t="str">
        <x:v>TXN-00323</x:v>
      </x:c>
      <x:c r="C328" s="8" t="d">
        <x:v>2025-04-11T00:00:00.000Z</x:v>
      </x:c>
      <x:c r="D328" s="2" t="str">
        <x:v>Lagos</x:v>
      </x:c>
      <x:c r="E328" s="2" t="str">
        <x:v>Fashion</x:v>
      </x:c>
      <x:c r="F328" s="2" t="str">
        <x:v>Handbag</x:v>
      </x:c>
      <x:c r="G328" s="2" t="str">
        <x:v>Online</x:v>
      </x:c>
      <x:c r="H328" s="7" t="n">
        <x:v>1</x:v>
      </x:c>
      <x:c r="I328" s="9" t="n">
        <x:v>22000</x:v>
      </x:c>
      <x:c r="J328" s="9" t="n">
        <x:v>13500</x:v>
      </x:c>
      <x:c r="K328" s="10" t="n">
        <x:v>0</x:v>
      </x:c>
      <x:c r="L328" s="2" t="str">
        <x:v>Completed</x:v>
      </x:c>
      <x:c r="M328" s="12" t="n">
        <x:f>H328*I328</x:f>
        <x:v>22000</x:v>
      </x:c>
      <x:c r="N328" s="12" t="n">
        <x:f>IF(L328="Completed",ROUND(M328*(1-K328),2),0)</x:f>
        <x:v>22000</x:v>
      </x:c>
      <x:c r="O328" s="12" t="n">
        <x:f>IF(L328="Completed",H328*J328,0)</x:f>
        <x:v>13500</x:v>
      </x:c>
      <x:c r="P328" s="12" t="n">
        <x:f>N328-O328</x:f>
        <x:v>8500</x:v>
      </x:c>
    </x:row>
    <x:row r="329" ht="21" customHeight="1">
      <x:c r="A329" s="7" t="n">
        <x:v>324</x:v>
      </x:c>
      <x:c r="B329" s="2" t="str">
        <x:v>TXN-00324</x:v>
      </x:c>
      <x:c r="C329" s="8" t="d">
        <x:v>2025-04-14T00:00:00.000Z</x:v>
      </x:c>
      <x:c r="D329" s="2" t="str">
        <x:v>Port Harcourt</x:v>
      </x:c>
      <x:c r="E329" s="2" t="str">
        <x:v>Electronics</x:v>
      </x:c>
      <x:c r="F329" s="2" t="str">
        <x:v>Power bank</x:v>
      </x:c>
      <x:c r="G329" s="2" t="str">
        <x:v>In-store</x:v>
      </x:c>
      <x:c r="H329" s="7" t="n">
        <x:v>3</x:v>
      </x:c>
      <x:c r="I329" s="9" t="n">
        <x:v>15000</x:v>
      </x:c>
      <x:c r="J329" s="9" t="n">
        <x:v>9500</x:v>
      </x:c>
      <x:c r="K329" s="10" t="n">
        <x:v>0.1</x:v>
      </x:c>
      <x:c r="L329" s="2" t="str">
        <x:v>Completed</x:v>
      </x:c>
      <x:c r="M329" s="12" t="n">
        <x:f>H329*I329</x:f>
        <x:v>45000</x:v>
      </x:c>
      <x:c r="N329" s="12" t="n">
        <x:f>IF(L329="Completed",ROUND(M329*(1-K329),2),0)</x:f>
        <x:v>40500</x:v>
      </x:c>
      <x:c r="O329" s="12" t="n">
        <x:f>IF(L329="Completed",H329*J329,0)</x:f>
        <x:v>28500</x:v>
      </x:c>
      <x:c r="P329" s="12" t="n">
        <x:f>N329-O329</x:f>
        <x:v>12000</x:v>
      </x:c>
    </x:row>
    <x:row r="330" ht="21" customHeight="1">
      <x:c r="A330" s="7" t="n">
        <x:v>325</x:v>
      </x:c>
      <x:c r="B330" s="2" t="str">
        <x:v>TXN-00325</x:v>
      </x:c>
      <x:c r="C330" s="8" t="d">
        <x:v>2025-04-16T00:00:00.000Z</x:v>
      </x:c>
      <x:c r="D330" s="2" t="str">
        <x:v>Port Harcourt</x:v>
      </x:c>
      <x:c r="E330" s="2" t="str">
        <x:v>Home</x:v>
      </x:c>
      <x:c r="F330" s="2" t="str">
        <x:v>Cookware set</x:v>
      </x:c>
      <x:c r="G330" s="2" t="str">
        <x:v>In-store</x:v>
      </x:c>
      <x:c r="H330" s="7" t="n">
        <x:v>1</x:v>
      </x:c>
      <x:c r="I330" s="9" t="n">
        <x:v>35000</x:v>
      </x:c>
      <x:c r="J330" s="9" t="n">
        <x:v>22500</x:v>
      </x:c>
      <x:c r="K330" s="10" t="n">
        <x:v>0.15</x:v>
      </x:c>
      <x:c r="L330" s="2" t="str">
        <x:v>Completed</x:v>
      </x:c>
      <x:c r="M330" s="12" t="n">
        <x:f>H330*I330</x:f>
        <x:v>35000</x:v>
      </x:c>
      <x:c r="N330" s="12" t="n">
        <x:f>IF(L330="Completed",ROUND(M330*(1-K330),2),0)</x:f>
        <x:v>29750</x:v>
      </x:c>
      <x:c r="O330" s="12" t="n">
        <x:f>IF(L330="Completed",H330*J330,0)</x:f>
        <x:v>22500</x:v>
      </x:c>
      <x:c r="P330" s="12" t="n">
        <x:f>N330-O330</x:f>
        <x:v>7250</x:v>
      </x:c>
    </x:row>
    <x:row r="331" ht="21" customHeight="1">
      <x:c r="A331" s="7" t="n">
        <x:v>326</x:v>
      </x:c>
      <x:c r="B331" s="2" t="str">
        <x:v>TXN-00326</x:v>
      </x:c>
      <x:c r="C331" s="8" t="d">
        <x:v>2025-04-03T00:00:00.000Z</x:v>
      </x:c>
      <x:c r="D331" s="2" t="str">
        <x:v>Port Harcourt</x:v>
      </x:c>
      <x:c r="E331" s="2" t="str">
        <x:v>Fashion</x:v>
      </x:c>
      <x:c r="F331" s="2" t="str">
        <x:v>Handbag</x:v>
      </x:c>
      <x:c r="G331" s="2" t="str">
        <x:v>In-store</x:v>
      </x:c>
      <x:c r="H331" s="7" t="n">
        <x:v>2</x:v>
      </x:c>
      <x:c r="I331" s="9" t="n">
        <x:v>22000</x:v>
      </x:c>
      <x:c r="J331" s="9" t="n">
        <x:v>13500</x:v>
      </x:c>
      <x:c r="K331" s="10" t="n">
        <x:v>0</x:v>
      </x:c>
      <x:c r="L331" s="2" t="str">
        <x:v>Completed</x:v>
      </x:c>
      <x:c r="M331" s="12" t="n">
        <x:f>H331*I331</x:f>
        <x:v>44000</x:v>
      </x:c>
      <x:c r="N331" s="12" t="n">
        <x:f>IF(L331="Completed",ROUND(M331*(1-K331),2),0)</x:f>
        <x:v>44000</x:v>
      </x:c>
      <x:c r="O331" s="12" t="n">
        <x:f>IF(L331="Completed",H331*J331,0)</x:f>
        <x:v>27000</x:v>
      </x:c>
      <x:c r="P331" s="12" t="n">
        <x:f>N331-O331</x:f>
        <x:v>17000</x:v>
      </x:c>
    </x:row>
    <x:row r="332" ht="21" customHeight="1">
      <x:c r="A332" s="7" t="n">
        <x:v>327</x:v>
      </x:c>
      <x:c r="B332" s="2" t="str">
        <x:v>TXN-00327</x:v>
      </x:c>
      <x:c r="C332" s="8" t="d">
        <x:v>2025-04-03T00:00:00.000Z</x:v>
      </x:c>
      <x:c r="D332" s="2" t="str">
        <x:v>Kano</x:v>
      </x:c>
      <x:c r="E332" s="2" t="str">
        <x:v>Fashion</x:v>
      </x:c>
      <x:c r="F332" s="2" t="str">
        <x:v>Sneakers</x:v>
      </x:c>
      <x:c r="G332" s="2" t="str">
        <x:v>Online</x:v>
      </x:c>
      <x:c r="H332" s="7" t="n">
        <x:v>1</x:v>
      </x:c>
      <x:c r="I332" s="9" t="n">
        <x:v>28000</x:v>
      </x:c>
      <x:c r="J332" s="9" t="n">
        <x:v>17500</x:v>
      </x:c>
      <x:c r="K332" s="10" t="n">
        <x:v>0.1</x:v>
      </x:c>
      <x:c r="L332" s="2" t="str">
        <x:v>Completed</x:v>
      </x:c>
      <x:c r="M332" s="12" t="n">
        <x:f>H332*I332</x:f>
        <x:v>28000</x:v>
      </x:c>
      <x:c r="N332" s="12" t="n">
        <x:f>IF(L332="Completed",ROUND(M332*(1-K332),2),0)</x:f>
        <x:v>25200</x:v>
      </x:c>
      <x:c r="O332" s="12" t="n">
        <x:f>IF(L332="Completed",H332*J332,0)</x:f>
        <x:v>17500</x:v>
      </x:c>
      <x:c r="P332" s="12" t="n">
        <x:f>N332-O332</x:f>
        <x:v>7700</x:v>
      </x:c>
    </x:row>
    <x:row r="333" ht="21" customHeight="1">
      <x:c r="A333" s="7" t="n">
        <x:v>328</x:v>
      </x:c>
      <x:c r="B333" s="2" t="str">
        <x:v>TXN-00328</x:v>
      </x:c>
      <x:c r="C333" s="8" t="d">
        <x:v>2025-04-02T00:00:00.000Z</x:v>
      </x:c>
      <x:c r="D333" s="2" t="str">
        <x:v>Abuja</x:v>
      </x:c>
      <x:c r="E333" s="2" t="str">
        <x:v>Home</x:v>
      </x:c>
      <x:c r="F333" s="2" t="str">
        <x:v>Bedsheet</x:v>
      </x:c>
      <x:c r="G333" s="2" t="str">
        <x:v>Online</x:v>
      </x:c>
      <x:c r="H333" s="7" t="n">
        <x:v>2</x:v>
      </x:c>
      <x:c r="I333" s="9" t="n">
        <x:v>14000</x:v>
      </x:c>
      <x:c r="J333" s="9" t="n">
        <x:v>8500</x:v>
      </x:c>
      <x:c r="K333" s="10" t="n">
        <x:v>0.1</x:v>
      </x:c>
      <x:c r="L333" s="2" t="str">
        <x:v>Returned</x:v>
      </x:c>
      <x:c r="M333" s="12" t="n">
        <x:f>H333*I333</x:f>
        <x:v>28000</x:v>
      </x:c>
      <x:c r="N333" s="12" t="n">
        <x:f>IF(L333="Completed",ROUND(M333*(1-K333),2),0)</x:f>
        <x:v>0</x:v>
      </x:c>
      <x:c r="O333" s="12" t="n">
        <x:f>IF(L333="Completed",H333*J333,0)</x:f>
        <x:v>0</x:v>
      </x:c>
      <x:c r="P333" s="12" t="n">
        <x:f>N333-O333</x:f>
        <x:v>0</x:v>
      </x:c>
    </x:row>
    <x:row r="334" ht="21" customHeight="1">
      <x:c r="A334" s="7" t="n">
        <x:v>329</x:v>
      </x:c>
      <x:c r="B334" s="2" t="str">
        <x:v>TXN-00329</x:v>
      </x:c>
      <x:c r="C334" s="8" t="d">
        <x:v>2025-04-18T00:00:00.000Z</x:v>
      </x:c>
      <x:c r="D334" s="2" t="str">
        <x:v>Kano</x:v>
      </x:c>
      <x:c r="E334" s="2" t="str">
        <x:v>Beauty</x:v>
      </x:c>
      <x:c r="F334" s="2" t="str">
        <x:v>Moisturizer</x:v>
      </x:c>
      <x:c r="G334" s="2" t="str">
        <x:v>In-store</x:v>
      </x:c>
      <x:c r="H334" s="7" t="n">
        <x:v>3</x:v>
      </x:c>
      <x:c r="I334" s="9" t="n">
        <x:v>6500</x:v>
      </x:c>
      <x:c r="J334" s="9" t="n">
        <x:v>3500</x:v>
      </x:c>
      <x:c r="K334" s="10" t="n">
        <x:v>0</x:v>
      </x:c>
      <x:c r="L334" s="2" t="str">
        <x:v>Completed</x:v>
      </x:c>
      <x:c r="M334" s="12" t="n">
        <x:f>H334*I334</x:f>
        <x:v>19500</x:v>
      </x:c>
      <x:c r="N334" s="12" t="n">
        <x:f>IF(L334="Completed",ROUND(M334*(1-K334),2),0)</x:f>
        <x:v>19500</x:v>
      </x:c>
      <x:c r="O334" s="12" t="n">
        <x:f>IF(L334="Completed",H334*J334,0)</x:f>
        <x:v>10500</x:v>
      </x:c>
      <x:c r="P334" s="12" t="n">
        <x:f>N334-O334</x:f>
        <x:v>9000</x:v>
      </x:c>
    </x:row>
    <x:row r="335" ht="21" customHeight="1">
      <x:c r="A335" s="7" t="n">
        <x:v>330</x:v>
      </x:c>
      <x:c r="B335" s="2" t="str">
        <x:v>TXN-00330</x:v>
      </x:c>
      <x:c r="C335" s="8" t="d">
        <x:v>2025-04-11T00:00:00.000Z</x:v>
      </x:c>
      <x:c r="D335" s="2" t="str">
        <x:v>Kano</x:v>
      </x:c>
      <x:c r="E335" s="2" t="str">
        <x:v>Electronics</x:v>
      </x:c>
      <x:c r="F335" s="2" t="str">
        <x:v>Headphones</x:v>
      </x:c>
      <x:c r="G335" s="2" t="str">
        <x:v>Online</x:v>
      </x:c>
      <x:c r="H335" s="7" t="n">
        <x:v>1</x:v>
      </x:c>
      <x:c r="I335" s="9" t="n">
        <x:v>18000</x:v>
      </x:c>
      <x:c r="J335" s="9" t="n">
        <x:v>10500</x:v>
      </x:c>
      <x:c r="K335" s="10" t="n">
        <x:v>0.05</x:v>
      </x:c>
      <x:c r="L335" s="2" t="str">
        <x:v>Completed</x:v>
      </x:c>
      <x:c r="M335" s="12" t="n">
        <x:f>H335*I335</x:f>
        <x:v>18000</x:v>
      </x:c>
      <x:c r="N335" s="12" t="n">
        <x:f>IF(L335="Completed",ROUND(M335*(1-K335),2),0)</x:f>
        <x:v>17100</x:v>
      </x:c>
      <x:c r="O335" s="12" t="n">
        <x:f>IF(L335="Completed",H335*J335,0)</x:f>
        <x:v>10500</x:v>
      </x:c>
      <x:c r="P335" s="12" t="n">
        <x:f>N335-O335</x:f>
        <x:v>6600</x:v>
      </x:c>
    </x:row>
    <x:row r="336" ht="21" customHeight="1">
      <x:c r="A336" s="7" t="n">
        <x:v>331</x:v>
      </x:c>
      <x:c r="B336" s="2" t="str">
        <x:v>TXN-00331</x:v>
      </x:c>
      <x:c r="C336" s="8" t="d">
        <x:v>2025-04-03T00:00:00.000Z</x:v>
      </x:c>
      <x:c r="D336" s="2" t="str">
        <x:v>Lagos</x:v>
      </x:c>
      <x:c r="E336" s="2" t="str">
        <x:v>Electronics</x:v>
      </x:c>
      <x:c r="F336" s="2" t="str">
        <x:v>Bluetooth speaker</x:v>
      </x:c>
      <x:c r="G336" s="2" t="str">
        <x:v>Online</x:v>
      </x:c>
      <x:c r="H336" s="7" t="n">
        <x:v>3</x:v>
      </x:c>
      <x:c r="I336" s="9" t="n">
        <x:v>26000</x:v>
      </x:c>
      <x:c r="J336" s="9" t="n">
        <x:v>17000</x:v>
      </x:c>
      <x:c r="K336" s="10" t="n">
        <x:v>0.05</x:v>
      </x:c>
      <x:c r="L336" s="2" t="str">
        <x:v>Completed</x:v>
      </x:c>
      <x:c r="M336" s="12" t="n">
        <x:f>H336*I336</x:f>
        <x:v>78000</x:v>
      </x:c>
      <x:c r="N336" s="12" t="n">
        <x:f>IF(L336="Completed",ROUND(M336*(1-K336),2),0)</x:f>
        <x:v>74100</x:v>
      </x:c>
      <x:c r="O336" s="12" t="n">
        <x:f>IF(L336="Completed",H336*J336,0)</x:f>
        <x:v>51000</x:v>
      </x:c>
      <x:c r="P336" s="12" t="n">
        <x:f>N336-O336</x:f>
        <x:v>23100</x:v>
      </x:c>
    </x:row>
    <x:row r="337" ht="21" customHeight="1">
      <x:c r="A337" s="7" t="n">
        <x:v>332</x:v>
      </x:c>
      <x:c r="B337" s="2" t="str">
        <x:v>TXN-00332</x:v>
      </x:c>
      <x:c r="C337" s="8" t="d">
        <x:v>2025-04-05T00:00:00.000Z</x:v>
      </x:c>
      <x:c r="D337" s="2" t="str">
        <x:v>Abuja</x:v>
      </x:c>
      <x:c r="E337" s="2" t="str">
        <x:v>Electronics</x:v>
      </x:c>
      <x:c r="F337" s="2" t="str">
        <x:v>Bluetooth speaker</x:v>
      </x:c>
      <x:c r="G337" s="2" t="str">
        <x:v>In-store</x:v>
      </x:c>
      <x:c r="H337" s="7" t="n">
        <x:v>1</x:v>
      </x:c>
      <x:c r="I337" s="9" t="n">
        <x:v>26000</x:v>
      </x:c>
      <x:c r="J337" s="9" t="n">
        <x:v>17000</x:v>
      </x:c>
      <x:c r="K337" s="10" t="n">
        <x:v>0</x:v>
      </x:c>
      <x:c r="L337" s="2" t="str">
        <x:v>Completed</x:v>
      </x:c>
      <x:c r="M337" s="12" t="n">
        <x:f>H337*I337</x:f>
        <x:v>26000</x:v>
      </x:c>
      <x:c r="N337" s="12" t="n">
        <x:f>IF(L337="Completed",ROUND(M337*(1-K337),2),0)</x:f>
        <x:v>26000</x:v>
      </x:c>
      <x:c r="O337" s="12" t="n">
        <x:f>IF(L337="Completed",H337*J337,0)</x:f>
        <x:v>17000</x:v>
      </x:c>
      <x:c r="P337" s="12" t="n">
        <x:f>N337-O337</x:f>
        <x:v>9000</x:v>
      </x:c>
    </x:row>
    <x:row r="338" ht="21" customHeight="1">
      <x:c r="A338" s="7" t="n">
        <x:v>333</x:v>
      </x:c>
      <x:c r="B338" s="2" t="str">
        <x:v>TXN-00333</x:v>
      </x:c>
      <x:c r="C338" s="8" t="d">
        <x:v>2025-04-29T00:00:00.000Z</x:v>
      </x:c>
      <x:c r="D338" s="2" t="str">
        <x:v>Port Harcourt</x:v>
      </x:c>
      <x:c r="E338" s="2" t="str">
        <x:v>Home</x:v>
      </x:c>
      <x:c r="F338" s="2" t="str">
        <x:v>Desk lamp</x:v>
      </x:c>
      <x:c r="G338" s="2" t="str">
        <x:v>Online</x:v>
      </x:c>
      <x:c r="H338" s="7" t="n">
        <x:v>1</x:v>
      </x:c>
      <x:c r="I338" s="9" t="n">
        <x:v>12000</x:v>
      </x:c>
      <x:c r="J338" s="9" t="n">
        <x:v>7200</x:v>
      </x:c>
      <x:c r="K338" s="10" t="n">
        <x:v>0</x:v>
      </x:c>
      <x:c r="L338" s="2" t="str">
        <x:v>Completed</x:v>
      </x:c>
      <x:c r="M338" s="12" t="n">
        <x:f>H338*I338</x:f>
        <x:v>12000</x:v>
      </x:c>
      <x:c r="N338" s="12" t="n">
        <x:f>IF(L338="Completed",ROUND(M338*(1-K338),2),0)</x:f>
        <x:v>12000</x:v>
      </x:c>
      <x:c r="O338" s="12" t="n">
        <x:f>IF(L338="Completed",H338*J338,0)</x:f>
        <x:v>7200</x:v>
      </x:c>
      <x:c r="P338" s="12" t="n">
        <x:f>N338-O338</x:f>
        <x:v>4800</x:v>
      </x:c>
    </x:row>
    <x:row r="339" ht="21" customHeight="1">
      <x:c r="A339" s="7" t="n">
        <x:v>334</x:v>
      </x:c>
      <x:c r="B339" s="2" t="str">
        <x:v>TXN-00334</x:v>
      </x:c>
      <x:c r="C339" s="8" t="d">
        <x:v>2025-04-11T00:00:00.000Z</x:v>
      </x:c>
      <x:c r="D339" s="2" t="str">
        <x:v>Lagos</x:v>
      </x:c>
      <x:c r="E339" s="2" t="str">
        <x:v>Electronics</x:v>
      </x:c>
      <x:c r="F339" s="2" t="str">
        <x:v>Bluetooth speaker</x:v>
      </x:c>
      <x:c r="G339" s="2" t="str">
        <x:v>Online</x:v>
      </x:c>
      <x:c r="H339" s="7" t="n">
        <x:v>2</x:v>
      </x:c>
      <x:c r="I339" s="9" t="n">
        <x:v>26000</x:v>
      </x:c>
      <x:c r="J339" s="9" t="n">
        <x:v>17000</x:v>
      </x:c>
      <x:c r="K339" s="10" t="n">
        <x:v>0.05</x:v>
      </x:c>
      <x:c r="L339" s="2" t="str">
        <x:v>Completed</x:v>
      </x:c>
      <x:c r="M339" s="12" t="n">
        <x:f>H339*I339</x:f>
        <x:v>52000</x:v>
      </x:c>
      <x:c r="N339" s="12" t="n">
        <x:f>IF(L339="Completed",ROUND(M339*(1-K339),2),0)</x:f>
        <x:v>49400</x:v>
      </x:c>
      <x:c r="O339" s="12" t="n">
        <x:f>IF(L339="Completed",H339*J339,0)</x:f>
        <x:v>34000</x:v>
      </x:c>
      <x:c r="P339" s="12" t="n">
        <x:f>N339-O339</x:f>
        <x:v>15400</x:v>
      </x:c>
    </x:row>
    <x:row r="340" ht="21" customHeight="1">
      <x:c r="A340" s="7" t="n">
        <x:v>335</x:v>
      </x:c>
      <x:c r="B340" s="2" t="str">
        <x:v>TXN-00335</x:v>
      </x:c>
      <x:c r="C340" s="8" t="d">
        <x:v>2025-04-03T00:00:00.000Z</x:v>
      </x:c>
      <x:c r="D340" s="2" t="str">
        <x:v>Lagos</x:v>
      </x:c>
      <x:c r="E340" s="2" t="str">
        <x:v>Beauty</x:v>
      </x:c>
      <x:c r="F340" s="2" t="str">
        <x:v>Body wash</x:v>
      </x:c>
      <x:c r="G340" s="2" t="str">
        <x:v>In-store</x:v>
      </x:c>
      <x:c r="H340" s="7" t="n">
        <x:v>1</x:v>
      </x:c>
      <x:c r="I340" s="9" t="n">
        <x:v>4500</x:v>
      </x:c>
      <x:c r="J340" s="9" t="n">
        <x:v>2300</x:v>
      </x:c>
      <x:c r="K340" s="10" t="n">
        <x:v>0</x:v>
      </x:c>
      <x:c r="L340" s="2" t="str">
        <x:v>Completed</x:v>
      </x:c>
      <x:c r="M340" s="12" t="n">
        <x:f>H340*I340</x:f>
        <x:v>4500</x:v>
      </x:c>
      <x:c r="N340" s="12" t="n">
        <x:f>IF(L340="Completed",ROUND(M340*(1-K340),2),0)</x:f>
        <x:v>4500</x:v>
      </x:c>
      <x:c r="O340" s="12" t="n">
        <x:f>IF(L340="Completed",H340*J340,0)</x:f>
        <x:v>2300</x:v>
      </x:c>
      <x:c r="P340" s="12" t="n">
        <x:f>N340-O340</x:f>
        <x:v>2200</x:v>
      </x:c>
    </x:row>
    <x:row r="341" ht="21" customHeight="1">
      <x:c r="A341" s="7" t="n">
        <x:v>336</x:v>
      </x:c>
      <x:c r="B341" s="2" t="str">
        <x:v>TXN-00336</x:v>
      </x:c>
      <x:c r="C341" s="8" t="d">
        <x:v>2025-04-29T00:00:00.000Z</x:v>
      </x:c>
      <x:c r="D341" s="2" t="str">
        <x:v>Port Harcourt</x:v>
      </x:c>
      <x:c r="E341" s="2" t="str">
        <x:v>Beauty</x:v>
      </x:c>
      <x:c r="F341" s="2" t="str">
        <x:v>Perfume</x:v>
      </x:c>
      <x:c r="G341" s="2" t="str">
        <x:v>Online</x:v>
      </x:c>
      <x:c r="H341" s="7" t="n">
        <x:v>3</x:v>
      </x:c>
      <x:c r="I341" s="9" t="n">
        <x:v>17000</x:v>
      </x:c>
      <x:c r="J341" s="9" t="n">
        <x:v>9000</x:v>
      </x:c>
      <x:c r="K341" s="10" t="n">
        <x:v>0</x:v>
      </x:c>
      <x:c r="L341" s="2" t="str">
        <x:v>Completed</x:v>
      </x:c>
      <x:c r="M341" s="12" t="n">
        <x:f>H341*I341</x:f>
        <x:v>51000</x:v>
      </x:c>
      <x:c r="N341" s="12" t="n">
        <x:f>IF(L341="Completed",ROUND(M341*(1-K341),2),0)</x:f>
        <x:v>51000</x:v>
      </x:c>
      <x:c r="O341" s="12" t="n">
        <x:f>IF(L341="Completed",H341*J341,0)</x:f>
        <x:v>27000</x:v>
      </x:c>
      <x:c r="P341" s="12" t="n">
        <x:f>N341-O341</x:f>
        <x:v>24000</x:v>
      </x:c>
    </x:row>
    <x:row r="342" ht="21" customHeight="1">
      <x:c r="A342" s="7" t="n">
        <x:v>337</x:v>
      </x:c>
      <x:c r="B342" s="2" t="str">
        <x:v>TXN-00337</x:v>
      </x:c>
      <x:c r="C342" s="8" t="d">
        <x:v>2025-04-28T00:00:00.000Z</x:v>
      </x:c>
      <x:c r="D342" s="2" t="str">
        <x:v>Abuja</x:v>
      </x:c>
      <x:c r="E342" s="2" t="str">
        <x:v>Fashion</x:v>
      </x:c>
      <x:c r="F342" s="2" t="str">
        <x:v>Handbag</x:v>
      </x:c>
      <x:c r="G342" s="2" t="str">
        <x:v>Online</x:v>
      </x:c>
      <x:c r="H342" s="7" t="n">
        <x:v>1</x:v>
      </x:c>
      <x:c r="I342" s="9" t="n">
        <x:v>22000</x:v>
      </x:c>
      <x:c r="J342" s="9" t="n">
        <x:v>13500</x:v>
      </x:c>
      <x:c r="K342" s="10" t="n">
        <x:v>0</x:v>
      </x:c>
      <x:c r="L342" s="2" t="str">
        <x:v>Completed</x:v>
      </x:c>
      <x:c r="M342" s="12" t="n">
        <x:f>H342*I342</x:f>
        <x:v>22000</x:v>
      </x:c>
      <x:c r="N342" s="12" t="n">
        <x:f>IF(L342="Completed",ROUND(M342*(1-K342),2),0)</x:f>
        <x:v>22000</x:v>
      </x:c>
      <x:c r="O342" s="12" t="n">
        <x:f>IF(L342="Completed",H342*J342,0)</x:f>
        <x:v>13500</x:v>
      </x:c>
      <x:c r="P342" s="12" t="n">
        <x:f>N342-O342</x:f>
        <x:v>8500</x:v>
      </x:c>
    </x:row>
    <x:row r="343" ht="21" customHeight="1">
      <x:c r="A343" s="7" t="n">
        <x:v>338</x:v>
      </x:c>
      <x:c r="B343" s="2" t="str">
        <x:v>TXN-00338</x:v>
      </x:c>
      <x:c r="C343" s="8" t="d">
        <x:v>2025-04-26T00:00:00.000Z</x:v>
      </x:c>
      <x:c r="D343" s="2" t="str">
        <x:v>Lagos</x:v>
      </x:c>
      <x:c r="E343" s="2" t="str">
        <x:v>Beauty</x:v>
      </x:c>
      <x:c r="F343" s="2" t="str">
        <x:v>Body wash</x:v>
      </x:c>
      <x:c r="G343" s="2" t="str">
        <x:v>Online</x:v>
      </x:c>
      <x:c r="H343" s="7" t="n">
        <x:v>2</x:v>
      </x:c>
      <x:c r="I343" s="9" t="n">
        <x:v>4500</x:v>
      </x:c>
      <x:c r="J343" s="9" t="n">
        <x:v>2300</x:v>
      </x:c>
      <x:c r="K343" s="10" t="n">
        <x:v>0</x:v>
      </x:c>
      <x:c r="L343" s="2" t="str">
        <x:v>Completed</x:v>
      </x:c>
      <x:c r="M343" s="12" t="n">
        <x:f>H343*I343</x:f>
        <x:v>9000</x:v>
      </x:c>
      <x:c r="N343" s="12" t="n">
        <x:f>IF(L343="Completed",ROUND(M343*(1-K343),2),0)</x:f>
        <x:v>9000</x:v>
      </x:c>
      <x:c r="O343" s="12" t="n">
        <x:f>IF(L343="Completed",H343*J343,0)</x:f>
        <x:v>4600</x:v>
      </x:c>
      <x:c r="P343" s="12" t="n">
        <x:f>N343-O343</x:f>
        <x:v>4400</x:v>
      </x:c>
    </x:row>
    <x:row r="344" ht="21" customHeight="1">
      <x:c r="A344" s="7" t="n">
        <x:v>339</x:v>
      </x:c>
      <x:c r="B344" s="2" t="str">
        <x:v>TXN-00339</x:v>
      </x:c>
      <x:c r="C344" s="8" t="d">
        <x:v>2025-04-29T00:00:00.000Z</x:v>
      </x:c>
      <x:c r="D344" s="2" t="str">
        <x:v>Lagos</x:v>
      </x:c>
      <x:c r="E344" s="2" t="str">
        <x:v>Electronics</x:v>
      </x:c>
      <x:c r="F344" s="2" t="str">
        <x:v>Headphones</x:v>
      </x:c>
      <x:c r="G344" s="2" t="str">
        <x:v>Online</x:v>
      </x:c>
      <x:c r="H344" s="7" t="n">
        <x:v>1</x:v>
      </x:c>
      <x:c r="I344" s="9" t="n">
        <x:v>18000</x:v>
      </x:c>
      <x:c r="J344" s="9" t="n">
        <x:v>10500</x:v>
      </x:c>
      <x:c r="K344" s="10" t="n">
        <x:v>0.05</x:v>
      </x:c>
      <x:c r="L344" s="2" t="str">
        <x:v>Completed</x:v>
      </x:c>
      <x:c r="M344" s="12" t="n">
        <x:f>H344*I344</x:f>
        <x:v>18000</x:v>
      </x:c>
      <x:c r="N344" s="12" t="n">
        <x:f>IF(L344="Completed",ROUND(M344*(1-K344),2),0)</x:f>
        <x:v>17100</x:v>
      </x:c>
      <x:c r="O344" s="12" t="n">
        <x:f>IF(L344="Completed",H344*J344,0)</x:f>
        <x:v>10500</x:v>
      </x:c>
      <x:c r="P344" s="12" t="n">
        <x:f>N344-O344</x:f>
        <x:v>6600</x:v>
      </x:c>
    </x:row>
    <x:row r="345" ht="21" customHeight="1">
      <x:c r="A345" s="7" t="n">
        <x:v>340</x:v>
      </x:c>
      <x:c r="B345" s="2" t="str">
        <x:v>TXN-00340</x:v>
      </x:c>
      <x:c r="C345" s="8" t="d">
        <x:v>2025-04-30T00:00:00.000Z</x:v>
      </x:c>
      <x:c r="D345" s="2" t="str">
        <x:v>Lagos</x:v>
      </x:c>
      <x:c r="E345" s="2" t="str">
        <x:v>Fashion</x:v>
      </x:c>
      <x:c r="F345" s="2" t="str">
        <x:v>Sneakers</x:v>
      </x:c>
      <x:c r="G345" s="2" t="str">
        <x:v>Online</x:v>
      </x:c>
      <x:c r="H345" s="7" t="n">
        <x:v>3</x:v>
      </x:c>
      <x:c r="I345" s="9" t="n">
        <x:v>28000</x:v>
      </x:c>
      <x:c r="J345" s="9" t="n">
        <x:v>17500</x:v>
      </x:c>
      <x:c r="K345" s="10" t="n">
        <x:v>0.1</x:v>
      </x:c>
      <x:c r="L345" s="2" t="str">
        <x:v>Completed</x:v>
      </x:c>
      <x:c r="M345" s="12" t="n">
        <x:f>H345*I345</x:f>
        <x:v>84000</x:v>
      </x:c>
      <x:c r="N345" s="12" t="n">
        <x:f>IF(L345="Completed",ROUND(M345*(1-K345),2),0)</x:f>
        <x:v>75600</x:v>
      </x:c>
      <x:c r="O345" s="12" t="n">
        <x:f>IF(L345="Completed",H345*J345,0)</x:f>
        <x:v>52500</x:v>
      </x:c>
      <x:c r="P345" s="12" t="n">
        <x:f>N345-O345</x:f>
        <x:v>23100</x:v>
      </x:c>
    </x:row>
    <x:row r="346" ht="21" customHeight="1">
      <x:c r="A346" s="7" t="n">
        <x:v>341</x:v>
      </x:c>
      <x:c r="B346" s="2" t="str">
        <x:v>TXN-00341</x:v>
      </x:c>
      <x:c r="C346" s="8" t="d">
        <x:v>2025-04-11T00:00:00.000Z</x:v>
      </x:c>
      <x:c r="D346" s="2" t="str">
        <x:v>Kano</x:v>
      </x:c>
      <x:c r="E346" s="2" t="str">
        <x:v>Fashion</x:v>
      </x:c>
      <x:c r="F346" s="2" t="str">
        <x:v>Sneakers</x:v>
      </x:c>
      <x:c r="G346" s="2" t="str">
        <x:v>Online</x:v>
      </x:c>
      <x:c r="H346" s="7" t="n">
        <x:v>1</x:v>
      </x:c>
      <x:c r="I346" s="9" t="n">
        <x:v>28000</x:v>
      </x:c>
      <x:c r="J346" s="9" t="n">
        <x:v>17500</x:v>
      </x:c>
      <x:c r="K346" s="10" t="n">
        <x:v>0.05</x:v>
      </x:c>
      <x:c r="L346" s="2" t="str">
        <x:v>Completed</x:v>
      </x:c>
      <x:c r="M346" s="12" t="n">
        <x:f>H346*I346</x:f>
        <x:v>28000</x:v>
      </x:c>
      <x:c r="N346" s="12" t="n">
        <x:f>IF(L346="Completed",ROUND(M346*(1-K346),2),0)</x:f>
        <x:v>26600</x:v>
      </x:c>
      <x:c r="O346" s="12" t="n">
        <x:f>IF(L346="Completed",H346*J346,0)</x:f>
        <x:v>17500</x:v>
      </x:c>
      <x:c r="P346" s="12" t="n">
        <x:f>N346-O346</x:f>
        <x:v>9100</x:v>
      </x:c>
    </x:row>
    <x:row r="347" ht="21" customHeight="1">
      <x:c r="A347" s="7" t="n">
        <x:v>342</x:v>
      </x:c>
      <x:c r="B347" s="2" t="str">
        <x:v>TXN-00342</x:v>
      </x:c>
      <x:c r="C347" s="8" t="d">
        <x:v>2025-04-04T00:00:00.000Z</x:v>
      </x:c>
      <x:c r="D347" s="2" t="str">
        <x:v>Abuja</x:v>
      </x:c>
      <x:c r="E347" s="2" t="str">
        <x:v>Fashion</x:v>
      </x:c>
      <x:c r="F347" s="2" t="str">
        <x:v>Handbag</x:v>
      </x:c>
      <x:c r="G347" s="2" t="str">
        <x:v>Online</x:v>
      </x:c>
      <x:c r="H347" s="7" t="n">
        <x:v>3</x:v>
      </x:c>
      <x:c r="I347" s="9" t="n">
        <x:v>22000</x:v>
      </x:c>
      <x:c r="J347" s="9" t="n">
        <x:v>13500</x:v>
      </x:c>
      <x:c r="K347" s="10" t="n">
        <x:v>0.1</x:v>
      </x:c>
      <x:c r="L347" s="2" t="str">
        <x:v>Returned</x:v>
      </x:c>
      <x:c r="M347" s="12" t="n">
        <x:f>H347*I347</x:f>
        <x:v>66000</x:v>
      </x:c>
      <x:c r="N347" s="12" t="n">
        <x:f>IF(L347="Completed",ROUND(M347*(1-K347),2),0)</x:f>
        <x:v>0</x:v>
      </x:c>
      <x:c r="O347" s="12" t="n">
        <x:f>IF(L347="Completed",H347*J347,0)</x:f>
        <x:v>0</x:v>
      </x:c>
      <x:c r="P347" s="12" t="n">
        <x:f>N347-O347</x:f>
        <x:v>0</x:v>
      </x:c>
    </x:row>
    <x:row r="348" ht="21" customHeight="1">
      <x:c r="A348" s="7" t="n">
        <x:v>343</x:v>
      </x:c>
      <x:c r="B348" s="2" t="str">
        <x:v>TXN-00343</x:v>
      </x:c>
      <x:c r="C348" s="8" t="d">
        <x:v>2025-04-13T00:00:00.000Z</x:v>
      </x:c>
      <x:c r="D348" s="2" t="str">
        <x:v>Lagos</x:v>
      </x:c>
      <x:c r="E348" s="2" t="str">
        <x:v>Fashion</x:v>
      </x:c>
      <x:c r="F348" s="2" t="str">
        <x:v>T-shirt</x:v>
      </x:c>
      <x:c r="G348" s="2" t="str">
        <x:v>Online</x:v>
      </x:c>
      <x:c r="H348" s="7" t="n">
        <x:v>2</x:v>
      </x:c>
      <x:c r="I348" s="9" t="n">
        <x:v>9000</x:v>
      </x:c>
      <x:c r="J348" s="9" t="n">
        <x:v>5000</x:v>
      </x:c>
      <x:c r="K348" s="10" t="n">
        <x:v>0</x:v>
      </x:c>
      <x:c r="L348" s="2" t="str">
        <x:v>Completed</x:v>
      </x:c>
      <x:c r="M348" s="12" t="n">
        <x:f>H348*I348</x:f>
        <x:v>18000</x:v>
      </x:c>
      <x:c r="N348" s="12" t="n">
        <x:f>IF(L348="Completed",ROUND(M348*(1-K348),2),0)</x:f>
        <x:v>18000</x:v>
      </x:c>
      <x:c r="O348" s="12" t="n">
        <x:f>IF(L348="Completed",H348*J348,0)</x:f>
        <x:v>10000</x:v>
      </x:c>
      <x:c r="P348" s="12" t="n">
        <x:f>N348-O348</x:f>
        <x:v>8000</x:v>
      </x:c>
    </x:row>
    <x:row r="349" ht="21" customHeight="1">
      <x:c r="A349" s="7" t="n">
        <x:v>344</x:v>
      </x:c>
      <x:c r="B349" s="2" t="str">
        <x:v>TXN-00344</x:v>
      </x:c>
      <x:c r="C349" s="8" t="d">
        <x:v>2025-04-18T00:00:00.000Z</x:v>
      </x:c>
      <x:c r="D349" s="2" t="str">
        <x:v>Port Harcourt</x:v>
      </x:c>
      <x:c r="E349" s="2" t="str">
        <x:v>Beauty</x:v>
      </x:c>
      <x:c r="F349" s="2" t="str">
        <x:v>Perfume</x:v>
      </x:c>
      <x:c r="G349" s="2" t="str">
        <x:v>In-store</x:v>
      </x:c>
      <x:c r="H349" s="7" t="n">
        <x:v>1</x:v>
      </x:c>
      <x:c r="I349" s="9" t="n">
        <x:v>17000</x:v>
      </x:c>
      <x:c r="J349" s="9" t="n">
        <x:v>9000</x:v>
      </x:c>
      <x:c r="K349" s="10" t="n">
        <x:v>0</x:v>
      </x:c>
      <x:c r="L349" s="2" t="str">
        <x:v>Completed</x:v>
      </x:c>
      <x:c r="M349" s="12" t="n">
        <x:f>H349*I349</x:f>
        <x:v>17000</x:v>
      </x:c>
      <x:c r="N349" s="12" t="n">
        <x:f>IF(L349="Completed",ROUND(M349*(1-K349),2),0)</x:f>
        <x:v>17000</x:v>
      </x:c>
      <x:c r="O349" s="12" t="n">
        <x:f>IF(L349="Completed",H349*J349,0)</x:f>
        <x:v>9000</x:v>
      </x:c>
      <x:c r="P349" s="12" t="n">
        <x:f>N349-O349</x:f>
        <x:v>8000</x:v>
      </x:c>
    </x:row>
    <x:row r="350" ht="21" customHeight="1">
      <x:c r="A350" s="7" t="n">
        <x:v>345</x:v>
      </x:c>
      <x:c r="B350" s="2" t="str">
        <x:v>TXN-00345</x:v>
      </x:c>
      <x:c r="C350" s="8" t="d">
        <x:v>2025-04-24T00:00:00.000Z</x:v>
      </x:c>
      <x:c r="D350" s="2" t="str">
        <x:v>Lagos</x:v>
      </x:c>
      <x:c r="E350" s="2" t="str">
        <x:v>Fashion</x:v>
      </x:c>
      <x:c r="F350" s="2" t="str">
        <x:v>Handbag</x:v>
      </x:c>
      <x:c r="G350" s="2" t="str">
        <x:v>In-store</x:v>
      </x:c>
      <x:c r="H350" s="7" t="n">
        <x:v>2</x:v>
      </x:c>
      <x:c r="I350" s="9" t="n">
        <x:v>22000</x:v>
      </x:c>
      <x:c r="J350" s="9" t="n">
        <x:v>13500</x:v>
      </x:c>
      <x:c r="K350" s="10" t="n">
        <x:v>0</x:v>
      </x:c>
      <x:c r="L350" s="2" t="str">
        <x:v>Completed</x:v>
      </x:c>
      <x:c r="M350" s="12" t="n">
        <x:f>H350*I350</x:f>
        <x:v>44000</x:v>
      </x:c>
      <x:c r="N350" s="12" t="n">
        <x:f>IF(L350="Completed",ROUND(M350*(1-K350),2),0)</x:f>
        <x:v>44000</x:v>
      </x:c>
      <x:c r="O350" s="12" t="n">
        <x:f>IF(L350="Completed",H350*J350,0)</x:f>
        <x:v>27000</x:v>
      </x:c>
      <x:c r="P350" s="12" t="n">
        <x:f>N350-O350</x:f>
        <x:v>17000</x:v>
      </x:c>
    </x:row>
    <x:row r="351" ht="21" customHeight="1">
      <x:c r="A351" s="7" t="n">
        <x:v>346</x:v>
      </x:c>
      <x:c r="B351" s="2" t="str">
        <x:v>TXN-00346</x:v>
      </x:c>
      <x:c r="C351" s="8" t="d">
        <x:v>2025-04-07T00:00:00.000Z</x:v>
      </x:c>
      <x:c r="D351" s="2" t="str">
        <x:v>Lagos</x:v>
      </x:c>
      <x:c r="E351" s="2" t="str">
        <x:v>Electronics</x:v>
      </x:c>
      <x:c r="F351" s="2" t="str">
        <x:v>Power bank</x:v>
      </x:c>
      <x:c r="G351" s="2" t="str">
        <x:v>In-store</x:v>
      </x:c>
      <x:c r="H351" s="7" t="n">
        <x:v>1</x:v>
      </x:c>
      <x:c r="I351" s="9" t="n">
        <x:v>15000</x:v>
      </x:c>
      <x:c r="J351" s="9" t="n">
        <x:v>9500</x:v>
      </x:c>
      <x:c r="K351" s="10" t="n">
        <x:v>0.05</x:v>
      </x:c>
      <x:c r="L351" s="2" t="str">
        <x:v>Returned</x:v>
      </x:c>
      <x:c r="M351" s="12" t="n">
        <x:f>H351*I351</x:f>
        <x:v>15000</x:v>
      </x:c>
      <x:c r="N351" s="12" t="n">
        <x:f>IF(L351="Completed",ROUND(M351*(1-K351),2),0)</x:f>
        <x:v>0</x:v>
      </x:c>
      <x:c r="O351" s="12" t="n">
        <x:f>IF(L351="Completed",H351*J351,0)</x:f>
        <x:v>0</x:v>
      </x:c>
      <x:c r="P351" s="12" t="n">
        <x:f>N351-O351</x:f>
        <x:v>0</x:v>
      </x:c>
    </x:row>
    <x:row r="352" ht="21" customHeight="1">
      <x:c r="A352" s="7" t="n">
        <x:v>347</x:v>
      </x:c>
      <x:c r="B352" s="2" t="str">
        <x:v>TXN-00347</x:v>
      </x:c>
      <x:c r="C352" s="8" t="d">
        <x:v>2025-04-09T00:00:00.000Z</x:v>
      </x:c>
      <x:c r="D352" s="2" t="str">
        <x:v>Lagos</x:v>
      </x:c>
      <x:c r="E352" s="2" t="str">
        <x:v>Fashion</x:v>
      </x:c>
      <x:c r="F352" s="2" t="str">
        <x:v>Sneakers</x:v>
      </x:c>
      <x:c r="G352" s="2" t="str">
        <x:v>In-store</x:v>
      </x:c>
      <x:c r="H352" s="7" t="n">
        <x:v>1</x:v>
      </x:c>
      <x:c r="I352" s="9" t="n">
        <x:v>28000</x:v>
      </x:c>
      <x:c r="J352" s="9" t="n">
        <x:v>17500</x:v>
      </x:c>
      <x:c r="K352" s="10" t="n">
        <x:v>0.05</x:v>
      </x:c>
      <x:c r="L352" s="2" t="str">
        <x:v>Completed</x:v>
      </x:c>
      <x:c r="M352" s="12" t="n">
        <x:f>H352*I352</x:f>
        <x:v>28000</x:v>
      </x:c>
      <x:c r="N352" s="12" t="n">
        <x:f>IF(L352="Completed",ROUND(M352*(1-K352),2),0)</x:f>
        <x:v>26600</x:v>
      </x:c>
      <x:c r="O352" s="12" t="n">
        <x:f>IF(L352="Completed",H352*J352,0)</x:f>
        <x:v>17500</x:v>
      </x:c>
      <x:c r="P352" s="12" t="n">
        <x:f>N352-O352</x:f>
        <x:v>9100</x:v>
      </x:c>
    </x:row>
    <x:row r="353" ht="21" customHeight="1">
      <x:c r="A353" s="7" t="n">
        <x:v>348</x:v>
      </x:c>
      <x:c r="B353" s="2" t="str">
        <x:v>TXN-00348</x:v>
      </x:c>
      <x:c r="C353" s="8" t="d">
        <x:v>2025-04-01T00:00:00.000Z</x:v>
      </x:c>
      <x:c r="D353" s="2" t="str">
        <x:v>Abuja</x:v>
      </x:c>
      <x:c r="E353" s="2" t="str">
        <x:v>Electronics</x:v>
      </x:c>
      <x:c r="F353" s="2" t="str">
        <x:v>Power bank</x:v>
      </x:c>
      <x:c r="G353" s="2" t="str">
        <x:v>Online</x:v>
      </x:c>
      <x:c r="H353" s="7" t="n">
        <x:v>2</x:v>
      </x:c>
      <x:c r="I353" s="9" t="n">
        <x:v>15000</x:v>
      </x:c>
      <x:c r="J353" s="9" t="n">
        <x:v>9500</x:v>
      </x:c>
      <x:c r="K353" s="10" t="n">
        <x:v>0</x:v>
      </x:c>
      <x:c r="L353" s="2" t="str">
        <x:v>Completed</x:v>
      </x:c>
      <x:c r="M353" s="12" t="n">
        <x:f>H353*I353</x:f>
        <x:v>30000</x:v>
      </x:c>
      <x:c r="N353" s="12" t="n">
        <x:f>IF(L353="Completed",ROUND(M353*(1-K353),2),0)</x:f>
        <x:v>30000</x:v>
      </x:c>
      <x:c r="O353" s="12" t="n">
        <x:f>IF(L353="Completed",H353*J353,0)</x:f>
        <x:v>19000</x:v>
      </x:c>
      <x:c r="P353" s="12" t="n">
        <x:f>N353-O353</x:f>
        <x:v>11000</x:v>
      </x:c>
    </x:row>
    <x:row r="354" ht="21" customHeight="1">
      <x:c r="A354" s="7" t="n">
        <x:v>349</x:v>
      </x:c>
      <x:c r="B354" s="2" t="str">
        <x:v>TXN-00349</x:v>
      </x:c>
      <x:c r="C354" s="8" t="d">
        <x:v>2025-04-12T00:00:00.000Z</x:v>
      </x:c>
      <x:c r="D354" s="2" t="str">
        <x:v>Lagos</x:v>
      </x:c>
      <x:c r="E354" s="2" t="str">
        <x:v>Electronics</x:v>
      </x:c>
      <x:c r="F354" s="2" t="str">
        <x:v>Bluetooth speaker</x:v>
      </x:c>
      <x:c r="G354" s="2" t="str">
        <x:v>Online</x:v>
      </x:c>
      <x:c r="H354" s="7" t="n">
        <x:v>2</x:v>
      </x:c>
      <x:c r="I354" s="9" t="n">
        <x:v>26000</x:v>
      </x:c>
      <x:c r="J354" s="9" t="n">
        <x:v>17000</x:v>
      </x:c>
      <x:c r="K354" s="10" t="n">
        <x:v>0</x:v>
      </x:c>
      <x:c r="L354" s="2" t="str">
        <x:v>Completed</x:v>
      </x:c>
      <x:c r="M354" s="12" t="n">
        <x:f>H354*I354</x:f>
        <x:v>52000</x:v>
      </x:c>
      <x:c r="N354" s="12" t="n">
        <x:f>IF(L354="Completed",ROUND(M354*(1-K354),2),0)</x:f>
        <x:v>52000</x:v>
      </x:c>
      <x:c r="O354" s="12" t="n">
        <x:f>IF(L354="Completed",H354*J354,0)</x:f>
        <x:v>34000</x:v>
      </x:c>
      <x:c r="P354" s="12" t="n">
        <x:f>N354-O354</x:f>
        <x:v>18000</x:v>
      </x:c>
    </x:row>
    <x:row r="355" ht="21" customHeight="1">
      <x:c r="A355" s="7" t="n">
        <x:v>350</x:v>
      </x:c>
      <x:c r="B355" s="2" t="str">
        <x:v>TXN-00350</x:v>
      </x:c>
      <x:c r="C355" s="8" t="d">
        <x:v>2025-04-04T00:00:00.000Z</x:v>
      </x:c>
      <x:c r="D355" s="2" t="str">
        <x:v>Kano</x:v>
      </x:c>
      <x:c r="E355" s="2" t="str">
        <x:v>Fashion</x:v>
      </x:c>
      <x:c r="F355" s="2" t="str">
        <x:v>Sneakers</x:v>
      </x:c>
      <x:c r="G355" s="2" t="str">
        <x:v>In-store</x:v>
      </x:c>
      <x:c r="H355" s="7" t="n">
        <x:v>2</x:v>
      </x:c>
      <x:c r="I355" s="9" t="n">
        <x:v>28000</x:v>
      </x:c>
      <x:c r="J355" s="9" t="n">
        <x:v>17500</x:v>
      </x:c>
      <x:c r="K355" s="10" t="n">
        <x:v>0.1</x:v>
      </x:c>
      <x:c r="L355" s="2" t="str">
        <x:v>Completed</x:v>
      </x:c>
      <x:c r="M355" s="12" t="n">
        <x:f>H355*I355</x:f>
        <x:v>56000</x:v>
      </x:c>
      <x:c r="N355" s="12" t="n">
        <x:f>IF(L355="Completed",ROUND(M355*(1-K355),2),0)</x:f>
        <x:v>50400</x:v>
      </x:c>
      <x:c r="O355" s="12" t="n">
        <x:f>IF(L355="Completed",H355*J355,0)</x:f>
        <x:v>35000</x:v>
      </x:c>
      <x:c r="P355" s="12" t="n">
        <x:f>N355-O355</x:f>
        <x:v>15400</x:v>
      </x:c>
    </x:row>
    <x:row r="356" ht="21" customHeight="1">
      <x:c r="A356" s="7" t="n">
        <x:v>351</x:v>
      </x:c>
      <x:c r="B356" s="2" t="str">
        <x:v>TXN-00351</x:v>
      </x:c>
      <x:c r="C356" s="8" t="d">
        <x:v>2025-04-15T00:00:00.000Z</x:v>
      </x:c>
      <x:c r="D356" s="2" t="str">
        <x:v>Port Harcourt</x:v>
      </x:c>
      <x:c r="E356" s="2" t="str">
        <x:v>Fashion</x:v>
      </x:c>
      <x:c r="F356" s="2" t="str">
        <x:v>T-shirt</x:v>
      </x:c>
      <x:c r="G356" s="2" t="str">
        <x:v>In-store</x:v>
      </x:c>
      <x:c r="H356" s="7" t="n">
        <x:v>2</x:v>
      </x:c>
      <x:c r="I356" s="9" t="n">
        <x:v>9000</x:v>
      </x:c>
      <x:c r="J356" s="9" t="n">
        <x:v>5000</x:v>
      </x:c>
      <x:c r="K356" s="10" t="n">
        <x:v>0.1</x:v>
      </x:c>
      <x:c r="L356" s="2" t="str">
        <x:v>Completed</x:v>
      </x:c>
      <x:c r="M356" s="12" t="n">
        <x:f>H356*I356</x:f>
        <x:v>18000</x:v>
      </x:c>
      <x:c r="N356" s="12" t="n">
        <x:f>IF(L356="Completed",ROUND(M356*(1-K356),2),0)</x:f>
        <x:v>16200</x:v>
      </x:c>
      <x:c r="O356" s="12" t="n">
        <x:f>IF(L356="Completed",H356*J356,0)</x:f>
        <x:v>10000</x:v>
      </x:c>
      <x:c r="P356" s="12" t="n">
        <x:f>N356-O356</x:f>
        <x:v>6200</x:v>
      </x:c>
    </x:row>
    <x:row r="357" ht="21" customHeight="1">
      <x:c r="A357" s="7" t="n">
        <x:v>352</x:v>
      </x:c>
      <x:c r="B357" s="2" t="str">
        <x:v>TXN-00352</x:v>
      </x:c>
      <x:c r="C357" s="8" t="d">
        <x:v>2025-04-25T00:00:00.000Z</x:v>
      </x:c>
      <x:c r="D357" s="2" t="str">
        <x:v>Abuja</x:v>
      </x:c>
      <x:c r="E357" s="2" t="str">
        <x:v>Beauty</x:v>
      </x:c>
      <x:c r="F357" s="2" t="str">
        <x:v>Body wash</x:v>
      </x:c>
      <x:c r="G357" s="2" t="str">
        <x:v>In-store</x:v>
      </x:c>
      <x:c r="H357" s="7" t="n">
        <x:v>3</x:v>
      </x:c>
      <x:c r="I357" s="9" t="n">
        <x:v>4500</x:v>
      </x:c>
      <x:c r="J357" s="9" t="n">
        <x:v>2300</x:v>
      </x:c>
      <x:c r="K357" s="10" t="n">
        <x:v>0</x:v>
      </x:c>
      <x:c r="L357" s="2" t="str">
        <x:v>Completed</x:v>
      </x:c>
      <x:c r="M357" s="12" t="n">
        <x:f>H357*I357</x:f>
        <x:v>13500</x:v>
      </x:c>
      <x:c r="N357" s="12" t="n">
        <x:f>IF(L357="Completed",ROUND(M357*(1-K357),2),0)</x:f>
        <x:v>13500</x:v>
      </x:c>
      <x:c r="O357" s="12" t="n">
        <x:f>IF(L357="Completed",H357*J357,0)</x:f>
        <x:v>6900</x:v>
      </x:c>
      <x:c r="P357" s="12" t="n">
        <x:f>N357-O357</x:f>
        <x:v>6600</x:v>
      </x:c>
    </x:row>
    <x:row r="358" ht="21" customHeight="1">
      <x:c r="A358" s="7" t="n">
        <x:v>353</x:v>
      </x:c>
      <x:c r="B358" s="2" t="str">
        <x:v>TXN-00353</x:v>
      </x:c>
      <x:c r="C358" s="8" t="d">
        <x:v>2025-04-20T00:00:00.000Z</x:v>
      </x:c>
      <x:c r="D358" s="2" t="str">
        <x:v>Lagos</x:v>
      </x:c>
      <x:c r="E358" s="2" t="str">
        <x:v>Electronics</x:v>
      </x:c>
      <x:c r="F358" s="2" t="str">
        <x:v>Headphones</x:v>
      </x:c>
      <x:c r="G358" s="2" t="str">
        <x:v>Online</x:v>
      </x:c>
      <x:c r="H358" s="7" t="n">
        <x:v>4</x:v>
      </x:c>
      <x:c r="I358" s="9" t="n">
        <x:v>18000</x:v>
      </x:c>
      <x:c r="J358" s="9" t="n">
        <x:v>10500</x:v>
      </x:c>
      <x:c r="K358" s="10" t="n">
        <x:v>0.05</x:v>
      </x:c>
      <x:c r="L358" s="2" t="str">
        <x:v>Completed</x:v>
      </x:c>
      <x:c r="M358" s="12" t="n">
        <x:f>H358*I358</x:f>
        <x:v>72000</x:v>
      </x:c>
      <x:c r="N358" s="12" t="n">
        <x:f>IF(L358="Completed",ROUND(M358*(1-K358),2),0)</x:f>
        <x:v>68400</x:v>
      </x:c>
      <x:c r="O358" s="12" t="n">
        <x:f>IF(L358="Completed",H358*J358,0)</x:f>
        <x:v>42000</x:v>
      </x:c>
      <x:c r="P358" s="12" t="n">
        <x:f>N358-O358</x:f>
        <x:v>26400</x:v>
      </x:c>
    </x:row>
    <x:row r="359" ht="21" customHeight="1">
      <x:c r="A359" s="7" t="n">
        <x:v>354</x:v>
      </x:c>
      <x:c r="B359" s="2" t="str">
        <x:v>TXN-00354</x:v>
      </x:c>
      <x:c r="C359" s="8" t="d">
        <x:v>2025-04-06T00:00:00.000Z</x:v>
      </x:c>
      <x:c r="D359" s="2" t="str">
        <x:v>Lagos</x:v>
      </x:c>
      <x:c r="E359" s="2" t="str">
        <x:v>Electronics</x:v>
      </x:c>
      <x:c r="F359" s="2" t="str">
        <x:v>Power bank</x:v>
      </x:c>
      <x:c r="G359" s="2" t="str">
        <x:v>In-store</x:v>
      </x:c>
      <x:c r="H359" s="7" t="n">
        <x:v>2</x:v>
      </x:c>
      <x:c r="I359" s="9" t="n">
        <x:v>15000</x:v>
      </x:c>
      <x:c r="J359" s="9" t="n">
        <x:v>9500</x:v>
      </x:c>
      <x:c r="K359" s="10" t="n">
        <x:v>0</x:v>
      </x:c>
      <x:c r="L359" s="2" t="str">
        <x:v>Completed</x:v>
      </x:c>
      <x:c r="M359" s="12" t="n">
        <x:f>H359*I359</x:f>
        <x:v>30000</x:v>
      </x:c>
      <x:c r="N359" s="12" t="n">
        <x:f>IF(L359="Completed",ROUND(M359*(1-K359),2),0)</x:f>
        <x:v>30000</x:v>
      </x:c>
      <x:c r="O359" s="12" t="n">
        <x:f>IF(L359="Completed",H359*J359,0)</x:f>
        <x:v>19000</x:v>
      </x:c>
      <x:c r="P359" s="12" t="n">
        <x:f>N359-O359</x:f>
        <x:v>11000</x:v>
      </x:c>
    </x:row>
    <x:row r="360" ht="21" customHeight="1">
      <x:c r="A360" s="7" t="n">
        <x:v>355</x:v>
      </x:c>
      <x:c r="B360" s="2" t="str">
        <x:v>TXN-00355</x:v>
      </x:c>
      <x:c r="C360" s="8" t="d">
        <x:v>2025-04-18T00:00:00.000Z</x:v>
      </x:c>
      <x:c r="D360" s="2" t="str">
        <x:v>Port Harcourt</x:v>
      </x:c>
      <x:c r="E360" s="2" t="str">
        <x:v>Electronics</x:v>
      </x:c>
      <x:c r="F360" s="2" t="str">
        <x:v>Power bank</x:v>
      </x:c>
      <x:c r="G360" s="2" t="str">
        <x:v>In-store</x:v>
      </x:c>
      <x:c r="H360" s="7" t="n">
        <x:v>2</x:v>
      </x:c>
      <x:c r="I360" s="9" t="n">
        <x:v>15000</x:v>
      </x:c>
      <x:c r="J360" s="9" t="n">
        <x:v>9500</x:v>
      </x:c>
      <x:c r="K360" s="10" t="n">
        <x:v>0</x:v>
      </x:c>
      <x:c r="L360" s="2" t="str">
        <x:v>Completed</x:v>
      </x:c>
      <x:c r="M360" s="12" t="n">
        <x:f>H360*I360</x:f>
        <x:v>30000</x:v>
      </x:c>
      <x:c r="N360" s="12" t="n">
        <x:f>IF(L360="Completed",ROUND(M360*(1-K360),2),0)</x:f>
        <x:v>30000</x:v>
      </x:c>
      <x:c r="O360" s="12" t="n">
        <x:f>IF(L360="Completed",H360*J360,0)</x:f>
        <x:v>19000</x:v>
      </x:c>
      <x:c r="P360" s="12" t="n">
        <x:f>N360-O360</x:f>
        <x:v>11000</x:v>
      </x:c>
    </x:row>
    <x:row r="361" ht="21" customHeight="1">
      <x:c r="A361" s="7" t="n">
        <x:v>356</x:v>
      </x:c>
      <x:c r="B361" s="2" t="str">
        <x:v>TXN-00356</x:v>
      </x:c>
      <x:c r="C361" s="8" t="d">
        <x:v>2025-04-09T00:00:00.000Z</x:v>
      </x:c>
      <x:c r="D361" s="2" t="str">
        <x:v>Kano</x:v>
      </x:c>
      <x:c r="E361" s="2" t="str">
        <x:v>Fashion</x:v>
      </x:c>
      <x:c r="F361" s="2" t="str">
        <x:v>Handbag</x:v>
      </x:c>
      <x:c r="G361" s="2" t="str">
        <x:v>Online</x:v>
      </x:c>
      <x:c r="H361" s="7" t="n">
        <x:v>1</x:v>
      </x:c>
      <x:c r="I361" s="9" t="n">
        <x:v>22000</x:v>
      </x:c>
      <x:c r="J361" s="9" t="n">
        <x:v>13500</x:v>
      </x:c>
      <x:c r="K361" s="10" t="n">
        <x:v>0.05</x:v>
      </x:c>
      <x:c r="L361" s="2" t="str">
        <x:v>Completed</x:v>
      </x:c>
      <x:c r="M361" s="12" t="n">
        <x:f>H361*I361</x:f>
        <x:v>22000</x:v>
      </x:c>
      <x:c r="N361" s="12" t="n">
        <x:f>IF(L361="Completed",ROUND(M361*(1-K361),2),0)</x:f>
        <x:v>20900</x:v>
      </x:c>
      <x:c r="O361" s="12" t="n">
        <x:f>IF(L361="Completed",H361*J361,0)</x:f>
        <x:v>13500</x:v>
      </x:c>
      <x:c r="P361" s="12" t="n">
        <x:f>N361-O361</x:f>
        <x:v>7400</x:v>
      </x:c>
    </x:row>
    <x:row r="362" ht="21" customHeight="1">
      <x:c r="A362" s="7" t="n">
        <x:v>357</x:v>
      </x:c>
      <x:c r="B362" s="2" t="str">
        <x:v>TXN-00357</x:v>
      </x:c>
      <x:c r="C362" s="8" t="d">
        <x:v>2025-04-28T00:00:00.000Z</x:v>
      </x:c>
      <x:c r="D362" s="2" t="str">
        <x:v>Abuja</x:v>
      </x:c>
      <x:c r="E362" s="2" t="str">
        <x:v>Fashion</x:v>
      </x:c>
      <x:c r="F362" s="2" t="str">
        <x:v>Sneakers</x:v>
      </x:c>
      <x:c r="G362" s="2" t="str">
        <x:v>Online</x:v>
      </x:c>
      <x:c r="H362" s="7" t="n">
        <x:v>2</x:v>
      </x:c>
      <x:c r="I362" s="9" t="n">
        <x:v>28000</x:v>
      </x:c>
      <x:c r="J362" s="9" t="n">
        <x:v>17500</x:v>
      </x:c>
      <x:c r="K362" s="10" t="n">
        <x:v>0.05</x:v>
      </x:c>
      <x:c r="L362" s="2" t="str">
        <x:v>Completed</x:v>
      </x:c>
      <x:c r="M362" s="12" t="n">
        <x:f>H362*I362</x:f>
        <x:v>56000</x:v>
      </x:c>
      <x:c r="N362" s="12" t="n">
        <x:f>IF(L362="Completed",ROUND(M362*(1-K362),2),0)</x:f>
        <x:v>53200</x:v>
      </x:c>
      <x:c r="O362" s="12" t="n">
        <x:f>IF(L362="Completed",H362*J362,0)</x:f>
        <x:v>35000</x:v>
      </x:c>
      <x:c r="P362" s="12" t="n">
        <x:f>N362-O362</x:f>
        <x:v>18200</x:v>
      </x:c>
    </x:row>
    <x:row r="363" ht="21" customHeight="1">
      <x:c r="A363" s="7" t="n">
        <x:v>358</x:v>
      </x:c>
      <x:c r="B363" s="2" t="str">
        <x:v>TXN-00358</x:v>
      </x:c>
      <x:c r="C363" s="8" t="d">
        <x:v>2025-04-18T00:00:00.000Z</x:v>
      </x:c>
      <x:c r="D363" s="2" t="str">
        <x:v>Abuja</x:v>
      </x:c>
      <x:c r="E363" s="2" t="str">
        <x:v>Beauty</x:v>
      </x:c>
      <x:c r="F363" s="2" t="str">
        <x:v>Moisturizer</x:v>
      </x:c>
      <x:c r="G363" s="2" t="str">
        <x:v>In-store</x:v>
      </x:c>
      <x:c r="H363" s="7" t="n">
        <x:v>1</x:v>
      </x:c>
      <x:c r="I363" s="9" t="n">
        <x:v>6500</x:v>
      </x:c>
      <x:c r="J363" s="9" t="n">
        <x:v>3500</x:v>
      </x:c>
      <x:c r="K363" s="10" t="n">
        <x:v>0.05</x:v>
      </x:c>
      <x:c r="L363" s="2" t="str">
        <x:v>Completed</x:v>
      </x:c>
      <x:c r="M363" s="12" t="n">
        <x:f>H363*I363</x:f>
        <x:v>6500</x:v>
      </x:c>
      <x:c r="N363" s="12" t="n">
        <x:f>IF(L363="Completed",ROUND(M363*(1-K363),2),0)</x:f>
        <x:v>6175</x:v>
      </x:c>
      <x:c r="O363" s="12" t="n">
        <x:f>IF(L363="Completed",H363*J363,0)</x:f>
        <x:v>3500</x:v>
      </x:c>
      <x:c r="P363" s="12" t="n">
        <x:f>N363-O363</x:f>
        <x:v>2675</x:v>
      </x:c>
    </x:row>
    <x:row r="364" ht="21" customHeight="1">
      <x:c r="A364" s="7" t="n">
        <x:v>359</x:v>
      </x:c>
      <x:c r="B364" s="2" t="str">
        <x:v>TXN-00359</x:v>
      </x:c>
      <x:c r="C364" s="8" t="d">
        <x:v>2025-04-07T00:00:00.000Z</x:v>
      </x:c>
      <x:c r="D364" s="2" t="str">
        <x:v>Lagos</x:v>
      </x:c>
      <x:c r="E364" s="2" t="str">
        <x:v>Home</x:v>
      </x:c>
      <x:c r="F364" s="2" t="str">
        <x:v>Bedsheet</x:v>
      </x:c>
      <x:c r="G364" s="2" t="str">
        <x:v>In-store</x:v>
      </x:c>
      <x:c r="H364" s="7" t="n">
        <x:v>1</x:v>
      </x:c>
      <x:c r="I364" s="9" t="n">
        <x:v>14000</x:v>
      </x:c>
      <x:c r="J364" s="9" t="n">
        <x:v>8500</x:v>
      </x:c>
      <x:c r="K364" s="10" t="n">
        <x:v>0.1</x:v>
      </x:c>
      <x:c r="L364" s="2" t="str">
        <x:v>Completed</x:v>
      </x:c>
      <x:c r="M364" s="12" t="n">
        <x:f>H364*I364</x:f>
        <x:v>14000</x:v>
      </x:c>
      <x:c r="N364" s="12" t="n">
        <x:f>IF(L364="Completed",ROUND(M364*(1-K364),2),0)</x:f>
        <x:v>12600</x:v>
      </x:c>
      <x:c r="O364" s="12" t="n">
        <x:f>IF(L364="Completed",H364*J364,0)</x:f>
        <x:v>8500</x:v>
      </x:c>
      <x:c r="P364" s="12" t="n">
        <x:f>N364-O364</x:f>
        <x:v>4100</x:v>
      </x:c>
    </x:row>
    <x:row r="365" ht="21" customHeight="1">
      <x:c r="A365" s="7" t="n">
        <x:v>360</x:v>
      </x:c>
      <x:c r="B365" s="2" t="str">
        <x:v>TXN-00360</x:v>
      </x:c>
      <x:c r="C365" s="8" t="d">
        <x:v>2025-04-01T00:00:00.000Z</x:v>
      </x:c>
      <x:c r="D365" s="2" t="str">
        <x:v>Kano</x:v>
      </x:c>
      <x:c r="E365" s="2" t="str">
        <x:v>Electronics</x:v>
      </x:c>
      <x:c r="F365" s="2" t="str">
        <x:v>Bluetooth speaker</x:v>
      </x:c>
      <x:c r="G365" s="2" t="str">
        <x:v>Online</x:v>
      </x:c>
      <x:c r="H365" s="7" t="n">
        <x:v>4</x:v>
      </x:c>
      <x:c r="I365" s="9" t="n">
        <x:v>26000</x:v>
      </x:c>
      <x:c r="J365" s="9" t="n">
        <x:v>17000</x:v>
      </x:c>
      <x:c r="K365" s="10" t="n">
        <x:v>0.05</x:v>
      </x:c>
      <x:c r="L365" s="2" t="str">
        <x:v>Completed</x:v>
      </x:c>
      <x:c r="M365" s="12" t="n">
        <x:f>H365*I365</x:f>
        <x:v>104000</x:v>
      </x:c>
      <x:c r="N365" s="12" t="n">
        <x:f>IF(L365="Completed",ROUND(M365*(1-K365),2),0)</x:f>
        <x:v>98800</x:v>
      </x:c>
      <x:c r="O365" s="12" t="n">
        <x:f>IF(L365="Completed",H365*J365,0)</x:f>
        <x:v>68000</x:v>
      </x:c>
      <x:c r="P365" s="12" t="n">
        <x:f>N365-O365</x:f>
        <x:v>30800</x:v>
      </x:c>
    </x:row>
    <x:row r="366" ht="21" customHeight="1">
      <x:c r="A366" s="7" t="n">
        <x:v>361</x:v>
      </x:c>
      <x:c r="B366" s="2" t="str">
        <x:v>TXN-00361</x:v>
      </x:c>
      <x:c r="C366" s="8" t="d">
        <x:v>2025-04-17T00:00:00.000Z</x:v>
      </x:c>
      <x:c r="D366" s="2" t="str">
        <x:v>Port Harcourt</x:v>
      </x:c>
      <x:c r="E366" s="2" t="str">
        <x:v>Beauty</x:v>
      </x:c>
      <x:c r="F366" s="2" t="str">
        <x:v>Perfume</x:v>
      </x:c>
      <x:c r="G366" s="2" t="str">
        <x:v>In-store</x:v>
      </x:c>
      <x:c r="H366" s="7" t="n">
        <x:v>1</x:v>
      </x:c>
      <x:c r="I366" s="9" t="n">
        <x:v>17000</x:v>
      </x:c>
      <x:c r="J366" s="9" t="n">
        <x:v>9000</x:v>
      </x:c>
      <x:c r="K366" s="10" t="n">
        <x:v>0</x:v>
      </x:c>
      <x:c r="L366" s="2" t="str">
        <x:v>Completed</x:v>
      </x:c>
      <x:c r="M366" s="12" t="n">
        <x:f>H366*I366</x:f>
        <x:v>17000</x:v>
      </x:c>
      <x:c r="N366" s="12" t="n">
        <x:f>IF(L366="Completed",ROUND(M366*(1-K366),2),0)</x:f>
        <x:v>17000</x:v>
      </x:c>
      <x:c r="O366" s="12" t="n">
        <x:f>IF(L366="Completed",H366*J366,0)</x:f>
        <x:v>9000</x:v>
      </x:c>
      <x:c r="P366" s="12" t="n">
        <x:f>N366-O366</x:f>
        <x:v>8000</x:v>
      </x:c>
    </x:row>
    <x:row r="367" ht="21" customHeight="1">
      <x:c r="A367" s="7" t="n">
        <x:v>362</x:v>
      </x:c>
      <x:c r="B367" s="2" t="str">
        <x:v>TXN-00362</x:v>
      </x:c>
      <x:c r="C367" s="8" t="d">
        <x:v>2025-04-12T00:00:00.000Z</x:v>
      </x:c>
      <x:c r="D367" s="2" t="str">
        <x:v>Abuja</x:v>
      </x:c>
      <x:c r="E367" s="2" t="str">
        <x:v>Home</x:v>
      </x:c>
      <x:c r="F367" s="2" t="str">
        <x:v>Cookware set</x:v>
      </x:c>
      <x:c r="G367" s="2" t="str">
        <x:v>In-store</x:v>
      </x:c>
      <x:c r="H367" s="7" t="n">
        <x:v>4</x:v>
      </x:c>
      <x:c r="I367" s="9" t="n">
        <x:v>35000</x:v>
      </x:c>
      <x:c r="J367" s="9" t="n">
        <x:v>22500</x:v>
      </x:c>
      <x:c r="K367" s="10" t="n">
        <x:v>0</x:v>
      </x:c>
      <x:c r="L367" s="2" t="str">
        <x:v>Completed</x:v>
      </x:c>
      <x:c r="M367" s="12" t="n">
        <x:f>H367*I367</x:f>
        <x:v>140000</x:v>
      </x:c>
      <x:c r="N367" s="12" t="n">
        <x:f>IF(L367="Completed",ROUND(M367*(1-K367),2),0)</x:f>
        <x:v>140000</x:v>
      </x:c>
      <x:c r="O367" s="12" t="n">
        <x:f>IF(L367="Completed",H367*J367,0)</x:f>
        <x:v>90000</x:v>
      </x:c>
      <x:c r="P367" s="12" t="n">
        <x:f>N367-O367</x:f>
        <x:v>50000</x:v>
      </x:c>
    </x:row>
    <x:row r="368" ht="21" customHeight="1">
      <x:c r="A368" s="7" t="n">
        <x:v>363</x:v>
      </x:c>
      <x:c r="B368" s="2" t="str">
        <x:v>TXN-00363</x:v>
      </x:c>
      <x:c r="C368" s="8" t="d">
        <x:v>2025-04-18T00:00:00.000Z</x:v>
      </x:c>
      <x:c r="D368" s="2" t="str">
        <x:v>Kano</x:v>
      </x:c>
      <x:c r="E368" s="2" t="str">
        <x:v>Fashion</x:v>
      </x:c>
      <x:c r="F368" s="2" t="str">
        <x:v>T-shirt</x:v>
      </x:c>
      <x:c r="G368" s="2" t="str">
        <x:v>Online</x:v>
      </x:c>
      <x:c r="H368" s="7" t="n">
        <x:v>2</x:v>
      </x:c>
      <x:c r="I368" s="9" t="n">
        <x:v>9000</x:v>
      </x:c>
      <x:c r="J368" s="9" t="n">
        <x:v>5000</x:v>
      </x:c>
      <x:c r="K368" s="10" t="n">
        <x:v>0.05</x:v>
      </x:c>
      <x:c r="L368" s="2" t="str">
        <x:v>Completed</x:v>
      </x:c>
      <x:c r="M368" s="12" t="n">
        <x:f>H368*I368</x:f>
        <x:v>18000</x:v>
      </x:c>
      <x:c r="N368" s="12" t="n">
        <x:f>IF(L368="Completed",ROUND(M368*(1-K368),2),0)</x:f>
        <x:v>17100</x:v>
      </x:c>
      <x:c r="O368" s="12" t="n">
        <x:f>IF(L368="Completed",H368*J368,0)</x:f>
        <x:v>10000</x:v>
      </x:c>
      <x:c r="P368" s="12" t="n">
        <x:f>N368-O368</x:f>
        <x:v>7100</x:v>
      </x:c>
    </x:row>
    <x:row r="369" ht="21" customHeight="1">
      <x:c r="A369" s="7" t="n">
        <x:v>364</x:v>
      </x:c>
      <x:c r="B369" s="2" t="str">
        <x:v>TXN-00364</x:v>
      </x:c>
      <x:c r="C369" s="8" t="d">
        <x:v>2025-04-13T00:00:00.000Z</x:v>
      </x:c>
      <x:c r="D369" s="2" t="str">
        <x:v>Port Harcourt</x:v>
      </x:c>
      <x:c r="E369" s="2" t="str">
        <x:v>Fashion</x:v>
      </x:c>
      <x:c r="F369" s="2" t="str">
        <x:v>T-shirt</x:v>
      </x:c>
      <x:c r="G369" s="2" t="str">
        <x:v>Online</x:v>
      </x:c>
      <x:c r="H369" s="7" t="n">
        <x:v>1</x:v>
      </x:c>
      <x:c r="I369" s="9" t="n">
        <x:v>9000</x:v>
      </x:c>
      <x:c r="J369" s="9" t="n">
        <x:v>5000</x:v>
      </x:c>
      <x:c r="K369" s="10" t="n">
        <x:v>0.15</x:v>
      </x:c>
      <x:c r="L369" s="2" t="str">
        <x:v>Completed</x:v>
      </x:c>
      <x:c r="M369" s="12" t="n">
        <x:f>H369*I369</x:f>
        <x:v>9000</x:v>
      </x:c>
      <x:c r="N369" s="12" t="n">
        <x:f>IF(L369="Completed",ROUND(M369*(1-K369),2),0)</x:f>
        <x:v>7650</x:v>
      </x:c>
      <x:c r="O369" s="12" t="n">
        <x:f>IF(L369="Completed",H369*J369,0)</x:f>
        <x:v>5000</x:v>
      </x:c>
      <x:c r="P369" s="12" t="n">
        <x:f>N369-O369</x:f>
        <x:v>2650</x:v>
      </x:c>
    </x:row>
    <x:row r="370" ht="21" customHeight="1">
      <x:c r="A370" s="7" t="n">
        <x:v>365</x:v>
      </x:c>
      <x:c r="B370" s="2" t="str">
        <x:v>TXN-00365</x:v>
      </x:c>
      <x:c r="C370" s="8" t="d">
        <x:v>2025-04-26T00:00:00.000Z</x:v>
      </x:c>
      <x:c r="D370" s="2" t="str">
        <x:v>Lagos</x:v>
      </x:c>
      <x:c r="E370" s="2" t="str">
        <x:v>Electronics</x:v>
      </x:c>
      <x:c r="F370" s="2" t="str">
        <x:v>Bluetooth speaker</x:v>
      </x:c>
      <x:c r="G370" s="2" t="str">
        <x:v>Online</x:v>
      </x:c>
      <x:c r="H370" s="7" t="n">
        <x:v>3</x:v>
      </x:c>
      <x:c r="I370" s="9" t="n">
        <x:v>26000</x:v>
      </x:c>
      <x:c r="J370" s="9" t="n">
        <x:v>17000</x:v>
      </x:c>
      <x:c r="K370" s="10" t="n">
        <x:v>0</x:v>
      </x:c>
      <x:c r="L370" s="2" t="str">
        <x:v>Returned</x:v>
      </x:c>
      <x:c r="M370" s="12" t="n">
        <x:f>H370*I370</x:f>
        <x:v>78000</x:v>
      </x:c>
      <x:c r="N370" s="12" t="n">
        <x:f>IF(L370="Completed",ROUND(M370*(1-K370),2),0)</x:f>
        <x:v>0</x:v>
      </x:c>
      <x:c r="O370" s="12" t="n">
        <x:f>IF(L370="Completed",H370*J370,0)</x:f>
        <x:v>0</x:v>
      </x:c>
      <x:c r="P370" s="12" t="n">
        <x:f>N370-O370</x:f>
        <x:v>0</x:v>
      </x:c>
    </x:row>
    <x:row r="371" ht="21" customHeight="1">
      <x:c r="A371" s="7" t="n">
        <x:v>366</x:v>
      </x:c>
      <x:c r="B371" s="2" t="str">
        <x:v>TXN-00366</x:v>
      </x:c>
      <x:c r="C371" s="8" t="d">
        <x:v>2025-04-17T00:00:00.000Z</x:v>
      </x:c>
      <x:c r="D371" s="2" t="str">
        <x:v>Port Harcourt</x:v>
      </x:c>
      <x:c r="E371" s="2" t="str">
        <x:v>Electronics</x:v>
      </x:c>
      <x:c r="F371" s="2" t="str">
        <x:v>Power bank</x:v>
      </x:c>
      <x:c r="G371" s="2" t="str">
        <x:v>In-store</x:v>
      </x:c>
      <x:c r="H371" s="7" t="n">
        <x:v>1</x:v>
      </x:c>
      <x:c r="I371" s="9" t="n">
        <x:v>15000</x:v>
      </x:c>
      <x:c r="J371" s="9" t="n">
        <x:v>9500</x:v>
      </x:c>
      <x:c r="K371" s="10" t="n">
        <x:v>0.1</x:v>
      </x:c>
      <x:c r="L371" s="2" t="str">
        <x:v>Returned</x:v>
      </x:c>
      <x:c r="M371" s="12" t="n">
        <x:f>H371*I371</x:f>
        <x:v>15000</x:v>
      </x:c>
      <x:c r="N371" s="12" t="n">
        <x:f>IF(L371="Completed",ROUND(M371*(1-K371),2),0)</x:f>
        <x:v>0</x:v>
      </x:c>
      <x:c r="O371" s="12" t="n">
        <x:f>IF(L371="Completed",H371*J371,0)</x:f>
        <x:v>0</x:v>
      </x:c>
      <x:c r="P371" s="12" t="n">
        <x:f>N371-O371</x:f>
        <x:v>0</x:v>
      </x:c>
    </x:row>
    <x:row r="372" ht="21" customHeight="1">
      <x:c r="A372" s="7" t="n">
        <x:v>367</x:v>
      </x:c>
      <x:c r="B372" s="2" t="str">
        <x:v>TXN-00367</x:v>
      </x:c>
      <x:c r="C372" s="8" t="d">
        <x:v>2025-04-15T00:00:00.000Z</x:v>
      </x:c>
      <x:c r="D372" s="2" t="str">
        <x:v>Abuja</x:v>
      </x:c>
      <x:c r="E372" s="2" t="str">
        <x:v>Electronics</x:v>
      </x:c>
      <x:c r="F372" s="2" t="str">
        <x:v>Power bank</x:v>
      </x:c>
      <x:c r="G372" s="2" t="str">
        <x:v>In-store</x:v>
      </x:c>
      <x:c r="H372" s="7" t="n">
        <x:v>3</x:v>
      </x:c>
      <x:c r="I372" s="9" t="n">
        <x:v>15000</x:v>
      </x:c>
      <x:c r="J372" s="9" t="n">
        <x:v>9500</x:v>
      </x:c>
      <x:c r="K372" s="10" t="n">
        <x:v>0</x:v>
      </x:c>
      <x:c r="L372" s="2" t="str">
        <x:v>Completed</x:v>
      </x:c>
      <x:c r="M372" s="12" t="n">
        <x:f>H372*I372</x:f>
        <x:v>45000</x:v>
      </x:c>
      <x:c r="N372" s="12" t="n">
        <x:f>IF(L372="Completed",ROUND(M372*(1-K372),2),0)</x:f>
        <x:v>45000</x:v>
      </x:c>
      <x:c r="O372" s="12" t="n">
        <x:f>IF(L372="Completed",H372*J372,0)</x:f>
        <x:v>28500</x:v>
      </x:c>
      <x:c r="P372" s="12" t="n">
        <x:f>N372-O372</x:f>
        <x:v>16500</x:v>
      </x:c>
    </x:row>
    <x:row r="373" ht="21" customHeight="1">
      <x:c r="A373" s="7" t="n">
        <x:v>368</x:v>
      </x:c>
      <x:c r="B373" s="2" t="str">
        <x:v>TXN-00368</x:v>
      </x:c>
      <x:c r="C373" s="8" t="d">
        <x:v>2025-04-09T00:00:00.000Z</x:v>
      </x:c>
      <x:c r="D373" s="2" t="str">
        <x:v>Abuja</x:v>
      </x:c>
      <x:c r="E373" s="2" t="str">
        <x:v>Electronics</x:v>
      </x:c>
      <x:c r="F373" s="2" t="str">
        <x:v>Power bank</x:v>
      </x:c>
      <x:c r="G373" s="2" t="str">
        <x:v>Online</x:v>
      </x:c>
      <x:c r="H373" s="7" t="n">
        <x:v>3</x:v>
      </x:c>
      <x:c r="I373" s="9" t="n">
        <x:v>15000</x:v>
      </x:c>
      <x:c r="J373" s="9" t="n">
        <x:v>9500</x:v>
      </x:c>
      <x:c r="K373" s="10" t="n">
        <x:v>0.05</x:v>
      </x:c>
      <x:c r="L373" s="2" t="str">
        <x:v>Completed</x:v>
      </x:c>
      <x:c r="M373" s="12" t="n">
        <x:f>H373*I373</x:f>
        <x:v>45000</x:v>
      </x:c>
      <x:c r="N373" s="12" t="n">
        <x:f>IF(L373="Completed",ROUND(M373*(1-K373),2),0)</x:f>
        <x:v>42750</x:v>
      </x:c>
      <x:c r="O373" s="12" t="n">
        <x:f>IF(L373="Completed",H373*J373,0)</x:f>
        <x:v>28500</x:v>
      </x:c>
      <x:c r="P373" s="12" t="n">
        <x:f>N373-O373</x:f>
        <x:v>14250</x:v>
      </x:c>
    </x:row>
    <x:row r="374" ht="21" customHeight="1">
      <x:c r="A374" s="7" t="n">
        <x:v>369</x:v>
      </x:c>
      <x:c r="B374" s="2" t="str">
        <x:v>TXN-00369</x:v>
      </x:c>
      <x:c r="C374" s="8" t="d">
        <x:v>2025-04-04T00:00:00.000Z</x:v>
      </x:c>
      <x:c r="D374" s="2" t="str">
        <x:v>Kano</x:v>
      </x:c>
      <x:c r="E374" s="2" t="str">
        <x:v>Beauty</x:v>
      </x:c>
      <x:c r="F374" s="2" t="str">
        <x:v>Body wash</x:v>
      </x:c>
      <x:c r="G374" s="2" t="str">
        <x:v>Online</x:v>
      </x:c>
      <x:c r="H374" s="7" t="n">
        <x:v>1</x:v>
      </x:c>
      <x:c r="I374" s="9" t="n">
        <x:v>4500</x:v>
      </x:c>
      <x:c r="J374" s="9" t="n">
        <x:v>2300</x:v>
      </x:c>
      <x:c r="K374" s="10" t="n">
        <x:v>0</x:v>
      </x:c>
      <x:c r="L374" s="2" t="str">
        <x:v>Completed</x:v>
      </x:c>
      <x:c r="M374" s="12" t="n">
        <x:f>H374*I374</x:f>
        <x:v>4500</x:v>
      </x:c>
      <x:c r="N374" s="12" t="n">
        <x:f>IF(L374="Completed",ROUND(M374*(1-K374),2),0)</x:f>
        <x:v>4500</x:v>
      </x:c>
      <x:c r="O374" s="12" t="n">
        <x:f>IF(L374="Completed",H374*J374,0)</x:f>
        <x:v>2300</x:v>
      </x:c>
      <x:c r="P374" s="12" t="n">
        <x:f>N374-O374</x:f>
        <x:v>2200</x:v>
      </x:c>
    </x:row>
    <x:row r="375" ht="21" customHeight="1">
      <x:c r="A375" s="7" t="n">
        <x:v>370</x:v>
      </x:c>
      <x:c r="B375" s="2" t="str">
        <x:v>TXN-00370</x:v>
      </x:c>
      <x:c r="C375" s="8" t="d">
        <x:v>2025-04-03T00:00:00.000Z</x:v>
      </x:c>
      <x:c r="D375" s="2" t="str">
        <x:v>Lagos</x:v>
      </x:c>
      <x:c r="E375" s="2" t="str">
        <x:v>Electronics</x:v>
      </x:c>
      <x:c r="F375" s="2" t="str">
        <x:v>Headphones</x:v>
      </x:c>
      <x:c r="G375" s="2" t="str">
        <x:v>In-store</x:v>
      </x:c>
      <x:c r="H375" s="7" t="n">
        <x:v>1</x:v>
      </x:c>
      <x:c r="I375" s="9" t="n">
        <x:v>18000</x:v>
      </x:c>
      <x:c r="J375" s="9" t="n">
        <x:v>10500</x:v>
      </x:c>
      <x:c r="K375" s="10" t="n">
        <x:v>0</x:v>
      </x:c>
      <x:c r="L375" s="2" t="str">
        <x:v>Completed</x:v>
      </x:c>
      <x:c r="M375" s="12" t="n">
        <x:f>H375*I375</x:f>
        <x:v>18000</x:v>
      </x:c>
      <x:c r="N375" s="12" t="n">
        <x:f>IF(L375="Completed",ROUND(M375*(1-K375),2),0)</x:f>
        <x:v>18000</x:v>
      </x:c>
      <x:c r="O375" s="12" t="n">
        <x:f>IF(L375="Completed",H375*J375,0)</x:f>
        <x:v>10500</x:v>
      </x:c>
      <x:c r="P375" s="12" t="n">
        <x:f>N375-O375</x:f>
        <x:v>7500</x:v>
      </x:c>
    </x:row>
    <x:row r="376" ht="21" customHeight="1">
      <x:c r="A376" s="7" t="n">
        <x:v>371</x:v>
      </x:c>
      <x:c r="B376" s="2" t="str">
        <x:v>TXN-00371</x:v>
      </x:c>
      <x:c r="C376" s="8" t="d">
        <x:v>2025-04-29T00:00:00.000Z</x:v>
      </x:c>
      <x:c r="D376" s="2" t="str">
        <x:v>Port Harcourt</x:v>
      </x:c>
      <x:c r="E376" s="2" t="str">
        <x:v>Home</x:v>
      </x:c>
      <x:c r="F376" s="2" t="str">
        <x:v>Bedsheet</x:v>
      </x:c>
      <x:c r="G376" s="2" t="str">
        <x:v>In-store</x:v>
      </x:c>
      <x:c r="H376" s="7" t="n">
        <x:v>1</x:v>
      </x:c>
      <x:c r="I376" s="9" t="n">
        <x:v>14000</x:v>
      </x:c>
      <x:c r="J376" s="9" t="n">
        <x:v>8500</x:v>
      </x:c>
      <x:c r="K376" s="10" t="n">
        <x:v>0</x:v>
      </x:c>
      <x:c r="L376" s="2" t="str">
        <x:v>Completed</x:v>
      </x:c>
      <x:c r="M376" s="12" t="n">
        <x:f>H376*I376</x:f>
        <x:v>14000</x:v>
      </x:c>
      <x:c r="N376" s="12" t="n">
        <x:f>IF(L376="Completed",ROUND(M376*(1-K376),2),0)</x:f>
        <x:v>14000</x:v>
      </x:c>
      <x:c r="O376" s="12" t="n">
        <x:f>IF(L376="Completed",H376*J376,0)</x:f>
        <x:v>8500</x:v>
      </x:c>
      <x:c r="P376" s="12" t="n">
        <x:f>N376-O376</x:f>
        <x:v>5500</x:v>
      </x:c>
    </x:row>
    <x:row r="377" ht="21" customHeight="1">
      <x:c r="A377" s="7" t="n">
        <x:v>372</x:v>
      </x:c>
      <x:c r="B377" s="2" t="str">
        <x:v>TXN-00372</x:v>
      </x:c>
      <x:c r="C377" s="8" t="d">
        <x:v>2025-04-13T00:00:00.000Z</x:v>
      </x:c>
      <x:c r="D377" s="2" t="str">
        <x:v>Lagos</x:v>
      </x:c>
      <x:c r="E377" s="2" t="str">
        <x:v>Home</x:v>
      </x:c>
      <x:c r="F377" s="2" t="str">
        <x:v>Cookware set</x:v>
      </x:c>
      <x:c r="G377" s="2" t="str">
        <x:v>Online</x:v>
      </x:c>
      <x:c r="H377" s="7" t="n">
        <x:v>2</x:v>
      </x:c>
      <x:c r="I377" s="9" t="n">
        <x:v>35000</x:v>
      </x:c>
      <x:c r="J377" s="9" t="n">
        <x:v>22500</x:v>
      </x:c>
      <x:c r="K377" s="10" t="n">
        <x:v>0</x:v>
      </x:c>
      <x:c r="L377" s="2" t="str">
        <x:v>Completed</x:v>
      </x:c>
      <x:c r="M377" s="12" t="n">
        <x:f>H377*I377</x:f>
        <x:v>70000</x:v>
      </x:c>
      <x:c r="N377" s="12" t="n">
        <x:f>IF(L377="Completed",ROUND(M377*(1-K377),2),0)</x:f>
        <x:v>70000</x:v>
      </x:c>
      <x:c r="O377" s="12" t="n">
        <x:f>IF(L377="Completed",H377*J377,0)</x:f>
        <x:v>45000</x:v>
      </x:c>
      <x:c r="P377" s="12" t="n">
        <x:f>N377-O377</x:f>
        <x:v>25000</x:v>
      </x:c>
    </x:row>
    <x:row r="378" ht="21" customHeight="1">
      <x:c r="A378" s="7" t="n">
        <x:v>373</x:v>
      </x:c>
      <x:c r="B378" s="2" t="str">
        <x:v>TXN-00373</x:v>
      </x:c>
      <x:c r="C378" s="8" t="d">
        <x:v>2025-04-15T00:00:00.000Z</x:v>
      </x:c>
      <x:c r="D378" s="2" t="str">
        <x:v>Abuja</x:v>
      </x:c>
      <x:c r="E378" s="2" t="str">
        <x:v>Fashion</x:v>
      </x:c>
      <x:c r="F378" s="2" t="str">
        <x:v>T-shirt</x:v>
      </x:c>
      <x:c r="G378" s="2" t="str">
        <x:v>In-store</x:v>
      </x:c>
      <x:c r="H378" s="7" t="n">
        <x:v>1</x:v>
      </x:c>
      <x:c r="I378" s="9" t="n">
        <x:v>9000</x:v>
      </x:c>
      <x:c r="J378" s="9" t="n">
        <x:v>5000</x:v>
      </x:c>
      <x:c r="K378" s="10" t="n">
        <x:v>0</x:v>
      </x:c>
      <x:c r="L378" s="2" t="str">
        <x:v>Completed</x:v>
      </x:c>
      <x:c r="M378" s="12" t="n">
        <x:f>H378*I378</x:f>
        <x:v>9000</x:v>
      </x:c>
      <x:c r="N378" s="12" t="n">
        <x:f>IF(L378="Completed",ROUND(M378*(1-K378),2),0)</x:f>
        <x:v>9000</x:v>
      </x:c>
      <x:c r="O378" s="12" t="n">
        <x:f>IF(L378="Completed",H378*J378,0)</x:f>
        <x:v>5000</x:v>
      </x:c>
      <x:c r="P378" s="12" t="n">
        <x:f>N378-O378</x:f>
        <x:v>4000</x:v>
      </x:c>
    </x:row>
    <x:row r="379" ht="21" customHeight="1">
      <x:c r="A379" s="7" t="n">
        <x:v>374</x:v>
      </x:c>
      <x:c r="B379" s="2" t="str">
        <x:v>TXN-00374</x:v>
      </x:c>
      <x:c r="C379" s="8" t="d">
        <x:v>2025-04-12T00:00:00.000Z</x:v>
      </x:c>
      <x:c r="D379" s="2" t="str">
        <x:v>Kano</x:v>
      </x:c>
      <x:c r="E379" s="2" t="str">
        <x:v>Electronics</x:v>
      </x:c>
      <x:c r="F379" s="2" t="str">
        <x:v>Bluetooth speaker</x:v>
      </x:c>
      <x:c r="G379" s="2" t="str">
        <x:v>In-store</x:v>
      </x:c>
      <x:c r="H379" s="7" t="n">
        <x:v>2</x:v>
      </x:c>
      <x:c r="I379" s="9" t="n">
        <x:v>26000</x:v>
      </x:c>
      <x:c r="J379" s="9" t="n">
        <x:v>17000</x:v>
      </x:c>
      <x:c r="K379" s="10" t="n">
        <x:v>0.05</x:v>
      </x:c>
      <x:c r="L379" s="2" t="str">
        <x:v>Completed</x:v>
      </x:c>
      <x:c r="M379" s="12" t="n">
        <x:f>H379*I379</x:f>
        <x:v>52000</x:v>
      </x:c>
      <x:c r="N379" s="12" t="n">
        <x:f>IF(L379="Completed",ROUND(M379*(1-K379),2),0)</x:f>
        <x:v>49400</x:v>
      </x:c>
      <x:c r="O379" s="12" t="n">
        <x:f>IF(L379="Completed",H379*J379,0)</x:f>
        <x:v>34000</x:v>
      </x:c>
      <x:c r="P379" s="12" t="n">
        <x:f>N379-O379</x:f>
        <x:v>15400</x:v>
      </x:c>
    </x:row>
    <x:row r="380" ht="21" customHeight="1">
      <x:c r="A380" s="7" t="n">
        <x:v>375</x:v>
      </x:c>
      <x:c r="B380" s="2" t="str">
        <x:v>TXN-00375</x:v>
      </x:c>
      <x:c r="C380" s="8" t="d">
        <x:v>2025-04-19T00:00:00.000Z</x:v>
      </x:c>
      <x:c r="D380" s="2" t="str">
        <x:v>Port Harcourt</x:v>
      </x:c>
      <x:c r="E380" s="2" t="str">
        <x:v>Electronics</x:v>
      </x:c>
      <x:c r="F380" s="2" t="str">
        <x:v>Headphones</x:v>
      </x:c>
      <x:c r="G380" s="2" t="str">
        <x:v>Online</x:v>
      </x:c>
      <x:c r="H380" s="7" t="n">
        <x:v>1</x:v>
      </x:c>
      <x:c r="I380" s="9" t="n">
        <x:v>18000</x:v>
      </x:c>
      <x:c r="J380" s="9" t="n">
        <x:v>10500</x:v>
      </x:c>
      <x:c r="K380" s="10" t="n">
        <x:v>0.1</x:v>
      </x:c>
      <x:c r="L380" s="2" t="str">
        <x:v>Completed</x:v>
      </x:c>
      <x:c r="M380" s="12" t="n">
        <x:f>H380*I380</x:f>
        <x:v>18000</x:v>
      </x:c>
      <x:c r="N380" s="12" t="n">
        <x:f>IF(L380="Completed",ROUND(M380*(1-K380),2),0)</x:f>
        <x:v>16200</x:v>
      </x:c>
      <x:c r="O380" s="12" t="n">
        <x:f>IF(L380="Completed",H380*J380,0)</x:f>
        <x:v>10500</x:v>
      </x:c>
      <x:c r="P380" s="12" t="n">
        <x:f>N380-O380</x:f>
        <x:v>5700</x:v>
      </x:c>
    </x:row>
    <x:row r="381" ht="21" customHeight="1">
      <x:c r="A381" s="7" t="n">
        <x:v>376</x:v>
      </x:c>
      <x:c r="B381" s="2" t="str">
        <x:v>TXN-00376</x:v>
      </x:c>
      <x:c r="C381" s="8" t="d">
        <x:v>2025-04-12T00:00:00.000Z</x:v>
      </x:c>
      <x:c r="D381" s="2" t="str">
        <x:v>Lagos</x:v>
      </x:c>
      <x:c r="E381" s="2" t="str">
        <x:v>Home</x:v>
      </x:c>
      <x:c r="F381" s="2" t="str">
        <x:v>Cookware set</x:v>
      </x:c>
      <x:c r="G381" s="2" t="str">
        <x:v>Online</x:v>
      </x:c>
      <x:c r="H381" s="7" t="n">
        <x:v>1</x:v>
      </x:c>
      <x:c r="I381" s="9" t="n">
        <x:v>35000</x:v>
      </x:c>
      <x:c r="J381" s="9" t="n">
        <x:v>22500</x:v>
      </x:c>
      <x:c r="K381" s="10" t="n">
        <x:v>0</x:v>
      </x:c>
      <x:c r="L381" s="2" t="str">
        <x:v>Completed</x:v>
      </x:c>
      <x:c r="M381" s="12" t="n">
        <x:f>H381*I381</x:f>
        <x:v>35000</x:v>
      </x:c>
      <x:c r="N381" s="12" t="n">
        <x:f>IF(L381="Completed",ROUND(M381*(1-K381),2),0)</x:f>
        <x:v>35000</x:v>
      </x:c>
      <x:c r="O381" s="12" t="n">
        <x:f>IF(L381="Completed",H381*J381,0)</x:f>
        <x:v>22500</x:v>
      </x:c>
      <x:c r="P381" s="12" t="n">
        <x:f>N381-O381</x:f>
        <x:v>12500</x:v>
      </x:c>
    </x:row>
    <x:row r="382" ht="21" customHeight="1">
      <x:c r="A382" s="7" t="n">
        <x:v>377</x:v>
      </x:c>
      <x:c r="B382" s="2" t="str">
        <x:v>TXN-00377</x:v>
      </x:c>
      <x:c r="C382" s="8" t="d">
        <x:v>2025-04-19T00:00:00.000Z</x:v>
      </x:c>
      <x:c r="D382" s="2" t="str">
        <x:v>Abuja</x:v>
      </x:c>
      <x:c r="E382" s="2" t="str">
        <x:v>Beauty</x:v>
      </x:c>
      <x:c r="F382" s="2" t="str">
        <x:v>Perfume</x:v>
      </x:c>
      <x:c r="G382" s="2" t="str">
        <x:v>Online</x:v>
      </x:c>
      <x:c r="H382" s="7" t="n">
        <x:v>2</x:v>
      </x:c>
      <x:c r="I382" s="9" t="n">
        <x:v>17000</x:v>
      </x:c>
      <x:c r="J382" s="9" t="n">
        <x:v>9000</x:v>
      </x:c>
      <x:c r="K382" s="10" t="n">
        <x:v>0</x:v>
      </x:c>
      <x:c r="L382" s="2" t="str">
        <x:v>Completed</x:v>
      </x:c>
      <x:c r="M382" s="12" t="n">
        <x:f>H382*I382</x:f>
        <x:v>34000</x:v>
      </x:c>
      <x:c r="N382" s="12" t="n">
        <x:f>IF(L382="Completed",ROUND(M382*(1-K382),2),0)</x:f>
        <x:v>34000</x:v>
      </x:c>
      <x:c r="O382" s="12" t="n">
        <x:f>IF(L382="Completed",H382*J382,0)</x:f>
        <x:v>18000</x:v>
      </x:c>
      <x:c r="P382" s="12" t="n">
        <x:f>N382-O382</x:f>
        <x:v>16000</x:v>
      </x:c>
    </x:row>
    <x:row r="383" ht="21" customHeight="1">
      <x:c r="A383" s="7" t="n">
        <x:v>378</x:v>
      </x:c>
      <x:c r="B383" s="2" t="str">
        <x:v>TXN-00378</x:v>
      </x:c>
      <x:c r="C383" s="8" t="d">
        <x:v>2025-04-14T00:00:00.000Z</x:v>
      </x:c>
      <x:c r="D383" s="2" t="str">
        <x:v>Port Harcourt</x:v>
      </x:c>
      <x:c r="E383" s="2" t="str">
        <x:v>Fashion</x:v>
      </x:c>
      <x:c r="F383" s="2" t="str">
        <x:v>Handbag</x:v>
      </x:c>
      <x:c r="G383" s="2" t="str">
        <x:v>Online</x:v>
      </x:c>
      <x:c r="H383" s="7" t="n">
        <x:v>3</x:v>
      </x:c>
      <x:c r="I383" s="9" t="n">
        <x:v>22000</x:v>
      </x:c>
      <x:c r="J383" s="9" t="n">
        <x:v>13500</x:v>
      </x:c>
      <x:c r="K383" s="10" t="n">
        <x:v>0</x:v>
      </x:c>
      <x:c r="L383" s="2" t="str">
        <x:v>Completed</x:v>
      </x:c>
      <x:c r="M383" s="12" t="n">
        <x:f>H383*I383</x:f>
        <x:v>66000</x:v>
      </x:c>
      <x:c r="N383" s="12" t="n">
        <x:f>IF(L383="Completed",ROUND(M383*(1-K383),2),0)</x:f>
        <x:v>66000</x:v>
      </x:c>
      <x:c r="O383" s="12" t="n">
        <x:f>IF(L383="Completed",H383*J383,0)</x:f>
        <x:v>40500</x:v>
      </x:c>
      <x:c r="P383" s="12" t="n">
        <x:f>N383-O383</x:f>
        <x:v>25500</x:v>
      </x:c>
    </x:row>
    <x:row r="384" ht="21" customHeight="1">
      <x:c r="A384" s="7" t="n">
        <x:v>379</x:v>
      </x:c>
      <x:c r="B384" s="2" t="str">
        <x:v>TXN-00379</x:v>
      </x:c>
      <x:c r="C384" s="8" t="d">
        <x:v>2025-04-04T00:00:00.000Z</x:v>
      </x:c>
      <x:c r="D384" s="2" t="str">
        <x:v>Port Harcourt</x:v>
      </x:c>
      <x:c r="E384" s="2" t="str">
        <x:v>Beauty</x:v>
      </x:c>
      <x:c r="F384" s="2" t="str">
        <x:v>Moisturizer</x:v>
      </x:c>
      <x:c r="G384" s="2" t="str">
        <x:v>Online</x:v>
      </x:c>
      <x:c r="H384" s="7" t="n">
        <x:v>1</x:v>
      </x:c>
      <x:c r="I384" s="9" t="n">
        <x:v>6500</x:v>
      </x:c>
      <x:c r="J384" s="9" t="n">
        <x:v>3500</x:v>
      </x:c>
      <x:c r="K384" s="10" t="n">
        <x:v>0.15</x:v>
      </x:c>
      <x:c r="L384" s="2" t="str">
        <x:v>Completed</x:v>
      </x:c>
      <x:c r="M384" s="12" t="n">
        <x:f>H384*I384</x:f>
        <x:v>6500</x:v>
      </x:c>
      <x:c r="N384" s="12" t="n">
        <x:f>IF(L384="Completed",ROUND(M384*(1-K384),2),0)</x:f>
        <x:v>5525</x:v>
      </x:c>
      <x:c r="O384" s="12" t="n">
        <x:f>IF(L384="Completed",H384*J384,0)</x:f>
        <x:v>3500</x:v>
      </x:c>
      <x:c r="P384" s="12" t="n">
        <x:f>N384-O384</x:f>
        <x:v>2025</x:v>
      </x:c>
    </x:row>
    <x:row r="385" ht="21" customHeight="1">
      <x:c r="A385" s="7" t="n">
        <x:v>380</x:v>
      </x:c>
      <x:c r="B385" s="2" t="str">
        <x:v>TXN-00380</x:v>
      </x:c>
      <x:c r="C385" s="8" t="d">
        <x:v>2025-04-13T00:00:00.000Z</x:v>
      </x:c>
      <x:c r="D385" s="2" t="str">
        <x:v>Port Harcourt</x:v>
      </x:c>
      <x:c r="E385" s="2" t="str">
        <x:v>Electronics</x:v>
      </x:c>
      <x:c r="F385" s="2" t="str">
        <x:v>Power bank</x:v>
      </x:c>
      <x:c r="G385" s="2" t="str">
        <x:v>In-store</x:v>
      </x:c>
      <x:c r="H385" s="7" t="n">
        <x:v>1</x:v>
      </x:c>
      <x:c r="I385" s="9" t="n">
        <x:v>15000</x:v>
      </x:c>
      <x:c r="J385" s="9" t="n">
        <x:v>9500</x:v>
      </x:c>
      <x:c r="K385" s="10" t="n">
        <x:v>0</x:v>
      </x:c>
      <x:c r="L385" s="2" t="str">
        <x:v>Completed</x:v>
      </x:c>
      <x:c r="M385" s="12" t="n">
        <x:f>H385*I385</x:f>
        <x:v>15000</x:v>
      </x:c>
      <x:c r="N385" s="12" t="n">
        <x:f>IF(L385="Completed",ROUND(M385*(1-K385),2),0)</x:f>
        <x:v>15000</x:v>
      </x:c>
      <x:c r="O385" s="12" t="n">
        <x:f>IF(L385="Completed",H385*J385,0)</x:f>
        <x:v>9500</x:v>
      </x:c>
      <x:c r="P385" s="12" t="n">
        <x:f>N385-O385</x:f>
        <x:v>5500</x:v>
      </x:c>
    </x:row>
    <x:row r="386" ht="21" customHeight="1">
      <x:c r="A386" s="7" t="n">
        <x:v>381</x:v>
      </x:c>
      <x:c r="B386" s="2" t="str">
        <x:v>TXN-00381</x:v>
      </x:c>
      <x:c r="C386" s="8" t="d">
        <x:v>2025-04-22T00:00:00.000Z</x:v>
      </x:c>
      <x:c r="D386" s="2" t="str">
        <x:v>Lagos</x:v>
      </x:c>
      <x:c r="E386" s="2" t="str">
        <x:v>Home</x:v>
      </x:c>
      <x:c r="F386" s="2" t="str">
        <x:v>Desk lamp</x:v>
      </x:c>
      <x:c r="G386" s="2" t="str">
        <x:v>Online</x:v>
      </x:c>
      <x:c r="H386" s="7" t="n">
        <x:v>1</x:v>
      </x:c>
      <x:c r="I386" s="9" t="n">
        <x:v>12000</x:v>
      </x:c>
      <x:c r="J386" s="9" t="n">
        <x:v>7200</x:v>
      </x:c>
      <x:c r="K386" s="10" t="n">
        <x:v>0</x:v>
      </x:c>
      <x:c r="L386" s="2" t="str">
        <x:v>Completed</x:v>
      </x:c>
      <x:c r="M386" s="12" t="n">
        <x:f>H386*I386</x:f>
        <x:v>12000</x:v>
      </x:c>
      <x:c r="N386" s="12" t="n">
        <x:f>IF(L386="Completed",ROUND(M386*(1-K386),2),0)</x:f>
        <x:v>12000</x:v>
      </x:c>
      <x:c r="O386" s="12" t="n">
        <x:f>IF(L386="Completed",H386*J386,0)</x:f>
        <x:v>7200</x:v>
      </x:c>
      <x:c r="P386" s="12" t="n">
        <x:f>N386-O386</x:f>
        <x:v>4800</x:v>
      </x:c>
    </x:row>
    <x:row r="387" ht="21" customHeight="1">
      <x:c r="A387" s="7" t="n">
        <x:v>382</x:v>
      </x:c>
      <x:c r="B387" s="2" t="str">
        <x:v>TXN-00382</x:v>
      </x:c>
      <x:c r="C387" s="8" t="d">
        <x:v>2025-04-21T00:00:00.000Z</x:v>
      </x:c>
      <x:c r="D387" s="2" t="str">
        <x:v>Port Harcourt</x:v>
      </x:c>
      <x:c r="E387" s="2" t="str">
        <x:v>Beauty</x:v>
      </x:c>
      <x:c r="F387" s="2" t="str">
        <x:v>Perfume</x:v>
      </x:c>
      <x:c r="G387" s="2" t="str">
        <x:v>In-store</x:v>
      </x:c>
      <x:c r="H387" s="7" t="n">
        <x:v>1</x:v>
      </x:c>
      <x:c r="I387" s="9" t="n">
        <x:v>17000</x:v>
      </x:c>
      <x:c r="J387" s="9" t="n">
        <x:v>9000</x:v>
      </x:c>
      <x:c r="K387" s="10" t="n">
        <x:v>0.1</x:v>
      </x:c>
      <x:c r="L387" s="2" t="str">
        <x:v>Completed</x:v>
      </x:c>
      <x:c r="M387" s="12" t="n">
        <x:f>H387*I387</x:f>
        <x:v>17000</x:v>
      </x:c>
      <x:c r="N387" s="12" t="n">
        <x:f>IF(L387="Completed",ROUND(M387*(1-K387),2),0)</x:f>
        <x:v>15300</x:v>
      </x:c>
      <x:c r="O387" s="12" t="n">
        <x:f>IF(L387="Completed",H387*J387,0)</x:f>
        <x:v>9000</x:v>
      </x:c>
      <x:c r="P387" s="12" t="n">
        <x:f>N387-O387</x:f>
        <x:v>6300</x:v>
      </x:c>
    </x:row>
    <x:row r="388" ht="21" customHeight="1">
      <x:c r="A388" s="7" t="n">
        <x:v>383</x:v>
      </x:c>
      <x:c r="B388" s="2" t="str">
        <x:v>TXN-00383</x:v>
      </x:c>
      <x:c r="C388" s="8" t="d">
        <x:v>2025-04-20T00:00:00.000Z</x:v>
      </x:c>
      <x:c r="D388" s="2" t="str">
        <x:v>Abuja</x:v>
      </x:c>
      <x:c r="E388" s="2" t="str">
        <x:v>Fashion</x:v>
      </x:c>
      <x:c r="F388" s="2" t="str">
        <x:v>Sneakers</x:v>
      </x:c>
      <x:c r="G388" s="2" t="str">
        <x:v>Online</x:v>
      </x:c>
      <x:c r="H388" s="7" t="n">
        <x:v>1</x:v>
      </x:c>
      <x:c r="I388" s="9" t="n">
        <x:v>28000</x:v>
      </x:c>
      <x:c r="J388" s="9" t="n">
        <x:v>17500</x:v>
      </x:c>
      <x:c r="K388" s="10" t="n">
        <x:v>0</x:v>
      </x:c>
      <x:c r="L388" s="2" t="str">
        <x:v>Completed</x:v>
      </x:c>
      <x:c r="M388" s="12" t="n">
        <x:f>H388*I388</x:f>
        <x:v>28000</x:v>
      </x:c>
      <x:c r="N388" s="12" t="n">
        <x:f>IF(L388="Completed",ROUND(M388*(1-K388),2),0)</x:f>
        <x:v>28000</x:v>
      </x:c>
      <x:c r="O388" s="12" t="n">
        <x:f>IF(L388="Completed",H388*J388,0)</x:f>
        <x:v>17500</x:v>
      </x:c>
      <x:c r="P388" s="12" t="n">
        <x:f>N388-O388</x:f>
        <x:v>10500</x:v>
      </x:c>
    </x:row>
    <x:row r="389" ht="21" customHeight="1">
      <x:c r="A389" s="7" t="n">
        <x:v>384</x:v>
      </x:c>
      <x:c r="B389" s="2" t="str">
        <x:v>TXN-00384</x:v>
      </x:c>
      <x:c r="C389" s="8" t="d">
        <x:v>2025-04-07T00:00:00.000Z</x:v>
      </x:c>
      <x:c r="D389" s="2" t="str">
        <x:v>Kano</x:v>
      </x:c>
      <x:c r="E389" s="2" t="str">
        <x:v>Electronics</x:v>
      </x:c>
      <x:c r="F389" s="2" t="str">
        <x:v>Bluetooth speaker</x:v>
      </x:c>
      <x:c r="G389" s="2" t="str">
        <x:v>Online</x:v>
      </x:c>
      <x:c r="H389" s="7" t="n">
        <x:v>1</x:v>
      </x:c>
      <x:c r="I389" s="9" t="n">
        <x:v>26000</x:v>
      </x:c>
      <x:c r="J389" s="9" t="n">
        <x:v>17000</x:v>
      </x:c>
      <x:c r="K389" s="10" t="n">
        <x:v>0</x:v>
      </x:c>
      <x:c r="L389" s="2" t="str">
        <x:v>Completed</x:v>
      </x:c>
      <x:c r="M389" s="12" t="n">
        <x:f>H389*I389</x:f>
        <x:v>26000</x:v>
      </x:c>
      <x:c r="N389" s="12" t="n">
        <x:f>IF(L389="Completed",ROUND(M389*(1-K389),2),0)</x:f>
        <x:v>26000</x:v>
      </x:c>
      <x:c r="O389" s="12" t="n">
        <x:f>IF(L389="Completed",H389*J389,0)</x:f>
        <x:v>17000</x:v>
      </x:c>
      <x:c r="P389" s="12" t="n">
        <x:f>N389-O389</x:f>
        <x:v>9000</x:v>
      </x:c>
    </x:row>
    <x:row r="390" ht="21" customHeight="1">
      <x:c r="A390" s="7" t="n">
        <x:v>385</x:v>
      </x:c>
      <x:c r="B390" s="2" t="str">
        <x:v>TXN-00385</x:v>
      </x:c>
      <x:c r="C390" s="8" t="d">
        <x:v>2025-04-19T00:00:00.000Z</x:v>
      </x:c>
      <x:c r="D390" s="2" t="str">
        <x:v>Port Harcourt</x:v>
      </x:c>
      <x:c r="E390" s="2" t="str">
        <x:v>Electronics</x:v>
      </x:c>
      <x:c r="F390" s="2" t="str">
        <x:v>Headphones</x:v>
      </x:c>
      <x:c r="G390" s="2" t="str">
        <x:v>Online</x:v>
      </x:c>
      <x:c r="H390" s="7" t="n">
        <x:v>1</x:v>
      </x:c>
      <x:c r="I390" s="9" t="n">
        <x:v>18000</x:v>
      </x:c>
      <x:c r="J390" s="9" t="n">
        <x:v>10500</x:v>
      </x:c>
      <x:c r="K390" s="10" t="n">
        <x:v>0.15</x:v>
      </x:c>
      <x:c r="L390" s="2" t="str">
        <x:v>Completed</x:v>
      </x:c>
      <x:c r="M390" s="12" t="n">
        <x:f>H390*I390</x:f>
        <x:v>18000</x:v>
      </x:c>
      <x:c r="N390" s="12" t="n">
        <x:f>IF(L390="Completed",ROUND(M390*(1-K390),2),0)</x:f>
        <x:v>15300</x:v>
      </x:c>
      <x:c r="O390" s="12" t="n">
        <x:f>IF(L390="Completed",H390*J390,0)</x:f>
        <x:v>10500</x:v>
      </x:c>
      <x:c r="P390" s="12" t="n">
        <x:f>N390-O390</x:f>
        <x:v>4800</x:v>
      </x:c>
    </x:row>
    <x:row r="391" ht="21" customHeight="1">
      <x:c r="A391" s="7" t="n">
        <x:v>386</x:v>
      </x:c>
      <x:c r="B391" s="2" t="str">
        <x:v>TXN-00386</x:v>
      </x:c>
      <x:c r="C391" s="8" t="d">
        <x:v>2025-04-30T00:00:00.000Z</x:v>
      </x:c>
      <x:c r="D391" s="2" t="str">
        <x:v>Lagos</x:v>
      </x:c>
      <x:c r="E391" s="2" t="str">
        <x:v>Fashion</x:v>
      </x:c>
      <x:c r="F391" s="2" t="str">
        <x:v>Sneakers</x:v>
      </x:c>
      <x:c r="G391" s="2" t="str">
        <x:v>Online</x:v>
      </x:c>
      <x:c r="H391" s="7" t="n">
        <x:v>2</x:v>
      </x:c>
      <x:c r="I391" s="9" t="n">
        <x:v>28000</x:v>
      </x:c>
      <x:c r="J391" s="9" t="n">
        <x:v>17500</x:v>
      </x:c>
      <x:c r="K391" s="10" t="n">
        <x:v>0</x:v>
      </x:c>
      <x:c r="L391" s="2" t="str">
        <x:v>Completed</x:v>
      </x:c>
      <x:c r="M391" s="12" t="n">
        <x:f>H391*I391</x:f>
        <x:v>56000</x:v>
      </x:c>
      <x:c r="N391" s="12" t="n">
        <x:f>IF(L391="Completed",ROUND(M391*(1-K391),2),0)</x:f>
        <x:v>56000</x:v>
      </x:c>
      <x:c r="O391" s="12" t="n">
        <x:f>IF(L391="Completed",H391*J391,0)</x:f>
        <x:v>35000</x:v>
      </x:c>
      <x:c r="P391" s="12" t="n">
        <x:f>N391-O391</x:f>
        <x:v>21000</x:v>
      </x:c>
    </x:row>
    <x:row r="392" ht="21" customHeight="1">
      <x:c r="A392" s="7" t="n">
        <x:v>387</x:v>
      </x:c>
      <x:c r="B392" s="2" t="str">
        <x:v>TXN-00387</x:v>
      </x:c>
      <x:c r="C392" s="8" t="d">
        <x:v>2025-04-24T00:00:00.000Z</x:v>
      </x:c>
      <x:c r="D392" s="2" t="str">
        <x:v>Lagos</x:v>
      </x:c>
      <x:c r="E392" s="2" t="str">
        <x:v>Fashion</x:v>
      </x:c>
      <x:c r="F392" s="2" t="str">
        <x:v>Sneakers</x:v>
      </x:c>
      <x:c r="G392" s="2" t="str">
        <x:v>Online</x:v>
      </x:c>
      <x:c r="H392" s="7" t="n">
        <x:v>2</x:v>
      </x:c>
      <x:c r="I392" s="9" t="n">
        <x:v>28000</x:v>
      </x:c>
      <x:c r="J392" s="9" t="n">
        <x:v>17500</x:v>
      </x:c>
      <x:c r="K392" s="10" t="n">
        <x:v>0.1</x:v>
      </x:c>
      <x:c r="L392" s="2" t="str">
        <x:v>Completed</x:v>
      </x:c>
      <x:c r="M392" s="12" t="n">
        <x:f>H392*I392</x:f>
        <x:v>56000</x:v>
      </x:c>
      <x:c r="N392" s="12" t="n">
        <x:f>IF(L392="Completed",ROUND(M392*(1-K392),2),0)</x:f>
        <x:v>50400</x:v>
      </x:c>
      <x:c r="O392" s="12" t="n">
        <x:f>IF(L392="Completed",H392*J392,0)</x:f>
        <x:v>35000</x:v>
      </x:c>
      <x:c r="P392" s="12" t="n">
        <x:f>N392-O392</x:f>
        <x:v>15400</x:v>
      </x:c>
    </x:row>
    <x:row r="393" ht="21" customHeight="1">
      <x:c r="A393" s="7" t="n">
        <x:v>388</x:v>
      </x:c>
      <x:c r="B393" s="2" t="str">
        <x:v>TXN-00388</x:v>
      </x:c>
      <x:c r="C393" s="8" t="d">
        <x:v>2025-04-11T00:00:00.000Z</x:v>
      </x:c>
      <x:c r="D393" s="2" t="str">
        <x:v>Kano</x:v>
      </x:c>
      <x:c r="E393" s="2" t="str">
        <x:v>Home</x:v>
      </x:c>
      <x:c r="F393" s="2" t="str">
        <x:v>Desk lamp</x:v>
      </x:c>
      <x:c r="G393" s="2" t="str">
        <x:v>In-store</x:v>
      </x:c>
      <x:c r="H393" s="7" t="n">
        <x:v>1</x:v>
      </x:c>
      <x:c r="I393" s="9" t="n">
        <x:v>12000</x:v>
      </x:c>
      <x:c r="J393" s="9" t="n">
        <x:v>7200</x:v>
      </x:c>
      <x:c r="K393" s="10" t="n">
        <x:v>0</x:v>
      </x:c>
      <x:c r="L393" s="2" t="str">
        <x:v>Completed</x:v>
      </x:c>
      <x:c r="M393" s="12" t="n">
        <x:f>H393*I393</x:f>
        <x:v>12000</x:v>
      </x:c>
      <x:c r="N393" s="12" t="n">
        <x:f>IF(L393="Completed",ROUND(M393*(1-K393),2),0)</x:f>
        <x:v>12000</x:v>
      </x:c>
      <x:c r="O393" s="12" t="n">
        <x:f>IF(L393="Completed",H393*J393,0)</x:f>
        <x:v>7200</x:v>
      </x:c>
      <x:c r="P393" s="12" t="n">
        <x:f>N393-O393</x:f>
        <x:v>4800</x:v>
      </x:c>
    </x:row>
    <x:row r="394" ht="21" customHeight="1">
      <x:c r="A394" s="7" t="n">
        <x:v>389</x:v>
      </x:c>
      <x:c r="B394" s="2" t="str">
        <x:v>TXN-00389</x:v>
      </x:c>
      <x:c r="C394" s="8" t="d">
        <x:v>2025-04-23T00:00:00.000Z</x:v>
      </x:c>
      <x:c r="D394" s="2" t="str">
        <x:v>Port Harcourt</x:v>
      </x:c>
      <x:c r="E394" s="2" t="str">
        <x:v>Home</x:v>
      </x:c>
      <x:c r="F394" s="2" t="str">
        <x:v>Desk lamp</x:v>
      </x:c>
      <x:c r="G394" s="2" t="str">
        <x:v>Online</x:v>
      </x:c>
      <x:c r="H394" s="7" t="n">
        <x:v>2</x:v>
      </x:c>
      <x:c r="I394" s="9" t="n">
        <x:v>12000</x:v>
      </x:c>
      <x:c r="J394" s="9" t="n">
        <x:v>7200</x:v>
      </x:c>
      <x:c r="K394" s="10" t="n">
        <x:v>0</x:v>
      </x:c>
      <x:c r="L394" s="2" t="str">
        <x:v>Completed</x:v>
      </x:c>
      <x:c r="M394" s="12" t="n">
        <x:f>H394*I394</x:f>
        <x:v>24000</x:v>
      </x:c>
      <x:c r="N394" s="12" t="n">
        <x:f>IF(L394="Completed",ROUND(M394*(1-K394),2),0)</x:f>
        <x:v>24000</x:v>
      </x:c>
      <x:c r="O394" s="12" t="n">
        <x:f>IF(L394="Completed",H394*J394,0)</x:f>
        <x:v>14400</x:v>
      </x:c>
      <x:c r="P394" s="12" t="n">
        <x:f>N394-O394</x:f>
        <x:v>9600</x:v>
      </x:c>
    </x:row>
    <x:row r="395" ht="21" customHeight="1">
      <x:c r="A395" s="7" t="n">
        <x:v>390</x:v>
      </x:c>
      <x:c r="B395" s="2" t="str">
        <x:v>TXN-00390</x:v>
      </x:c>
      <x:c r="C395" s="8" t="d">
        <x:v>2025-04-04T00:00:00.000Z</x:v>
      </x:c>
      <x:c r="D395" s="2" t="str">
        <x:v>Lagos</x:v>
      </x:c>
      <x:c r="E395" s="2" t="str">
        <x:v>Beauty</x:v>
      </x:c>
      <x:c r="F395" s="2" t="str">
        <x:v>Body wash</x:v>
      </x:c>
      <x:c r="G395" s="2" t="str">
        <x:v>Online</x:v>
      </x:c>
      <x:c r="H395" s="7" t="n">
        <x:v>3</x:v>
      </x:c>
      <x:c r="I395" s="9" t="n">
        <x:v>4500</x:v>
      </x:c>
      <x:c r="J395" s="9" t="n">
        <x:v>2300</x:v>
      </x:c>
      <x:c r="K395" s="10" t="n">
        <x:v>0.05</x:v>
      </x:c>
      <x:c r="L395" s="2" t="str">
        <x:v>Completed</x:v>
      </x:c>
      <x:c r="M395" s="12" t="n">
        <x:f>H395*I395</x:f>
        <x:v>13500</x:v>
      </x:c>
      <x:c r="N395" s="12" t="n">
        <x:f>IF(L395="Completed",ROUND(M395*(1-K395),2),0)</x:f>
        <x:v>12825</x:v>
      </x:c>
      <x:c r="O395" s="12" t="n">
        <x:f>IF(L395="Completed",H395*J395,0)</x:f>
        <x:v>6900</x:v>
      </x:c>
      <x:c r="P395" s="12" t="n">
        <x:f>N395-O395</x:f>
        <x:v>5925</x:v>
      </x:c>
    </x:row>
    <x:row r="396" ht="21" customHeight="1">
      <x:c r="A396" s="7" t="n">
        <x:v>391</x:v>
      </x:c>
      <x:c r="B396" s="2" t="str">
        <x:v>TXN-00391</x:v>
      </x:c>
      <x:c r="C396" s="8" t="d">
        <x:v>2025-04-23T00:00:00.000Z</x:v>
      </x:c>
      <x:c r="D396" s="2" t="str">
        <x:v>Lagos</x:v>
      </x:c>
      <x:c r="E396" s="2" t="str">
        <x:v>Electronics</x:v>
      </x:c>
      <x:c r="F396" s="2" t="str">
        <x:v>Power bank</x:v>
      </x:c>
      <x:c r="G396" s="2" t="str">
        <x:v>Online</x:v>
      </x:c>
      <x:c r="H396" s="7" t="n">
        <x:v>1</x:v>
      </x:c>
      <x:c r="I396" s="9" t="n">
        <x:v>15000</x:v>
      </x:c>
      <x:c r="J396" s="9" t="n">
        <x:v>9500</x:v>
      </x:c>
      <x:c r="K396" s="10" t="n">
        <x:v>0.15</x:v>
      </x:c>
      <x:c r="L396" s="2" t="str">
        <x:v>Completed</x:v>
      </x:c>
      <x:c r="M396" s="12" t="n">
        <x:f>H396*I396</x:f>
        <x:v>15000</x:v>
      </x:c>
      <x:c r="N396" s="12" t="n">
        <x:f>IF(L396="Completed",ROUND(M396*(1-K396),2),0)</x:f>
        <x:v>12750</x:v>
      </x:c>
      <x:c r="O396" s="12" t="n">
        <x:f>IF(L396="Completed",H396*J396,0)</x:f>
        <x:v>9500</x:v>
      </x:c>
      <x:c r="P396" s="12" t="n">
        <x:f>N396-O396</x:f>
        <x:v>3250</x:v>
      </x:c>
    </x:row>
    <x:row r="397" ht="21" customHeight="1">
      <x:c r="A397" s="7" t="n">
        <x:v>392</x:v>
      </x:c>
      <x:c r="B397" s="2" t="str">
        <x:v>TXN-00392</x:v>
      </x:c>
      <x:c r="C397" s="8" t="d">
        <x:v>2025-04-20T00:00:00.000Z</x:v>
      </x:c>
      <x:c r="D397" s="2" t="str">
        <x:v>Lagos</x:v>
      </x:c>
      <x:c r="E397" s="2" t="str">
        <x:v>Fashion</x:v>
      </x:c>
      <x:c r="F397" s="2" t="str">
        <x:v>T-shirt</x:v>
      </x:c>
      <x:c r="G397" s="2" t="str">
        <x:v>Online</x:v>
      </x:c>
      <x:c r="H397" s="7" t="n">
        <x:v>1</x:v>
      </x:c>
      <x:c r="I397" s="9" t="n">
        <x:v>9000</x:v>
      </x:c>
      <x:c r="J397" s="9" t="n">
        <x:v>5000</x:v>
      </x:c>
      <x:c r="K397" s="10" t="n">
        <x:v>0</x:v>
      </x:c>
      <x:c r="L397" s="2" t="str">
        <x:v>Completed</x:v>
      </x:c>
      <x:c r="M397" s="12" t="n">
        <x:f>H397*I397</x:f>
        <x:v>9000</x:v>
      </x:c>
      <x:c r="N397" s="12" t="n">
        <x:f>IF(L397="Completed",ROUND(M397*(1-K397),2),0)</x:f>
        <x:v>9000</x:v>
      </x:c>
      <x:c r="O397" s="12" t="n">
        <x:f>IF(L397="Completed",H397*J397,0)</x:f>
        <x:v>5000</x:v>
      </x:c>
      <x:c r="P397" s="12" t="n">
        <x:f>N397-O397</x:f>
        <x:v>4000</x:v>
      </x:c>
    </x:row>
    <x:row r="398" ht="21" customHeight="1">
      <x:c r="A398" s="7" t="n">
        <x:v>393</x:v>
      </x:c>
      <x:c r="B398" s="2" t="str">
        <x:v>TXN-00393</x:v>
      </x:c>
      <x:c r="C398" s="8" t="d">
        <x:v>2025-04-30T00:00:00.000Z</x:v>
      </x:c>
      <x:c r="D398" s="2" t="str">
        <x:v>Abuja</x:v>
      </x:c>
      <x:c r="E398" s="2" t="str">
        <x:v>Fashion</x:v>
      </x:c>
      <x:c r="F398" s="2" t="str">
        <x:v>T-shirt</x:v>
      </x:c>
      <x:c r="G398" s="2" t="str">
        <x:v>In-store</x:v>
      </x:c>
      <x:c r="H398" s="7" t="n">
        <x:v>2</x:v>
      </x:c>
      <x:c r="I398" s="9" t="n">
        <x:v>9000</x:v>
      </x:c>
      <x:c r="J398" s="9" t="n">
        <x:v>5000</x:v>
      </x:c>
      <x:c r="K398" s="10" t="n">
        <x:v>0.05</x:v>
      </x:c>
      <x:c r="L398" s="2" t="str">
        <x:v>Completed</x:v>
      </x:c>
      <x:c r="M398" s="12" t="n">
        <x:f>H398*I398</x:f>
        <x:v>18000</x:v>
      </x:c>
      <x:c r="N398" s="12" t="n">
        <x:f>IF(L398="Completed",ROUND(M398*(1-K398),2),0)</x:f>
        <x:v>17100</x:v>
      </x:c>
      <x:c r="O398" s="12" t="n">
        <x:f>IF(L398="Completed",H398*J398,0)</x:f>
        <x:v>10000</x:v>
      </x:c>
      <x:c r="P398" s="12" t="n">
        <x:f>N398-O398</x:f>
        <x:v>7100</x:v>
      </x:c>
    </x:row>
    <x:row r="399" ht="21" customHeight="1">
      <x:c r="A399" s="7" t="n">
        <x:v>394</x:v>
      </x:c>
      <x:c r="B399" s="2" t="str">
        <x:v>TXN-00394</x:v>
      </x:c>
      <x:c r="C399" s="8" t="d">
        <x:v>2025-04-28T00:00:00.000Z</x:v>
      </x:c>
      <x:c r="D399" s="2" t="str">
        <x:v>Kano</x:v>
      </x:c>
      <x:c r="E399" s="2" t="str">
        <x:v>Electronics</x:v>
      </x:c>
      <x:c r="F399" s="2" t="str">
        <x:v>Bluetooth speaker</x:v>
      </x:c>
      <x:c r="G399" s="2" t="str">
        <x:v>Online</x:v>
      </x:c>
      <x:c r="H399" s="7" t="n">
        <x:v>2</x:v>
      </x:c>
      <x:c r="I399" s="9" t="n">
        <x:v>26000</x:v>
      </x:c>
      <x:c r="J399" s="9" t="n">
        <x:v>17000</x:v>
      </x:c>
      <x:c r="K399" s="10" t="n">
        <x:v>0</x:v>
      </x:c>
      <x:c r="L399" s="2" t="str">
        <x:v>Completed</x:v>
      </x:c>
      <x:c r="M399" s="12" t="n">
        <x:f>H399*I399</x:f>
        <x:v>52000</x:v>
      </x:c>
      <x:c r="N399" s="12" t="n">
        <x:f>IF(L399="Completed",ROUND(M399*(1-K399),2),0)</x:f>
        <x:v>52000</x:v>
      </x:c>
      <x:c r="O399" s="12" t="n">
        <x:f>IF(L399="Completed",H399*J399,0)</x:f>
        <x:v>34000</x:v>
      </x:c>
      <x:c r="P399" s="12" t="n">
        <x:f>N399-O399</x:f>
        <x:v>18000</x:v>
      </x:c>
    </x:row>
    <x:row r="400" ht="21" customHeight="1">
      <x:c r="A400" s="7" t="n">
        <x:v>395</x:v>
      </x:c>
      <x:c r="B400" s="2" t="str">
        <x:v>TXN-00395</x:v>
      </x:c>
      <x:c r="C400" s="8" t="d">
        <x:v>2025-04-27T00:00:00.000Z</x:v>
      </x:c>
      <x:c r="D400" s="2" t="str">
        <x:v>Abuja</x:v>
      </x:c>
      <x:c r="E400" s="2" t="str">
        <x:v>Fashion</x:v>
      </x:c>
      <x:c r="F400" s="2" t="str">
        <x:v>T-shirt</x:v>
      </x:c>
      <x:c r="G400" s="2" t="str">
        <x:v>Online</x:v>
      </x:c>
      <x:c r="H400" s="7" t="n">
        <x:v>1</x:v>
      </x:c>
      <x:c r="I400" s="9" t="n">
        <x:v>9000</x:v>
      </x:c>
      <x:c r="J400" s="9" t="n">
        <x:v>5000</x:v>
      </x:c>
      <x:c r="K400" s="10" t="n">
        <x:v>0.05</x:v>
      </x:c>
      <x:c r="L400" s="2" t="str">
        <x:v>Completed</x:v>
      </x:c>
      <x:c r="M400" s="12" t="n">
        <x:f>H400*I400</x:f>
        <x:v>9000</x:v>
      </x:c>
      <x:c r="N400" s="12" t="n">
        <x:f>IF(L400="Completed",ROUND(M400*(1-K400),2),0)</x:f>
        <x:v>8550</x:v>
      </x:c>
      <x:c r="O400" s="12" t="n">
        <x:f>IF(L400="Completed",H400*J400,0)</x:f>
        <x:v>5000</x:v>
      </x:c>
      <x:c r="P400" s="12" t="n">
        <x:f>N400-O400</x:f>
        <x:v>3550</x:v>
      </x:c>
    </x:row>
    <x:row r="401" ht="21" customHeight="1">
      <x:c r="A401" s="7" t="n">
        <x:v>396</x:v>
      </x:c>
      <x:c r="B401" s="2" t="str">
        <x:v>TXN-00396</x:v>
      </x:c>
      <x:c r="C401" s="8" t="d">
        <x:v>2025-04-21T00:00:00.000Z</x:v>
      </x:c>
      <x:c r="D401" s="2" t="str">
        <x:v>Kano</x:v>
      </x:c>
      <x:c r="E401" s="2" t="str">
        <x:v>Home</x:v>
      </x:c>
      <x:c r="F401" s="2" t="str">
        <x:v>Cookware set</x:v>
      </x:c>
      <x:c r="G401" s="2" t="str">
        <x:v>In-store</x:v>
      </x:c>
      <x:c r="H401" s="7" t="n">
        <x:v>1</x:v>
      </x:c>
      <x:c r="I401" s="9" t="n">
        <x:v>35000</x:v>
      </x:c>
      <x:c r="J401" s="9" t="n">
        <x:v>22500</x:v>
      </x:c>
      <x:c r="K401" s="10" t="n">
        <x:v>0</x:v>
      </x:c>
      <x:c r="L401" s="2" t="str">
        <x:v>Completed</x:v>
      </x:c>
      <x:c r="M401" s="12" t="n">
        <x:f>H401*I401</x:f>
        <x:v>35000</x:v>
      </x:c>
      <x:c r="N401" s="12" t="n">
        <x:f>IF(L401="Completed",ROUND(M401*(1-K401),2),0)</x:f>
        <x:v>35000</x:v>
      </x:c>
      <x:c r="O401" s="12" t="n">
        <x:f>IF(L401="Completed",H401*J401,0)</x:f>
        <x:v>22500</x:v>
      </x:c>
      <x:c r="P401" s="12" t="n">
        <x:f>N401-O401</x:f>
        <x:v>12500</x:v>
      </x:c>
    </x:row>
    <x:row r="402" ht="21" customHeight="1">
      <x:c r="A402" s="7" t="n">
        <x:v>397</x:v>
      </x:c>
      <x:c r="B402" s="2" t="str">
        <x:v>TXN-00397</x:v>
      </x:c>
      <x:c r="C402" s="8" t="d">
        <x:v>2025-04-06T00:00:00.000Z</x:v>
      </x:c>
      <x:c r="D402" s="2" t="str">
        <x:v>Port Harcourt</x:v>
      </x:c>
      <x:c r="E402" s="2" t="str">
        <x:v>Electronics</x:v>
      </x:c>
      <x:c r="F402" s="2" t="str">
        <x:v>Headphones</x:v>
      </x:c>
      <x:c r="G402" s="2" t="str">
        <x:v>In-store</x:v>
      </x:c>
      <x:c r="H402" s="7" t="n">
        <x:v>2</x:v>
      </x:c>
      <x:c r="I402" s="9" t="n">
        <x:v>18000</x:v>
      </x:c>
      <x:c r="J402" s="9" t="n">
        <x:v>10500</x:v>
      </x:c>
      <x:c r="K402" s="10" t="n">
        <x:v>0.05</x:v>
      </x:c>
      <x:c r="L402" s="2" t="str">
        <x:v>Completed</x:v>
      </x:c>
      <x:c r="M402" s="12" t="n">
        <x:f>H402*I402</x:f>
        <x:v>36000</x:v>
      </x:c>
      <x:c r="N402" s="12" t="n">
        <x:f>IF(L402="Completed",ROUND(M402*(1-K402),2),0)</x:f>
        <x:v>34200</x:v>
      </x:c>
      <x:c r="O402" s="12" t="n">
        <x:f>IF(L402="Completed",H402*J402,0)</x:f>
        <x:v>21000</x:v>
      </x:c>
      <x:c r="P402" s="12" t="n">
        <x:f>N402-O402</x:f>
        <x:v>13200</x:v>
      </x:c>
    </x:row>
    <x:row r="403" ht="21" customHeight="1">
      <x:c r="A403" s="7" t="n">
        <x:v>398</x:v>
      </x:c>
      <x:c r="B403" s="2" t="str">
        <x:v>TXN-00398</x:v>
      </x:c>
      <x:c r="C403" s="8" t="d">
        <x:v>2025-04-01T00:00:00.000Z</x:v>
      </x:c>
      <x:c r="D403" s="2" t="str">
        <x:v>Kano</x:v>
      </x:c>
      <x:c r="E403" s="2" t="str">
        <x:v>Fashion</x:v>
      </x:c>
      <x:c r="F403" s="2" t="str">
        <x:v>Sneakers</x:v>
      </x:c>
      <x:c r="G403" s="2" t="str">
        <x:v>Online</x:v>
      </x:c>
      <x:c r="H403" s="7" t="n">
        <x:v>2</x:v>
      </x:c>
      <x:c r="I403" s="9" t="n">
        <x:v>28000</x:v>
      </x:c>
      <x:c r="J403" s="9" t="n">
        <x:v>17500</x:v>
      </x:c>
      <x:c r="K403" s="10" t="n">
        <x:v>0.05</x:v>
      </x:c>
      <x:c r="L403" s="2" t="str">
        <x:v>Completed</x:v>
      </x:c>
      <x:c r="M403" s="12" t="n">
        <x:f>H403*I403</x:f>
        <x:v>56000</x:v>
      </x:c>
      <x:c r="N403" s="12" t="n">
        <x:f>IF(L403="Completed",ROUND(M403*(1-K403),2),0)</x:f>
        <x:v>53200</x:v>
      </x:c>
      <x:c r="O403" s="12" t="n">
        <x:f>IF(L403="Completed",H403*J403,0)</x:f>
        <x:v>35000</x:v>
      </x:c>
      <x:c r="P403" s="12" t="n">
        <x:f>N403-O403</x:f>
        <x:v>18200</x:v>
      </x:c>
    </x:row>
    <x:row r="404" ht="21" customHeight="1">
      <x:c r="A404" s="7" t="n">
        <x:v>399</x:v>
      </x:c>
      <x:c r="B404" s="2" t="str">
        <x:v>TXN-00399</x:v>
      </x:c>
      <x:c r="C404" s="8" t="d">
        <x:v>2025-04-01T00:00:00.000Z</x:v>
      </x:c>
      <x:c r="D404" s="2" t="str">
        <x:v>Kano</x:v>
      </x:c>
      <x:c r="E404" s="2" t="str">
        <x:v>Electronics</x:v>
      </x:c>
      <x:c r="F404" s="2" t="str">
        <x:v>Headphones</x:v>
      </x:c>
      <x:c r="G404" s="2" t="str">
        <x:v>In-store</x:v>
      </x:c>
      <x:c r="H404" s="7" t="n">
        <x:v>2</x:v>
      </x:c>
      <x:c r="I404" s="9" t="n">
        <x:v>18000</x:v>
      </x:c>
      <x:c r="J404" s="9" t="n">
        <x:v>10500</x:v>
      </x:c>
      <x:c r="K404" s="10" t="n">
        <x:v>0</x:v>
      </x:c>
      <x:c r="L404" s="2" t="str">
        <x:v>Completed</x:v>
      </x:c>
      <x:c r="M404" s="12" t="n">
        <x:f>H404*I404</x:f>
        <x:v>36000</x:v>
      </x:c>
      <x:c r="N404" s="12" t="n">
        <x:f>IF(L404="Completed",ROUND(M404*(1-K404),2),0)</x:f>
        <x:v>36000</x:v>
      </x:c>
      <x:c r="O404" s="12" t="n">
        <x:f>IF(L404="Completed",H404*J404,0)</x:f>
        <x:v>21000</x:v>
      </x:c>
      <x:c r="P404" s="12" t="n">
        <x:f>N404-O404</x:f>
        <x:v>15000</x:v>
      </x:c>
    </x:row>
    <x:row r="405" ht="21" customHeight="1">
      <x:c r="A405" s="7" t="n">
        <x:v>400</x:v>
      </x:c>
      <x:c r="B405" s="2" t="str">
        <x:v>TXN-00400</x:v>
      </x:c>
      <x:c r="C405" s="8" t="d">
        <x:v>2025-04-25T00:00:00.000Z</x:v>
      </x:c>
      <x:c r="D405" s="2" t="str">
        <x:v>Lagos</x:v>
      </x:c>
      <x:c r="E405" s="2" t="str">
        <x:v>Electronics</x:v>
      </x:c>
      <x:c r="F405" s="2" t="str">
        <x:v>Power bank</x:v>
      </x:c>
      <x:c r="G405" s="2" t="str">
        <x:v>Online</x:v>
      </x:c>
      <x:c r="H405" s="7" t="n">
        <x:v>1</x:v>
      </x:c>
      <x:c r="I405" s="9" t="n">
        <x:v>15000</x:v>
      </x:c>
      <x:c r="J405" s="9" t="n">
        <x:v>9500</x:v>
      </x:c>
      <x:c r="K405" s="10" t="n">
        <x:v>0</x:v>
      </x:c>
      <x:c r="L405" s="2" t="str">
        <x:v>Returned</x:v>
      </x:c>
      <x:c r="M405" s="12" t="n">
        <x:f>H405*I405</x:f>
        <x:v>15000</x:v>
      </x:c>
      <x:c r="N405" s="12" t="n">
        <x:f>IF(L405="Completed",ROUND(M405*(1-K405),2),0)</x:f>
        <x:v>0</x:v>
      </x:c>
      <x:c r="O405" s="12" t="n">
        <x:f>IF(L405="Completed",H405*J405,0)</x:f>
        <x:v>0</x:v>
      </x:c>
      <x:c r="P405" s="12" t="n">
        <x:f>N405-O405</x:f>
        <x:v>0</x:v>
      </x:c>
    </x:row>
    <x:row r="406" ht="21" customHeight="1">
      <x:c r="A406" s="7" t="n">
        <x:v>401</x:v>
      </x:c>
      <x:c r="B406" s="2" t="str">
        <x:v>TXN-00401</x:v>
      </x:c>
      <x:c r="C406" s="8" t="d">
        <x:v>2025-04-07T00:00:00.000Z</x:v>
      </x:c>
      <x:c r="D406" s="2" t="str">
        <x:v>Lagos</x:v>
      </x:c>
      <x:c r="E406" s="2" t="str">
        <x:v>Home</x:v>
      </x:c>
      <x:c r="F406" s="2" t="str">
        <x:v>Desk lamp</x:v>
      </x:c>
      <x:c r="G406" s="2" t="str">
        <x:v>Online</x:v>
      </x:c>
      <x:c r="H406" s="7" t="n">
        <x:v>1</x:v>
      </x:c>
      <x:c r="I406" s="9" t="n">
        <x:v>12000</x:v>
      </x:c>
      <x:c r="J406" s="9" t="n">
        <x:v>7200</x:v>
      </x:c>
      <x:c r="K406" s="10" t="n">
        <x:v>0</x:v>
      </x:c>
      <x:c r="L406" s="2" t="str">
        <x:v>Completed</x:v>
      </x:c>
      <x:c r="M406" s="12" t="n">
        <x:f>H406*I406</x:f>
        <x:v>12000</x:v>
      </x:c>
      <x:c r="N406" s="12" t="n">
        <x:f>IF(L406="Completed",ROUND(M406*(1-K406),2),0)</x:f>
        <x:v>12000</x:v>
      </x:c>
      <x:c r="O406" s="12" t="n">
        <x:f>IF(L406="Completed",H406*J406,0)</x:f>
        <x:v>7200</x:v>
      </x:c>
      <x:c r="P406" s="12" t="n">
        <x:f>N406-O406</x:f>
        <x:v>4800</x:v>
      </x:c>
    </x:row>
    <x:row r="407" ht="21" customHeight="1">
      <x:c r="A407" s="7" t="n">
        <x:v>402</x:v>
      </x:c>
      <x:c r="B407" s="2" t="str">
        <x:v>TXN-00402</x:v>
      </x:c>
      <x:c r="C407" s="8" t="d">
        <x:v>2025-04-07T00:00:00.000Z</x:v>
      </x:c>
      <x:c r="D407" s="2" t="str">
        <x:v>Kano</x:v>
      </x:c>
      <x:c r="E407" s="2" t="str">
        <x:v>Beauty</x:v>
      </x:c>
      <x:c r="F407" s="2" t="str">
        <x:v>Moisturizer</x:v>
      </x:c>
      <x:c r="G407" s="2" t="str">
        <x:v>Online</x:v>
      </x:c>
      <x:c r="H407" s="7" t="n">
        <x:v>1</x:v>
      </x:c>
      <x:c r="I407" s="9" t="n">
        <x:v>6500</x:v>
      </x:c>
      <x:c r="J407" s="9" t="n">
        <x:v>3500</x:v>
      </x:c>
      <x:c r="K407" s="10" t="n">
        <x:v>0</x:v>
      </x:c>
      <x:c r="L407" s="2" t="str">
        <x:v>Completed</x:v>
      </x:c>
      <x:c r="M407" s="12" t="n">
        <x:f>H407*I407</x:f>
        <x:v>6500</x:v>
      </x:c>
      <x:c r="N407" s="12" t="n">
        <x:f>IF(L407="Completed",ROUND(M407*(1-K407),2),0)</x:f>
        <x:v>6500</x:v>
      </x:c>
      <x:c r="O407" s="12" t="n">
        <x:f>IF(L407="Completed",H407*J407,0)</x:f>
        <x:v>3500</x:v>
      </x:c>
      <x:c r="P407" s="12" t="n">
        <x:f>N407-O407</x:f>
        <x:v>3000</x:v>
      </x:c>
    </x:row>
    <x:row r="408" ht="21" customHeight="1">
      <x:c r="A408" s="7" t="n">
        <x:v>403</x:v>
      </x:c>
      <x:c r="B408" s="2" t="str">
        <x:v>TXN-00403</x:v>
      </x:c>
      <x:c r="C408" s="8" t="d">
        <x:v>2025-04-07T00:00:00.000Z</x:v>
      </x:c>
      <x:c r="D408" s="2" t="str">
        <x:v>Lagos</x:v>
      </x:c>
      <x:c r="E408" s="2" t="str">
        <x:v>Electronics</x:v>
      </x:c>
      <x:c r="F408" s="2" t="str">
        <x:v>Bluetooth speaker</x:v>
      </x:c>
      <x:c r="G408" s="2" t="str">
        <x:v>In-store</x:v>
      </x:c>
      <x:c r="H408" s="7" t="n">
        <x:v>1</x:v>
      </x:c>
      <x:c r="I408" s="9" t="n">
        <x:v>26000</x:v>
      </x:c>
      <x:c r="J408" s="9" t="n">
        <x:v>17000</x:v>
      </x:c>
      <x:c r="K408" s="10" t="n">
        <x:v>0</x:v>
      </x:c>
      <x:c r="L408" s="2" t="str">
        <x:v>Completed</x:v>
      </x:c>
      <x:c r="M408" s="12" t="n">
        <x:f>H408*I408</x:f>
        <x:v>26000</x:v>
      </x:c>
      <x:c r="N408" s="12" t="n">
        <x:f>IF(L408="Completed",ROUND(M408*(1-K408),2),0)</x:f>
        <x:v>26000</x:v>
      </x:c>
      <x:c r="O408" s="12" t="n">
        <x:f>IF(L408="Completed",H408*J408,0)</x:f>
        <x:v>17000</x:v>
      </x:c>
      <x:c r="P408" s="12" t="n">
        <x:f>N408-O408</x:f>
        <x:v>9000</x:v>
      </x:c>
    </x:row>
    <x:row r="409" ht="21" customHeight="1">
      <x:c r="A409" s="7" t="n">
        <x:v>404</x:v>
      </x:c>
      <x:c r="B409" s="2" t="str">
        <x:v>TXN-00404</x:v>
      </x:c>
      <x:c r="C409" s="8" t="d">
        <x:v>2025-04-22T00:00:00.000Z</x:v>
      </x:c>
      <x:c r="D409" s="2" t="str">
        <x:v>Abuja</x:v>
      </x:c>
      <x:c r="E409" s="2" t="str">
        <x:v>Electronics</x:v>
      </x:c>
      <x:c r="F409" s="2" t="str">
        <x:v>Power bank</x:v>
      </x:c>
      <x:c r="G409" s="2" t="str">
        <x:v>In-store</x:v>
      </x:c>
      <x:c r="H409" s="7" t="n">
        <x:v>1</x:v>
      </x:c>
      <x:c r="I409" s="9" t="n">
        <x:v>15000</x:v>
      </x:c>
      <x:c r="J409" s="9" t="n">
        <x:v>9500</x:v>
      </x:c>
      <x:c r="K409" s="10" t="n">
        <x:v>0.05</x:v>
      </x:c>
      <x:c r="L409" s="2" t="str">
        <x:v>Completed</x:v>
      </x:c>
      <x:c r="M409" s="12" t="n">
        <x:f>H409*I409</x:f>
        <x:v>15000</x:v>
      </x:c>
      <x:c r="N409" s="12" t="n">
        <x:f>IF(L409="Completed",ROUND(M409*(1-K409),2),0)</x:f>
        <x:v>14250</x:v>
      </x:c>
      <x:c r="O409" s="12" t="n">
        <x:f>IF(L409="Completed",H409*J409,0)</x:f>
        <x:v>9500</x:v>
      </x:c>
      <x:c r="P409" s="12" t="n">
        <x:f>N409-O409</x:f>
        <x:v>4750</x:v>
      </x:c>
    </x:row>
    <x:row r="410" ht="21" customHeight="1">
      <x:c r="A410" s="7" t="n">
        <x:v>405</x:v>
      </x:c>
      <x:c r="B410" s="2" t="str">
        <x:v>TXN-00405</x:v>
      </x:c>
      <x:c r="C410" s="8" t="d">
        <x:v>2025-04-22T00:00:00.000Z</x:v>
      </x:c>
      <x:c r="D410" s="2" t="str">
        <x:v>Port Harcourt</x:v>
      </x:c>
      <x:c r="E410" s="2" t="str">
        <x:v>Fashion</x:v>
      </x:c>
      <x:c r="F410" s="2" t="str">
        <x:v>Handbag</x:v>
      </x:c>
      <x:c r="G410" s="2" t="str">
        <x:v>Online</x:v>
      </x:c>
      <x:c r="H410" s="7" t="n">
        <x:v>1</x:v>
      </x:c>
      <x:c r="I410" s="9" t="n">
        <x:v>22000</x:v>
      </x:c>
      <x:c r="J410" s="9" t="n">
        <x:v>13500</x:v>
      </x:c>
      <x:c r="K410" s="10" t="n">
        <x:v>0</x:v>
      </x:c>
      <x:c r="L410" s="2" t="str">
        <x:v>Returned</x:v>
      </x:c>
      <x:c r="M410" s="12" t="n">
        <x:f>H410*I410</x:f>
        <x:v>22000</x:v>
      </x:c>
      <x:c r="N410" s="12" t="n">
        <x:f>IF(L410="Completed",ROUND(M410*(1-K410),2),0)</x:f>
        <x:v>0</x:v>
      </x:c>
      <x:c r="O410" s="12" t="n">
        <x:f>IF(L410="Completed",H410*J410,0)</x:f>
        <x:v>0</x:v>
      </x:c>
      <x:c r="P410" s="12" t="n">
        <x:f>N410-O410</x:f>
        <x:v>0</x:v>
      </x:c>
    </x:row>
    <x:row r="411" ht="21" customHeight="1">
      <x:c r="A411" s="7" t="n">
        <x:v>406</x:v>
      </x:c>
      <x:c r="B411" s="2" t="str">
        <x:v>TXN-00406</x:v>
      </x:c>
      <x:c r="C411" s="8" t="d">
        <x:v>2025-04-09T00:00:00.000Z</x:v>
      </x:c>
      <x:c r="D411" s="2" t="str">
        <x:v>Kano</x:v>
      </x:c>
      <x:c r="E411" s="2" t="str">
        <x:v>Fashion</x:v>
      </x:c>
      <x:c r="F411" s="2" t="str">
        <x:v>T-shirt</x:v>
      </x:c>
      <x:c r="G411" s="2" t="str">
        <x:v>Online</x:v>
      </x:c>
      <x:c r="H411" s="7" t="n">
        <x:v>1</x:v>
      </x:c>
      <x:c r="I411" s="9" t="n">
        <x:v>9000</x:v>
      </x:c>
      <x:c r="J411" s="9" t="n">
        <x:v>5000</x:v>
      </x:c>
      <x:c r="K411" s="10" t="n">
        <x:v>0</x:v>
      </x:c>
      <x:c r="L411" s="2" t="str">
        <x:v>Completed</x:v>
      </x:c>
      <x:c r="M411" s="12" t="n">
        <x:f>H411*I411</x:f>
        <x:v>9000</x:v>
      </x:c>
      <x:c r="N411" s="12" t="n">
        <x:f>IF(L411="Completed",ROUND(M411*(1-K411),2),0)</x:f>
        <x:v>9000</x:v>
      </x:c>
      <x:c r="O411" s="12" t="n">
        <x:f>IF(L411="Completed",H411*J411,0)</x:f>
        <x:v>5000</x:v>
      </x:c>
      <x:c r="P411" s="12" t="n">
        <x:f>N411-O411</x:f>
        <x:v>4000</x:v>
      </x:c>
    </x:row>
    <x:row r="412" ht="21" customHeight="1">
      <x:c r="A412" s="7" t="n">
        <x:v>407</x:v>
      </x:c>
      <x:c r="B412" s="2" t="str">
        <x:v>TXN-00407</x:v>
      </x:c>
      <x:c r="C412" s="8" t="d">
        <x:v>2025-04-28T00:00:00.000Z</x:v>
      </x:c>
      <x:c r="D412" s="2" t="str">
        <x:v>Port Harcourt</x:v>
      </x:c>
      <x:c r="E412" s="2" t="str">
        <x:v>Home</x:v>
      </x:c>
      <x:c r="F412" s="2" t="str">
        <x:v>Bedsheet</x:v>
      </x:c>
      <x:c r="G412" s="2" t="str">
        <x:v>In-store</x:v>
      </x:c>
      <x:c r="H412" s="7" t="n">
        <x:v>2</x:v>
      </x:c>
      <x:c r="I412" s="9" t="n">
        <x:v>14000</x:v>
      </x:c>
      <x:c r="J412" s="9" t="n">
        <x:v>8500</x:v>
      </x:c>
      <x:c r="K412" s="10" t="n">
        <x:v>0</x:v>
      </x:c>
      <x:c r="L412" s="2" t="str">
        <x:v>Completed</x:v>
      </x:c>
      <x:c r="M412" s="12" t="n">
        <x:f>H412*I412</x:f>
        <x:v>28000</x:v>
      </x:c>
      <x:c r="N412" s="12" t="n">
        <x:f>IF(L412="Completed",ROUND(M412*(1-K412),2),0)</x:f>
        <x:v>28000</x:v>
      </x:c>
      <x:c r="O412" s="12" t="n">
        <x:f>IF(L412="Completed",H412*J412,0)</x:f>
        <x:v>17000</x:v>
      </x:c>
      <x:c r="P412" s="12" t="n">
        <x:f>N412-O412</x:f>
        <x:v>11000</x:v>
      </x:c>
    </x:row>
    <x:row r="413" ht="21" customHeight="1">
      <x:c r="A413" s="7" t="n">
        <x:v>408</x:v>
      </x:c>
      <x:c r="B413" s="2" t="str">
        <x:v>TXN-00408</x:v>
      </x:c>
      <x:c r="C413" s="8" t="d">
        <x:v>2025-04-18T00:00:00.000Z</x:v>
      </x:c>
      <x:c r="D413" s="2" t="str">
        <x:v>Lagos</x:v>
      </x:c>
      <x:c r="E413" s="2" t="str">
        <x:v>Fashion</x:v>
      </x:c>
      <x:c r="F413" s="2" t="str">
        <x:v>T-shirt</x:v>
      </x:c>
      <x:c r="G413" s="2" t="str">
        <x:v>Online</x:v>
      </x:c>
      <x:c r="H413" s="7" t="n">
        <x:v>1</x:v>
      </x:c>
      <x:c r="I413" s="9" t="n">
        <x:v>9000</x:v>
      </x:c>
      <x:c r="J413" s="9" t="n">
        <x:v>5000</x:v>
      </x:c>
      <x:c r="K413" s="10" t="n">
        <x:v>0</x:v>
      </x:c>
      <x:c r="L413" s="2" t="str">
        <x:v>Completed</x:v>
      </x:c>
      <x:c r="M413" s="12" t="n">
        <x:f>H413*I413</x:f>
        <x:v>9000</x:v>
      </x:c>
      <x:c r="N413" s="12" t="n">
        <x:f>IF(L413="Completed",ROUND(M413*(1-K413),2),0)</x:f>
        <x:v>9000</x:v>
      </x:c>
      <x:c r="O413" s="12" t="n">
        <x:f>IF(L413="Completed",H413*J413,0)</x:f>
        <x:v>5000</x:v>
      </x:c>
      <x:c r="P413" s="12" t="n">
        <x:f>N413-O413</x:f>
        <x:v>4000</x:v>
      </x:c>
    </x:row>
    <x:row r="414" ht="21" customHeight="1">
      <x:c r="A414" s="7" t="n">
        <x:v>409</x:v>
      </x:c>
      <x:c r="B414" s="2" t="str">
        <x:v>TXN-00409</x:v>
      </x:c>
      <x:c r="C414" s="8" t="d">
        <x:v>2025-04-08T00:00:00.000Z</x:v>
      </x:c>
      <x:c r="D414" s="2" t="str">
        <x:v>Port Harcourt</x:v>
      </x:c>
      <x:c r="E414" s="2" t="str">
        <x:v>Beauty</x:v>
      </x:c>
      <x:c r="F414" s="2" t="str">
        <x:v>Moisturizer</x:v>
      </x:c>
      <x:c r="G414" s="2" t="str">
        <x:v>Online</x:v>
      </x:c>
      <x:c r="H414" s="7" t="n">
        <x:v>3</x:v>
      </x:c>
      <x:c r="I414" s="9" t="n">
        <x:v>6500</x:v>
      </x:c>
      <x:c r="J414" s="9" t="n">
        <x:v>3500</x:v>
      </x:c>
      <x:c r="K414" s="10" t="n">
        <x:v>0</x:v>
      </x:c>
      <x:c r="L414" s="2" t="str">
        <x:v>Completed</x:v>
      </x:c>
      <x:c r="M414" s="12" t="n">
        <x:f>H414*I414</x:f>
        <x:v>19500</x:v>
      </x:c>
      <x:c r="N414" s="12" t="n">
        <x:f>IF(L414="Completed",ROUND(M414*(1-K414),2),0)</x:f>
        <x:v>19500</x:v>
      </x:c>
      <x:c r="O414" s="12" t="n">
        <x:f>IF(L414="Completed",H414*J414,0)</x:f>
        <x:v>10500</x:v>
      </x:c>
      <x:c r="P414" s="12" t="n">
        <x:f>N414-O414</x:f>
        <x:v>9000</x:v>
      </x:c>
    </x:row>
    <x:row r="415" ht="21" customHeight="1">
      <x:c r="A415" s="7" t="n">
        <x:v>410</x:v>
      </x:c>
      <x:c r="B415" s="2" t="str">
        <x:v>TXN-00410</x:v>
      </x:c>
      <x:c r="C415" s="8" t="d">
        <x:v>2025-04-29T00:00:00.000Z</x:v>
      </x:c>
      <x:c r="D415" s="2" t="str">
        <x:v>Unknown</x:v>
      </x:c>
      <x:c r="E415" s="2" t="str">
        <x:v>Electronics</x:v>
      </x:c>
      <x:c r="F415" s="2" t="str">
        <x:v>Power bank</x:v>
      </x:c>
      <x:c r="G415" s="2" t="str">
        <x:v>In-store</x:v>
      </x:c>
      <x:c r="H415" s="7" t="n">
        <x:v>1</x:v>
      </x:c>
      <x:c r="I415" s="9" t="n">
        <x:v>15000</x:v>
      </x:c>
      <x:c r="J415" s="9" t="n">
        <x:v>9500</x:v>
      </x:c>
      <x:c r="K415" s="10" t="n">
        <x:v>0</x:v>
      </x:c>
      <x:c r="L415" s="2" t="str">
        <x:v>Completed</x:v>
      </x:c>
      <x:c r="M415" s="12" t="n">
        <x:f>H415*I415</x:f>
        <x:v>15000</x:v>
      </x:c>
      <x:c r="N415" s="12" t="n">
        <x:f>IF(L415="Completed",ROUND(M415*(1-K415),2),0)</x:f>
        <x:v>15000</x:v>
      </x:c>
      <x:c r="O415" s="12" t="n">
        <x:f>IF(L415="Completed",H415*J415,0)</x:f>
        <x:v>9500</x:v>
      </x:c>
      <x:c r="P415" s="12" t="n">
        <x:f>N415-O415</x:f>
        <x:v>5500</x:v>
      </x:c>
    </x:row>
    <x:row r="416" ht="21" customHeight="1">
      <x:c r="A416" s="7" t="n">
        <x:v>411</x:v>
      </x:c>
      <x:c r="B416" s="2" t="str">
        <x:v>TXN-00411</x:v>
      </x:c>
      <x:c r="C416" s="8" t="d">
        <x:v>2025-04-27T00:00:00.000Z</x:v>
      </x:c>
      <x:c r="D416" s="2" t="str">
        <x:v>Lagos</x:v>
      </x:c>
      <x:c r="E416" s="2" t="str">
        <x:v>Home</x:v>
      </x:c>
      <x:c r="F416" s="2" t="str">
        <x:v>Bedsheet</x:v>
      </x:c>
      <x:c r="G416" s="2" t="str">
        <x:v>In-store</x:v>
      </x:c>
      <x:c r="H416" s="7" t="n">
        <x:v>3</x:v>
      </x:c>
      <x:c r="I416" s="9" t="n">
        <x:v>14000</x:v>
      </x:c>
      <x:c r="J416" s="9" t="n">
        <x:v>8500</x:v>
      </x:c>
      <x:c r="K416" s="10" t="n">
        <x:v>0</x:v>
      </x:c>
      <x:c r="L416" s="2" t="str">
        <x:v>Completed</x:v>
      </x:c>
      <x:c r="M416" s="12" t="n">
        <x:f>H416*I416</x:f>
        <x:v>42000</x:v>
      </x:c>
      <x:c r="N416" s="12" t="n">
        <x:f>IF(L416="Completed",ROUND(M416*(1-K416),2),0)</x:f>
        <x:v>42000</x:v>
      </x:c>
      <x:c r="O416" s="12" t="n">
        <x:f>IF(L416="Completed",H416*J416,0)</x:f>
        <x:v>25500</x:v>
      </x:c>
      <x:c r="P416" s="12" t="n">
        <x:f>N416-O416</x:f>
        <x:v>16500</x:v>
      </x:c>
    </x:row>
    <x:row r="417" ht="21" customHeight="1">
      <x:c r="A417" s="7" t="n">
        <x:v>412</x:v>
      </x:c>
      <x:c r="B417" s="2" t="str">
        <x:v>TXN-00412</x:v>
      </x:c>
      <x:c r="C417" s="8" t="d">
        <x:v>2025-04-01T00:00:00.000Z</x:v>
      </x:c>
      <x:c r="D417" s="2" t="str">
        <x:v>Lagos</x:v>
      </x:c>
      <x:c r="E417" s="2" t="str">
        <x:v>Electronics</x:v>
      </x:c>
      <x:c r="F417" s="2" t="str">
        <x:v>Bluetooth speaker</x:v>
      </x:c>
      <x:c r="G417" s="2" t="str">
        <x:v>In-store</x:v>
      </x:c>
      <x:c r="H417" s="7" t="n">
        <x:v>2</x:v>
      </x:c>
      <x:c r="I417" s="9" t="n">
        <x:v>26000</x:v>
      </x:c>
      <x:c r="J417" s="9" t="n">
        <x:v>17000</x:v>
      </x:c>
      <x:c r="K417" s="10" t="n">
        <x:v>0</x:v>
      </x:c>
      <x:c r="L417" s="2" t="str">
        <x:v>Completed</x:v>
      </x:c>
      <x:c r="M417" s="12" t="n">
        <x:f>H417*I417</x:f>
        <x:v>52000</x:v>
      </x:c>
      <x:c r="N417" s="12" t="n">
        <x:f>IF(L417="Completed",ROUND(M417*(1-K417),2),0)</x:f>
        <x:v>52000</x:v>
      </x:c>
      <x:c r="O417" s="12" t="n">
        <x:f>IF(L417="Completed",H417*J417,0)</x:f>
        <x:v>34000</x:v>
      </x:c>
      <x:c r="P417" s="12" t="n">
        <x:f>N417-O417</x:f>
        <x:v>18000</x:v>
      </x:c>
    </x:row>
    <x:row r="418" ht="21" customHeight="1">
      <x:c r="A418" s="7" t="n">
        <x:v>413</x:v>
      </x:c>
      <x:c r="B418" s="2" t="str">
        <x:v>TXN-00413</x:v>
      </x:c>
      <x:c r="C418" s="8" t="d">
        <x:v>2025-04-14T00:00:00.000Z</x:v>
      </x:c>
      <x:c r="D418" s="2" t="str">
        <x:v>Abuja</x:v>
      </x:c>
      <x:c r="E418" s="2" t="str">
        <x:v>Electronics</x:v>
      </x:c>
      <x:c r="F418" s="2" t="str">
        <x:v>Bluetooth speaker</x:v>
      </x:c>
      <x:c r="G418" s="2" t="str">
        <x:v>In-store</x:v>
      </x:c>
      <x:c r="H418" s="7" t="n">
        <x:v>1</x:v>
      </x:c>
      <x:c r="I418" s="9" t="n">
        <x:v>26000</x:v>
      </x:c>
      <x:c r="J418" s="9" t="n">
        <x:v>17000</x:v>
      </x:c>
      <x:c r="K418" s="10" t="n">
        <x:v>0</x:v>
      </x:c>
      <x:c r="L418" s="2" t="str">
        <x:v>Completed</x:v>
      </x:c>
      <x:c r="M418" s="12" t="n">
        <x:f>H418*I418</x:f>
        <x:v>26000</x:v>
      </x:c>
      <x:c r="N418" s="12" t="n">
        <x:f>IF(L418="Completed",ROUND(M418*(1-K418),2),0)</x:f>
        <x:v>26000</x:v>
      </x:c>
      <x:c r="O418" s="12" t="n">
        <x:f>IF(L418="Completed",H418*J418,0)</x:f>
        <x:v>17000</x:v>
      </x:c>
      <x:c r="P418" s="12" t="n">
        <x:f>N418-O418</x:f>
        <x:v>9000</x:v>
      </x:c>
    </x:row>
    <x:row r="419" ht="21" customHeight="1">
      <x:c r="A419" s="7" t="n">
        <x:v>414</x:v>
      </x:c>
      <x:c r="B419" s="2" t="str">
        <x:v>TXN-00414</x:v>
      </x:c>
      <x:c r="C419" s="8" t="d">
        <x:v>2025-04-27T00:00:00.000Z</x:v>
      </x:c>
      <x:c r="D419" s="2" t="str">
        <x:v>Port Harcourt</x:v>
      </x:c>
      <x:c r="E419" s="2" t="str">
        <x:v>Electronics</x:v>
      </x:c>
      <x:c r="F419" s="2" t="str">
        <x:v>Headphones</x:v>
      </x:c>
      <x:c r="G419" s="2" t="str">
        <x:v>Online</x:v>
      </x:c>
      <x:c r="H419" s="7" t="n">
        <x:v>1</x:v>
      </x:c>
      <x:c r="I419" s="9" t="n">
        <x:v>18000</x:v>
      </x:c>
      <x:c r="J419" s="9" t="n">
        <x:v>10500</x:v>
      </x:c>
      <x:c r="K419" s="10" t="n">
        <x:v>0</x:v>
      </x:c>
      <x:c r="L419" s="2" t="str">
        <x:v>Completed</x:v>
      </x:c>
      <x:c r="M419" s="12" t="n">
        <x:f>H419*I419</x:f>
        <x:v>18000</x:v>
      </x:c>
      <x:c r="N419" s="12" t="n">
        <x:f>IF(L419="Completed",ROUND(M419*(1-K419),2),0)</x:f>
        <x:v>18000</x:v>
      </x:c>
      <x:c r="O419" s="12" t="n">
        <x:f>IF(L419="Completed",H419*J419,0)</x:f>
        <x:v>10500</x:v>
      </x:c>
      <x:c r="P419" s="12" t="n">
        <x:f>N419-O419</x:f>
        <x:v>7500</x:v>
      </x:c>
    </x:row>
    <x:row r="420" ht="21" customHeight="1">
      <x:c r="A420" s="7" t="n">
        <x:v>415</x:v>
      </x:c>
      <x:c r="B420" s="2" t="str">
        <x:v>TXN-00415</x:v>
      </x:c>
      <x:c r="C420" s="8" t="d">
        <x:v>2025-04-04T00:00:00.000Z</x:v>
      </x:c>
      <x:c r="D420" s="2" t="str">
        <x:v>Lagos</x:v>
      </x:c>
      <x:c r="E420" s="2" t="str">
        <x:v>Beauty</x:v>
      </x:c>
      <x:c r="F420" s="2" t="str">
        <x:v>Body wash</x:v>
      </x:c>
      <x:c r="G420" s="2" t="str">
        <x:v>In-store</x:v>
      </x:c>
      <x:c r="H420" s="7" t="n">
        <x:v>2</x:v>
      </x:c>
      <x:c r="I420" s="9" t="n">
        <x:v>4500</x:v>
      </x:c>
      <x:c r="J420" s="9" t="n">
        <x:v>2300</x:v>
      </x:c>
      <x:c r="K420" s="10" t="n">
        <x:v>0</x:v>
      </x:c>
      <x:c r="L420" s="2" t="str">
        <x:v>Completed</x:v>
      </x:c>
      <x:c r="M420" s="12" t="n">
        <x:f>H420*I420</x:f>
        <x:v>9000</x:v>
      </x:c>
      <x:c r="N420" s="12" t="n">
        <x:f>IF(L420="Completed",ROUND(M420*(1-K420),2),0)</x:f>
        <x:v>9000</x:v>
      </x:c>
      <x:c r="O420" s="12" t="n">
        <x:f>IF(L420="Completed",H420*J420,0)</x:f>
        <x:v>4600</x:v>
      </x:c>
      <x:c r="P420" s="12" t="n">
        <x:f>N420-O420</x:f>
        <x:v>4400</x:v>
      </x:c>
    </x:row>
    <x:row r="421" ht="21" customHeight="1">
      <x:c r="A421" s="7" t="n">
        <x:v>416</x:v>
      </x:c>
      <x:c r="B421" s="2" t="str">
        <x:v>TXN-00416</x:v>
      </x:c>
      <x:c r="C421" s="8" t="d">
        <x:v>2025-04-30T00:00:00.000Z</x:v>
      </x:c>
      <x:c r="D421" s="2" t="str">
        <x:v>Lagos</x:v>
      </x:c>
      <x:c r="E421" s="2" t="str">
        <x:v>Beauty</x:v>
      </x:c>
      <x:c r="F421" s="2" t="str">
        <x:v>Perfume</x:v>
      </x:c>
      <x:c r="G421" s="2" t="str">
        <x:v>Online</x:v>
      </x:c>
      <x:c r="H421" s="7" t="n">
        <x:v>2</x:v>
      </x:c>
      <x:c r="I421" s="9" t="n">
        <x:v>17000</x:v>
      </x:c>
      <x:c r="J421" s="9" t="n">
        <x:v>9000</x:v>
      </x:c>
      <x:c r="K421" s="10" t="n">
        <x:v>0</x:v>
      </x:c>
      <x:c r="L421" s="2" t="str">
        <x:v>Completed</x:v>
      </x:c>
      <x:c r="M421" s="12" t="n">
        <x:f>H421*I421</x:f>
        <x:v>34000</x:v>
      </x:c>
      <x:c r="N421" s="12" t="n">
        <x:f>IF(L421="Completed",ROUND(M421*(1-K421),2),0)</x:f>
        <x:v>34000</x:v>
      </x:c>
      <x:c r="O421" s="12" t="n">
        <x:f>IF(L421="Completed",H421*J421,0)</x:f>
        <x:v>18000</x:v>
      </x:c>
      <x:c r="P421" s="12" t="n">
        <x:f>N421-O421</x:f>
        <x:v>16000</x:v>
      </x:c>
    </x:row>
    <x:row r="422" ht="21" customHeight="1">
      <x:c r="A422" s="7" t="n">
        <x:v>417</x:v>
      </x:c>
      <x:c r="B422" s="2" t="str">
        <x:v>TXN-00417</x:v>
      </x:c>
      <x:c r="C422" s="8" t="d">
        <x:v>2025-04-19T00:00:00.000Z</x:v>
      </x:c>
      <x:c r="D422" s="2" t="str">
        <x:v>Lagos</x:v>
      </x:c>
      <x:c r="E422" s="2" t="str">
        <x:v>Electronics</x:v>
      </x:c>
      <x:c r="F422" s="2" t="str">
        <x:v>Headphones</x:v>
      </x:c>
      <x:c r="G422" s="2" t="str">
        <x:v>Online</x:v>
      </x:c>
      <x:c r="H422" s="7" t="n">
        <x:v>1</x:v>
      </x:c>
      <x:c r="I422" s="9" t="n">
        <x:v>18000</x:v>
      </x:c>
      <x:c r="J422" s="9" t="n">
        <x:v>10500</x:v>
      </x:c>
      <x:c r="K422" s="10" t="n">
        <x:v>0</x:v>
      </x:c>
      <x:c r="L422" s="2" t="str">
        <x:v>Completed</x:v>
      </x:c>
      <x:c r="M422" s="12" t="n">
        <x:f>H422*I422</x:f>
        <x:v>18000</x:v>
      </x:c>
      <x:c r="N422" s="12" t="n">
        <x:f>IF(L422="Completed",ROUND(M422*(1-K422),2),0)</x:f>
        <x:v>18000</x:v>
      </x:c>
      <x:c r="O422" s="12" t="n">
        <x:f>IF(L422="Completed",H422*J422,0)</x:f>
        <x:v>10500</x:v>
      </x:c>
      <x:c r="P422" s="12" t="n">
        <x:f>N422-O422</x:f>
        <x:v>7500</x:v>
      </x:c>
    </x:row>
    <x:row r="423" ht="21" customHeight="1">
      <x:c r="A423" s="7" t="n">
        <x:v>418</x:v>
      </x:c>
      <x:c r="B423" s="2" t="str">
        <x:v>TXN-00418</x:v>
      </x:c>
      <x:c r="C423" s="8" t="d">
        <x:v>2025-04-25T00:00:00.000Z</x:v>
      </x:c>
      <x:c r="D423" s="2" t="str">
        <x:v>Port Harcourt</x:v>
      </x:c>
      <x:c r="E423" s="2" t="str">
        <x:v>Electronics</x:v>
      </x:c>
      <x:c r="F423" s="2" t="str">
        <x:v>Power bank</x:v>
      </x:c>
      <x:c r="G423" s="2" t="str">
        <x:v>Online</x:v>
      </x:c>
      <x:c r="H423" s="7" t="n">
        <x:v>1</x:v>
      </x:c>
      <x:c r="I423" s="9" t="n">
        <x:v>15000</x:v>
      </x:c>
      <x:c r="J423" s="9" t="n">
        <x:v>9500</x:v>
      </x:c>
      <x:c r="K423" s="10" t="n">
        <x:v>0.1</x:v>
      </x:c>
      <x:c r="L423" s="2" t="str">
        <x:v>Completed</x:v>
      </x:c>
      <x:c r="M423" s="12" t="n">
        <x:f>H423*I423</x:f>
        <x:v>15000</x:v>
      </x:c>
      <x:c r="N423" s="12" t="n">
        <x:f>IF(L423="Completed",ROUND(M423*(1-K423),2),0)</x:f>
        <x:v>13500</x:v>
      </x:c>
      <x:c r="O423" s="12" t="n">
        <x:f>IF(L423="Completed",H423*J423,0)</x:f>
        <x:v>9500</x:v>
      </x:c>
      <x:c r="P423" s="12" t="n">
        <x:f>N423-O423</x:f>
        <x:v>4000</x:v>
      </x:c>
    </x:row>
    <x:row r="424" ht="21" customHeight="1">
      <x:c r="A424" s="7" t="n">
        <x:v>419</x:v>
      </x:c>
      <x:c r="B424" s="2" t="str">
        <x:v>TXN-00419</x:v>
      </x:c>
      <x:c r="C424" s="8" t="d">
        <x:v>2025-04-05T00:00:00.000Z</x:v>
      </x:c>
      <x:c r="D424" s="2" t="str">
        <x:v>Kano</x:v>
      </x:c>
      <x:c r="E424" s="2" t="str">
        <x:v>Fashion</x:v>
      </x:c>
      <x:c r="F424" s="2" t="str">
        <x:v>Sneakers</x:v>
      </x:c>
      <x:c r="G424" s="2" t="str">
        <x:v>Online</x:v>
      </x:c>
      <x:c r="H424" s="7" t="n">
        <x:v>2</x:v>
      </x:c>
      <x:c r="I424" s="9" t="n">
        <x:v>28000</x:v>
      </x:c>
      <x:c r="J424" s="9" t="n">
        <x:v>17500</x:v>
      </x:c>
      <x:c r="K424" s="10" t="n">
        <x:v>0.05</x:v>
      </x:c>
      <x:c r="L424" s="2" t="str">
        <x:v>Completed</x:v>
      </x:c>
      <x:c r="M424" s="12" t="n">
        <x:f>H424*I424</x:f>
        <x:v>56000</x:v>
      </x:c>
      <x:c r="N424" s="12" t="n">
        <x:f>IF(L424="Completed",ROUND(M424*(1-K424),2),0)</x:f>
        <x:v>53200</x:v>
      </x:c>
      <x:c r="O424" s="12" t="n">
        <x:f>IF(L424="Completed",H424*J424,0)</x:f>
        <x:v>35000</x:v>
      </x:c>
      <x:c r="P424" s="12" t="n">
        <x:f>N424-O424</x:f>
        <x:v>18200</x:v>
      </x:c>
    </x:row>
    <x:row r="425" ht="21" customHeight="1">
      <x:c r="A425" s="7" t="n">
        <x:v>420</x:v>
      </x:c>
      <x:c r="B425" s="2" t="str">
        <x:v>TXN-00420</x:v>
      </x:c>
      <x:c r="C425" s="8" t="d">
        <x:v>2025-05-10T00:00:00.000Z</x:v>
      </x:c>
      <x:c r="D425" s="2" t="str">
        <x:v>Lagos</x:v>
      </x:c>
      <x:c r="E425" s="2" t="str">
        <x:v>Electronics</x:v>
      </x:c>
      <x:c r="F425" s="2" t="str">
        <x:v>Headphones</x:v>
      </x:c>
      <x:c r="G425" s="2" t="str">
        <x:v>Online</x:v>
      </x:c>
      <x:c r="H425" s="7" t="n">
        <x:v>3</x:v>
      </x:c>
      <x:c r="I425" s="9" t="n">
        <x:v>18000</x:v>
      </x:c>
      <x:c r="J425" s="9" t="n">
        <x:v>10500</x:v>
      </x:c>
      <x:c r="K425" s="10" t="n">
        <x:v>0.15</x:v>
      </x:c>
      <x:c r="L425" s="2" t="str">
        <x:v>Completed</x:v>
      </x:c>
      <x:c r="M425" s="12" t="n">
        <x:f>H425*I425</x:f>
        <x:v>54000</x:v>
      </x:c>
      <x:c r="N425" s="12" t="n">
        <x:f>IF(L425="Completed",ROUND(M425*(1-K425),2),0)</x:f>
        <x:v>45900</x:v>
      </x:c>
      <x:c r="O425" s="12" t="n">
        <x:f>IF(L425="Completed",H425*J425,0)</x:f>
        <x:v>31500</x:v>
      </x:c>
      <x:c r="P425" s="12" t="n">
        <x:f>N425-O425</x:f>
        <x:v>14400</x:v>
      </x:c>
    </x:row>
    <x:row r="426" ht="21" customHeight="1">
      <x:c r="A426" s="7" t="n">
        <x:v>421</x:v>
      </x:c>
      <x:c r="B426" s="2" t="str">
        <x:v>TXN-00421</x:v>
      </x:c>
      <x:c r="C426" s="8" t="d">
        <x:v>2025-05-26T00:00:00.000Z</x:v>
      </x:c>
      <x:c r="D426" s="2" t="str">
        <x:v>Lagos</x:v>
      </x:c>
      <x:c r="E426" s="2" t="str">
        <x:v>Beauty</x:v>
      </x:c>
      <x:c r="F426" s="2" t="str">
        <x:v>Moisturizer</x:v>
      </x:c>
      <x:c r="G426" s="2" t="str">
        <x:v>Online</x:v>
      </x:c>
      <x:c r="H426" s="7" t="n">
        <x:v>2</x:v>
      </x:c>
      <x:c r="I426" s="9" t="n">
        <x:v>6500</x:v>
      </x:c>
      <x:c r="J426" s="9" t="n">
        <x:v>3500</x:v>
      </x:c>
      <x:c r="K426" s="10" t="n">
        <x:v>0.1</x:v>
      </x:c>
      <x:c r="L426" s="2" t="str">
        <x:v>Completed</x:v>
      </x:c>
      <x:c r="M426" s="12" t="n">
        <x:f>H426*I426</x:f>
        <x:v>13000</x:v>
      </x:c>
      <x:c r="N426" s="12" t="n">
        <x:f>IF(L426="Completed",ROUND(M426*(1-K426),2),0)</x:f>
        <x:v>11700</x:v>
      </x:c>
      <x:c r="O426" s="12" t="n">
        <x:f>IF(L426="Completed",H426*J426,0)</x:f>
        <x:v>7000</x:v>
      </x:c>
      <x:c r="P426" s="12" t="n">
        <x:f>N426-O426</x:f>
        <x:v>4700</x:v>
      </x:c>
    </x:row>
    <x:row r="427" ht="21" customHeight="1">
      <x:c r="A427" s="7" t="n">
        <x:v>422</x:v>
      </x:c>
      <x:c r="B427" s="2" t="str">
        <x:v>TXN-00422</x:v>
      </x:c>
      <x:c r="C427" s="8" t="d">
        <x:v>2025-05-24T00:00:00.000Z</x:v>
      </x:c>
      <x:c r="D427" s="2" t="str">
        <x:v>Port Harcourt</x:v>
      </x:c>
      <x:c r="E427" s="2" t="str">
        <x:v>Fashion</x:v>
      </x:c>
      <x:c r="F427" s="2" t="str">
        <x:v>T-shirt</x:v>
      </x:c>
      <x:c r="G427" s="2" t="str">
        <x:v>Online</x:v>
      </x:c>
      <x:c r="H427" s="7" t="n">
        <x:v>2</x:v>
      </x:c>
      <x:c r="I427" s="9" t="n">
        <x:v>9000</x:v>
      </x:c>
      <x:c r="J427" s="9" t="n">
        <x:v>5000</x:v>
      </x:c>
      <x:c r="K427" s="10" t="n">
        <x:v>0</x:v>
      </x:c>
      <x:c r="L427" s="2" t="str">
        <x:v>Completed</x:v>
      </x:c>
      <x:c r="M427" s="12" t="n">
        <x:f>H427*I427</x:f>
        <x:v>18000</x:v>
      </x:c>
      <x:c r="N427" s="12" t="n">
        <x:f>IF(L427="Completed",ROUND(M427*(1-K427),2),0)</x:f>
        <x:v>18000</x:v>
      </x:c>
      <x:c r="O427" s="12" t="n">
        <x:f>IF(L427="Completed",H427*J427,0)</x:f>
        <x:v>10000</x:v>
      </x:c>
      <x:c r="P427" s="12" t="n">
        <x:f>N427-O427</x:f>
        <x:v>8000</x:v>
      </x:c>
    </x:row>
    <x:row r="428" ht="21" customHeight="1">
      <x:c r="A428" s="7" t="n">
        <x:v>423</x:v>
      </x:c>
      <x:c r="B428" s="2" t="str">
        <x:v>TXN-00423</x:v>
      </x:c>
      <x:c r="C428" s="8" t="d">
        <x:v>2025-05-30T00:00:00.000Z</x:v>
      </x:c>
      <x:c r="D428" s="2" t="str">
        <x:v>Lagos</x:v>
      </x:c>
      <x:c r="E428" s="2" t="str">
        <x:v>Beauty</x:v>
      </x:c>
      <x:c r="F428" s="2" t="str">
        <x:v>Perfume</x:v>
      </x:c>
      <x:c r="G428" s="2" t="str">
        <x:v>In-store</x:v>
      </x:c>
      <x:c r="H428" s="7" t="n">
        <x:v>2</x:v>
      </x:c>
      <x:c r="I428" s="9" t="n">
        <x:v>17000</x:v>
      </x:c>
      <x:c r="J428" s="9" t="n">
        <x:v>9000</x:v>
      </x:c>
      <x:c r="K428" s="10" t="n">
        <x:v>0</x:v>
      </x:c>
      <x:c r="L428" s="2" t="str">
        <x:v>Completed</x:v>
      </x:c>
      <x:c r="M428" s="12" t="n">
        <x:f>H428*I428</x:f>
        <x:v>34000</x:v>
      </x:c>
      <x:c r="N428" s="12" t="n">
        <x:f>IF(L428="Completed",ROUND(M428*(1-K428),2),0)</x:f>
        <x:v>34000</x:v>
      </x:c>
      <x:c r="O428" s="12" t="n">
        <x:f>IF(L428="Completed",H428*J428,0)</x:f>
        <x:v>18000</x:v>
      </x:c>
      <x:c r="P428" s="12" t="n">
        <x:f>N428-O428</x:f>
        <x:v>16000</x:v>
      </x:c>
    </x:row>
    <x:row r="429" ht="21" customHeight="1">
      <x:c r="A429" s="7" t="n">
        <x:v>424</x:v>
      </x:c>
      <x:c r="B429" s="2" t="str">
        <x:v>TXN-00424</x:v>
      </x:c>
      <x:c r="C429" s="8" t="d">
        <x:v>2025-05-09T00:00:00.000Z</x:v>
      </x:c>
      <x:c r="D429" s="2" t="str">
        <x:v>Port Harcourt</x:v>
      </x:c>
      <x:c r="E429" s="2" t="str">
        <x:v>Home</x:v>
      </x:c>
      <x:c r="F429" s="2" t="str">
        <x:v>Desk lamp</x:v>
      </x:c>
      <x:c r="G429" s="2" t="str">
        <x:v>Online</x:v>
      </x:c>
      <x:c r="H429" s="7" t="n">
        <x:v>2</x:v>
      </x:c>
      <x:c r="I429" s="9" t="n">
        <x:v>12000</x:v>
      </x:c>
      <x:c r="J429" s="9" t="n">
        <x:v>7200</x:v>
      </x:c>
      <x:c r="K429" s="10" t="n">
        <x:v>0</x:v>
      </x:c>
      <x:c r="L429" s="2" t="str">
        <x:v>Completed</x:v>
      </x:c>
      <x:c r="M429" s="12" t="n">
        <x:f>H429*I429</x:f>
        <x:v>24000</x:v>
      </x:c>
      <x:c r="N429" s="12" t="n">
        <x:f>IF(L429="Completed",ROUND(M429*(1-K429),2),0)</x:f>
        <x:v>24000</x:v>
      </x:c>
      <x:c r="O429" s="12" t="n">
        <x:f>IF(L429="Completed",H429*J429,0)</x:f>
        <x:v>14400</x:v>
      </x:c>
      <x:c r="P429" s="12" t="n">
        <x:f>N429-O429</x:f>
        <x:v>9600</x:v>
      </x:c>
    </x:row>
    <x:row r="430" ht="21" customHeight="1">
      <x:c r="A430" s="7" t="n">
        <x:v>425</x:v>
      </x:c>
      <x:c r="B430" s="2" t="str">
        <x:v>TXN-00425</x:v>
      </x:c>
      <x:c r="C430" s="8" t="d">
        <x:v>2025-05-14T00:00:00.000Z</x:v>
      </x:c>
      <x:c r="D430" s="2" t="str">
        <x:v>Lagos</x:v>
      </x:c>
      <x:c r="E430" s="2" t="str">
        <x:v>Electronics</x:v>
      </x:c>
      <x:c r="F430" s="2" t="str">
        <x:v>Power bank</x:v>
      </x:c>
      <x:c r="G430" s="2" t="str">
        <x:v>Online</x:v>
      </x:c>
      <x:c r="H430" s="7" t="n">
        <x:v>2</x:v>
      </x:c>
      <x:c r="I430" s="9" t="n">
        <x:v>15000</x:v>
      </x:c>
      <x:c r="J430" s="9" t="n">
        <x:v>9500</x:v>
      </x:c>
      <x:c r="K430" s="10" t="n">
        <x:v>0.05</x:v>
      </x:c>
      <x:c r="L430" s="2" t="str">
        <x:v>Completed</x:v>
      </x:c>
      <x:c r="M430" s="12" t="n">
        <x:f>H430*I430</x:f>
        <x:v>30000</x:v>
      </x:c>
      <x:c r="N430" s="12" t="n">
        <x:f>IF(L430="Completed",ROUND(M430*(1-K430),2),0)</x:f>
        <x:v>28500</x:v>
      </x:c>
      <x:c r="O430" s="12" t="n">
        <x:f>IF(L430="Completed",H430*J430,0)</x:f>
        <x:v>19000</x:v>
      </x:c>
      <x:c r="P430" s="12" t="n">
        <x:f>N430-O430</x:f>
        <x:v>9500</x:v>
      </x:c>
    </x:row>
    <x:row r="431" ht="21" customHeight="1">
      <x:c r="A431" s="7" t="n">
        <x:v>426</x:v>
      </x:c>
      <x:c r="B431" s="2" t="str">
        <x:v>TXN-00426</x:v>
      </x:c>
      <x:c r="C431" s="8" t="d">
        <x:v>2025-05-28T00:00:00.000Z</x:v>
      </x:c>
      <x:c r="D431" s="2" t="str">
        <x:v>Lagos</x:v>
      </x:c>
      <x:c r="E431" s="2" t="str">
        <x:v>Home</x:v>
      </x:c>
      <x:c r="F431" s="2" t="str">
        <x:v>Desk lamp</x:v>
      </x:c>
      <x:c r="G431" s="2" t="str">
        <x:v>Online</x:v>
      </x:c>
      <x:c r="H431" s="7" t="n">
        <x:v>2</x:v>
      </x:c>
      <x:c r="I431" s="9" t="n">
        <x:v>12000</x:v>
      </x:c>
      <x:c r="J431" s="9" t="n">
        <x:v>7200</x:v>
      </x:c>
      <x:c r="K431" s="10" t="n">
        <x:v>0</x:v>
      </x:c>
      <x:c r="L431" s="2" t="str">
        <x:v>Completed</x:v>
      </x:c>
      <x:c r="M431" s="12" t="n">
        <x:f>H431*I431</x:f>
        <x:v>24000</x:v>
      </x:c>
      <x:c r="N431" s="12" t="n">
        <x:f>IF(L431="Completed",ROUND(M431*(1-K431),2),0)</x:f>
        <x:v>24000</x:v>
      </x:c>
      <x:c r="O431" s="12" t="n">
        <x:f>IF(L431="Completed",H431*J431,0)</x:f>
        <x:v>14400</x:v>
      </x:c>
      <x:c r="P431" s="12" t="n">
        <x:f>N431-O431</x:f>
        <x:v>9600</x:v>
      </x:c>
    </x:row>
    <x:row r="432" ht="21" customHeight="1">
      <x:c r="A432" s="7" t="n">
        <x:v>427</x:v>
      </x:c>
      <x:c r="B432" s="2" t="str">
        <x:v>TXN-00427</x:v>
      </x:c>
      <x:c r="C432" s="8" t="d">
        <x:v>2025-05-10T00:00:00.000Z</x:v>
      </x:c>
      <x:c r="D432" s="2" t="str">
        <x:v>Kano</x:v>
      </x:c>
      <x:c r="E432" s="2" t="str">
        <x:v>Beauty</x:v>
      </x:c>
      <x:c r="F432" s="2" t="str">
        <x:v>Body wash</x:v>
      </x:c>
      <x:c r="G432" s="2" t="str">
        <x:v>Online</x:v>
      </x:c>
      <x:c r="H432" s="7" t="n">
        <x:v>2</x:v>
      </x:c>
      <x:c r="I432" s="9" t="n">
        <x:v>4500</x:v>
      </x:c>
      <x:c r="J432" s="9" t="n">
        <x:v>2300</x:v>
      </x:c>
      <x:c r="K432" s="10" t="n">
        <x:v>0</x:v>
      </x:c>
      <x:c r="L432" s="2" t="str">
        <x:v>Completed</x:v>
      </x:c>
      <x:c r="M432" s="12" t="n">
        <x:f>H432*I432</x:f>
        <x:v>9000</x:v>
      </x:c>
      <x:c r="N432" s="12" t="n">
        <x:f>IF(L432="Completed",ROUND(M432*(1-K432),2),0)</x:f>
        <x:v>9000</x:v>
      </x:c>
      <x:c r="O432" s="12" t="n">
        <x:f>IF(L432="Completed",H432*J432,0)</x:f>
        <x:v>4600</x:v>
      </x:c>
      <x:c r="P432" s="12" t="n">
        <x:f>N432-O432</x:f>
        <x:v>4400</x:v>
      </x:c>
    </x:row>
    <x:row r="433" ht="21" customHeight="1">
      <x:c r="A433" s="7" t="n">
        <x:v>428</x:v>
      </x:c>
      <x:c r="B433" s="2" t="str">
        <x:v>TXN-00428</x:v>
      </x:c>
      <x:c r="C433" s="8" t="d">
        <x:v>2025-05-22T00:00:00.000Z</x:v>
      </x:c>
      <x:c r="D433" s="2" t="str">
        <x:v>Port Harcourt</x:v>
      </x:c>
      <x:c r="E433" s="2" t="str">
        <x:v>Electronics</x:v>
      </x:c>
      <x:c r="F433" s="2" t="str">
        <x:v>Power bank</x:v>
      </x:c>
      <x:c r="G433" s="2" t="str">
        <x:v>In-store</x:v>
      </x:c>
      <x:c r="H433" s="7" t="n">
        <x:v>2</x:v>
      </x:c>
      <x:c r="I433" s="9" t="n">
        <x:v>15000</x:v>
      </x:c>
      <x:c r="J433" s="9" t="n">
        <x:v>9500</x:v>
      </x:c>
      <x:c r="K433" s="10" t="n">
        <x:v>0</x:v>
      </x:c>
      <x:c r="L433" s="2" t="str">
        <x:v>Completed</x:v>
      </x:c>
      <x:c r="M433" s="12" t="n">
        <x:f>H433*I433</x:f>
        <x:v>30000</x:v>
      </x:c>
      <x:c r="N433" s="12" t="n">
        <x:f>IF(L433="Completed",ROUND(M433*(1-K433),2),0)</x:f>
        <x:v>30000</x:v>
      </x:c>
      <x:c r="O433" s="12" t="n">
        <x:f>IF(L433="Completed",H433*J433,0)</x:f>
        <x:v>19000</x:v>
      </x:c>
      <x:c r="P433" s="12" t="n">
        <x:f>N433-O433</x:f>
        <x:v>11000</x:v>
      </x:c>
    </x:row>
    <x:row r="434" ht="21" customHeight="1">
      <x:c r="A434" s="7" t="n">
        <x:v>429</x:v>
      </x:c>
      <x:c r="B434" s="2" t="str">
        <x:v>TXN-00429</x:v>
      </x:c>
      <x:c r="C434" s="8" t="d">
        <x:v>2025-05-26T00:00:00.000Z</x:v>
      </x:c>
      <x:c r="D434" s="2" t="str">
        <x:v>Port Harcourt</x:v>
      </x:c>
      <x:c r="E434" s="2" t="str">
        <x:v>Electronics</x:v>
      </x:c>
      <x:c r="F434" s="2" t="str">
        <x:v>Headphones</x:v>
      </x:c>
      <x:c r="G434" s="2" t="str">
        <x:v>Online</x:v>
      </x:c>
      <x:c r="H434" s="7" t="n">
        <x:v>2</x:v>
      </x:c>
      <x:c r="I434" s="9" t="n">
        <x:v>18000</x:v>
      </x:c>
      <x:c r="J434" s="9" t="n">
        <x:v>10500</x:v>
      </x:c>
      <x:c r="K434" s="10" t="n">
        <x:v>0</x:v>
      </x:c>
      <x:c r="L434" s="2" t="str">
        <x:v>Completed</x:v>
      </x:c>
      <x:c r="M434" s="12" t="n">
        <x:f>H434*I434</x:f>
        <x:v>36000</x:v>
      </x:c>
      <x:c r="N434" s="12" t="n">
        <x:f>IF(L434="Completed",ROUND(M434*(1-K434),2),0)</x:f>
        <x:v>36000</x:v>
      </x:c>
      <x:c r="O434" s="12" t="n">
        <x:f>IF(L434="Completed",H434*J434,0)</x:f>
        <x:v>21000</x:v>
      </x:c>
      <x:c r="P434" s="12" t="n">
        <x:f>N434-O434</x:f>
        <x:v>15000</x:v>
      </x:c>
    </x:row>
    <x:row r="435" ht="21" customHeight="1">
      <x:c r="A435" s="7" t="n">
        <x:v>430</x:v>
      </x:c>
      <x:c r="B435" s="2" t="str">
        <x:v>TXN-00430</x:v>
      </x:c>
      <x:c r="C435" s="8" t="d">
        <x:v>2025-05-06T00:00:00.000Z</x:v>
      </x:c>
      <x:c r="D435" s="2" t="str">
        <x:v>Lagos</x:v>
      </x:c>
      <x:c r="E435" s="2" t="str">
        <x:v>Fashion</x:v>
      </x:c>
      <x:c r="F435" s="2" t="str">
        <x:v>T-shirt</x:v>
      </x:c>
      <x:c r="G435" s="2" t="str">
        <x:v>In-store</x:v>
      </x:c>
      <x:c r="H435" s="7" t="n">
        <x:v>1</x:v>
      </x:c>
      <x:c r="I435" s="9" t="n">
        <x:v>9000</x:v>
      </x:c>
      <x:c r="J435" s="9" t="n">
        <x:v>5000</x:v>
      </x:c>
      <x:c r="K435" s="10" t="n">
        <x:v>0</x:v>
      </x:c>
      <x:c r="L435" s="2" t="str">
        <x:v>Completed</x:v>
      </x:c>
      <x:c r="M435" s="12" t="n">
        <x:f>H435*I435</x:f>
        <x:v>9000</x:v>
      </x:c>
      <x:c r="N435" s="12" t="n">
        <x:f>IF(L435="Completed",ROUND(M435*(1-K435),2),0)</x:f>
        <x:v>9000</x:v>
      </x:c>
      <x:c r="O435" s="12" t="n">
        <x:f>IF(L435="Completed",H435*J435,0)</x:f>
        <x:v>5000</x:v>
      </x:c>
      <x:c r="P435" s="12" t="n">
        <x:f>N435-O435</x:f>
        <x:v>4000</x:v>
      </x:c>
    </x:row>
    <x:row r="436" ht="21" customHeight="1">
      <x:c r="A436" s="7" t="n">
        <x:v>431</x:v>
      </x:c>
      <x:c r="B436" s="2" t="str">
        <x:v>TXN-00431</x:v>
      </x:c>
      <x:c r="C436" s="8" t="d">
        <x:v>2025-05-16T00:00:00.000Z</x:v>
      </x:c>
      <x:c r="D436" s="2" t="str">
        <x:v>Lagos</x:v>
      </x:c>
      <x:c r="E436" s="2" t="str">
        <x:v>Beauty</x:v>
      </x:c>
      <x:c r="F436" s="2" t="str">
        <x:v>Body wash</x:v>
      </x:c>
      <x:c r="G436" s="2" t="str">
        <x:v>Online</x:v>
      </x:c>
      <x:c r="H436" s="7" t="n">
        <x:v>2</x:v>
      </x:c>
      <x:c r="I436" s="9" t="n">
        <x:v>4500</x:v>
      </x:c>
      <x:c r="J436" s="9" t="n">
        <x:v>2300</x:v>
      </x:c>
      <x:c r="K436" s="10" t="n">
        <x:v>0.1</x:v>
      </x:c>
      <x:c r="L436" s="2" t="str">
        <x:v>Completed</x:v>
      </x:c>
      <x:c r="M436" s="12" t="n">
        <x:f>H436*I436</x:f>
        <x:v>9000</x:v>
      </x:c>
      <x:c r="N436" s="12" t="n">
        <x:f>IF(L436="Completed",ROUND(M436*(1-K436),2),0)</x:f>
        <x:v>8100</x:v>
      </x:c>
      <x:c r="O436" s="12" t="n">
        <x:f>IF(L436="Completed",H436*J436,0)</x:f>
        <x:v>4600</x:v>
      </x:c>
      <x:c r="P436" s="12" t="n">
        <x:f>N436-O436</x:f>
        <x:v>3500</x:v>
      </x:c>
    </x:row>
    <x:row r="437" ht="21" customHeight="1">
      <x:c r="A437" s="7" t="n">
        <x:v>432</x:v>
      </x:c>
      <x:c r="B437" s="2" t="str">
        <x:v>TXN-00432</x:v>
      </x:c>
      <x:c r="C437" s="8" t="d">
        <x:v>2025-05-07T00:00:00.000Z</x:v>
      </x:c>
      <x:c r="D437" s="2" t="str">
        <x:v>Kano</x:v>
      </x:c>
      <x:c r="E437" s="2" t="str">
        <x:v>Electronics</x:v>
      </x:c>
      <x:c r="F437" s="2" t="str">
        <x:v>Bluetooth speaker</x:v>
      </x:c>
      <x:c r="G437" s="2" t="str">
        <x:v>In-store</x:v>
      </x:c>
      <x:c r="H437" s="7" t="n">
        <x:v>2</x:v>
      </x:c>
      <x:c r="I437" s="9" t="n">
        <x:v>26000</x:v>
      </x:c>
      <x:c r="J437" s="9" t="n">
        <x:v>17000</x:v>
      </x:c>
      <x:c r="K437" s="10" t="n">
        <x:v>0</x:v>
      </x:c>
      <x:c r="L437" s="2" t="str">
        <x:v>Completed</x:v>
      </x:c>
      <x:c r="M437" s="12" t="n">
        <x:f>H437*I437</x:f>
        <x:v>52000</x:v>
      </x:c>
      <x:c r="N437" s="12" t="n">
        <x:f>IF(L437="Completed",ROUND(M437*(1-K437),2),0)</x:f>
        <x:v>52000</x:v>
      </x:c>
      <x:c r="O437" s="12" t="n">
        <x:f>IF(L437="Completed",H437*J437,0)</x:f>
        <x:v>34000</x:v>
      </x:c>
      <x:c r="P437" s="12" t="n">
        <x:f>N437-O437</x:f>
        <x:v>18000</x:v>
      </x:c>
    </x:row>
    <x:row r="438" ht="21" customHeight="1">
      <x:c r="A438" s="7" t="n">
        <x:v>433</x:v>
      </x:c>
      <x:c r="B438" s="2" t="str">
        <x:v>TXN-00433</x:v>
      </x:c>
      <x:c r="C438" s="8" t="d">
        <x:v>2025-05-05T00:00:00.000Z</x:v>
      </x:c>
      <x:c r="D438" s="2" t="str">
        <x:v>Lagos</x:v>
      </x:c>
      <x:c r="E438" s="2" t="str">
        <x:v>Beauty</x:v>
      </x:c>
      <x:c r="F438" s="2" t="str">
        <x:v>Body wash</x:v>
      </x:c>
      <x:c r="G438" s="2" t="str">
        <x:v>In-store</x:v>
      </x:c>
      <x:c r="H438" s="7" t="n">
        <x:v>1</x:v>
      </x:c>
      <x:c r="I438" s="9" t="n">
        <x:v>4500</x:v>
      </x:c>
      <x:c r="J438" s="9" t="n">
        <x:v>2300</x:v>
      </x:c>
      <x:c r="K438" s="10" t="n">
        <x:v>0.1</x:v>
      </x:c>
      <x:c r="L438" s="2" t="str">
        <x:v>Completed</x:v>
      </x:c>
      <x:c r="M438" s="12" t="n">
        <x:f>H438*I438</x:f>
        <x:v>4500</x:v>
      </x:c>
      <x:c r="N438" s="12" t="n">
        <x:f>IF(L438="Completed",ROUND(M438*(1-K438),2),0)</x:f>
        <x:v>4050</x:v>
      </x:c>
      <x:c r="O438" s="12" t="n">
        <x:f>IF(L438="Completed",H438*J438,0)</x:f>
        <x:v>2300</x:v>
      </x:c>
      <x:c r="P438" s="12" t="n">
        <x:f>N438-O438</x:f>
        <x:v>1750</x:v>
      </x:c>
    </x:row>
    <x:row r="439" ht="21" customHeight="1">
      <x:c r="A439" s="7" t="n">
        <x:v>434</x:v>
      </x:c>
      <x:c r="B439" s="2" t="str">
        <x:v>TXN-00434</x:v>
      </x:c>
      <x:c r="C439" s="8" t="d">
        <x:v>2025-05-21T00:00:00.000Z</x:v>
      </x:c>
      <x:c r="D439" s="2" t="str">
        <x:v>Abuja</x:v>
      </x:c>
      <x:c r="E439" s="2" t="str">
        <x:v>Electronics</x:v>
      </x:c>
      <x:c r="F439" s="2" t="str">
        <x:v>Headphones</x:v>
      </x:c>
      <x:c r="G439" s="2" t="str">
        <x:v>Online</x:v>
      </x:c>
      <x:c r="H439" s="7" t="n">
        <x:v>2</x:v>
      </x:c>
      <x:c r="I439" s="9" t="n">
        <x:v>18000</x:v>
      </x:c>
      <x:c r="J439" s="9" t="n">
        <x:v>10500</x:v>
      </x:c>
      <x:c r="K439" s="10" t="n">
        <x:v>0.05</x:v>
      </x:c>
      <x:c r="L439" s="2" t="str">
        <x:v>Returned</x:v>
      </x:c>
      <x:c r="M439" s="12" t="n">
        <x:f>H439*I439</x:f>
        <x:v>36000</x:v>
      </x:c>
      <x:c r="N439" s="12" t="n">
        <x:f>IF(L439="Completed",ROUND(M439*(1-K439),2),0)</x:f>
        <x:v>0</x:v>
      </x:c>
      <x:c r="O439" s="12" t="n">
        <x:f>IF(L439="Completed",H439*J439,0)</x:f>
        <x:v>0</x:v>
      </x:c>
      <x:c r="P439" s="12" t="n">
        <x:f>N439-O439</x:f>
        <x:v>0</x:v>
      </x:c>
    </x:row>
    <x:row r="440" ht="21" customHeight="1">
      <x:c r="A440" s="7" t="n">
        <x:v>435</x:v>
      </x:c>
      <x:c r="B440" s="2" t="str">
        <x:v>TXN-00435</x:v>
      </x:c>
      <x:c r="C440" s="8" t="d">
        <x:v>2025-05-07T00:00:00.000Z</x:v>
      </x:c>
      <x:c r="D440" s="2" t="str">
        <x:v>Port Harcourt</x:v>
      </x:c>
      <x:c r="E440" s="2" t="str">
        <x:v>Beauty</x:v>
      </x:c>
      <x:c r="F440" s="2" t="str">
        <x:v>Perfume</x:v>
      </x:c>
      <x:c r="G440" s="2" t="str">
        <x:v>Online</x:v>
      </x:c>
      <x:c r="H440" s="7" t="n">
        <x:v>4</x:v>
      </x:c>
      <x:c r="I440" s="9" t="n">
        <x:v>17000</x:v>
      </x:c>
      <x:c r="J440" s="9" t="n">
        <x:v>9000</x:v>
      </x:c>
      <x:c r="K440" s="10" t="n">
        <x:v>0</x:v>
      </x:c>
      <x:c r="L440" s="2" t="str">
        <x:v>Completed</x:v>
      </x:c>
      <x:c r="M440" s="12" t="n">
        <x:f>H440*I440</x:f>
        <x:v>68000</x:v>
      </x:c>
      <x:c r="N440" s="12" t="n">
        <x:f>IF(L440="Completed",ROUND(M440*(1-K440),2),0)</x:f>
        <x:v>68000</x:v>
      </x:c>
      <x:c r="O440" s="12" t="n">
        <x:f>IF(L440="Completed",H440*J440,0)</x:f>
        <x:v>36000</x:v>
      </x:c>
      <x:c r="P440" s="12" t="n">
        <x:f>N440-O440</x:f>
        <x:v>32000</x:v>
      </x:c>
    </x:row>
    <x:row r="441" ht="21" customHeight="1">
      <x:c r="A441" s="7" t="n">
        <x:v>436</x:v>
      </x:c>
      <x:c r="B441" s="2" t="str">
        <x:v>TXN-00436</x:v>
      </x:c>
      <x:c r="C441" s="8" t="d">
        <x:v>2025-05-06T00:00:00.000Z</x:v>
      </x:c>
      <x:c r="D441" s="2" t="str">
        <x:v>Port Harcourt</x:v>
      </x:c>
      <x:c r="E441" s="2" t="str">
        <x:v>Electronics</x:v>
      </x:c>
      <x:c r="F441" s="2" t="str">
        <x:v>Bluetooth speaker</x:v>
      </x:c>
      <x:c r="G441" s="2" t="str">
        <x:v>Online</x:v>
      </x:c>
      <x:c r="H441" s="7" t="n">
        <x:v>2</x:v>
      </x:c>
      <x:c r="I441" s="9" t="n">
        <x:v>26000</x:v>
      </x:c>
      <x:c r="J441" s="9" t="n">
        <x:v>17000</x:v>
      </x:c>
      <x:c r="K441" s="10" t="n">
        <x:v>0</x:v>
      </x:c>
      <x:c r="L441" s="2" t="str">
        <x:v>Completed</x:v>
      </x:c>
      <x:c r="M441" s="12" t="n">
        <x:f>H441*I441</x:f>
        <x:v>52000</x:v>
      </x:c>
      <x:c r="N441" s="12" t="n">
        <x:f>IF(L441="Completed",ROUND(M441*(1-K441),2),0)</x:f>
        <x:v>52000</x:v>
      </x:c>
      <x:c r="O441" s="12" t="n">
        <x:f>IF(L441="Completed",H441*J441,0)</x:f>
        <x:v>34000</x:v>
      </x:c>
      <x:c r="P441" s="12" t="n">
        <x:f>N441-O441</x:f>
        <x:v>18000</x:v>
      </x:c>
    </x:row>
    <x:row r="442" ht="21" customHeight="1">
      <x:c r="A442" s="7" t="n">
        <x:v>437</x:v>
      </x:c>
      <x:c r="B442" s="2" t="str">
        <x:v>TXN-00437</x:v>
      </x:c>
      <x:c r="C442" s="8" t="d">
        <x:v>2025-05-01T00:00:00.000Z</x:v>
      </x:c>
      <x:c r="D442" s="2" t="str">
        <x:v>Lagos</x:v>
      </x:c>
      <x:c r="E442" s="2" t="str">
        <x:v>Electronics</x:v>
      </x:c>
      <x:c r="F442" s="2" t="str">
        <x:v>Bluetooth speaker</x:v>
      </x:c>
      <x:c r="G442" s="2" t="str">
        <x:v>Online</x:v>
      </x:c>
      <x:c r="H442" s="7" t="n">
        <x:v>1</x:v>
      </x:c>
      <x:c r="I442" s="9" t="n">
        <x:v>26000</x:v>
      </x:c>
      <x:c r="J442" s="9" t="n">
        <x:v>17000</x:v>
      </x:c>
      <x:c r="K442" s="10" t="n">
        <x:v>0</x:v>
      </x:c>
      <x:c r="L442" s="2" t="str">
        <x:v>Completed</x:v>
      </x:c>
      <x:c r="M442" s="12" t="n">
        <x:f>H442*I442</x:f>
        <x:v>26000</x:v>
      </x:c>
      <x:c r="N442" s="12" t="n">
        <x:f>IF(L442="Completed",ROUND(M442*(1-K442),2),0)</x:f>
        <x:v>26000</x:v>
      </x:c>
      <x:c r="O442" s="12" t="n">
        <x:f>IF(L442="Completed",H442*J442,0)</x:f>
        <x:v>17000</x:v>
      </x:c>
      <x:c r="P442" s="12" t="n">
        <x:f>N442-O442</x:f>
        <x:v>9000</x:v>
      </x:c>
    </x:row>
    <x:row r="443" ht="21" customHeight="1">
      <x:c r="A443" s="7" t="n">
        <x:v>438</x:v>
      </x:c>
      <x:c r="B443" s="2" t="str">
        <x:v>TXN-00438</x:v>
      </x:c>
      <x:c r="C443" s="8" t="d">
        <x:v>2025-05-11T00:00:00.000Z</x:v>
      </x:c>
      <x:c r="D443" s="2" t="str">
        <x:v>Lagos</x:v>
      </x:c>
      <x:c r="E443" s="2" t="str">
        <x:v>Beauty</x:v>
      </x:c>
      <x:c r="F443" s="2" t="str">
        <x:v>Moisturizer</x:v>
      </x:c>
      <x:c r="G443" s="2" t="str">
        <x:v>Online</x:v>
      </x:c>
      <x:c r="H443" s="7" t="n">
        <x:v>2</x:v>
      </x:c>
      <x:c r="I443" s="9" t="n">
        <x:v>6500</x:v>
      </x:c>
      <x:c r="J443" s="9" t="n">
        <x:v>3500</x:v>
      </x:c>
      <x:c r="K443" s="10" t="n">
        <x:v>0</x:v>
      </x:c>
      <x:c r="L443" s="2" t="str">
        <x:v>Completed</x:v>
      </x:c>
      <x:c r="M443" s="12" t="n">
        <x:f>H443*I443</x:f>
        <x:v>13000</x:v>
      </x:c>
      <x:c r="N443" s="12" t="n">
        <x:f>IF(L443="Completed",ROUND(M443*(1-K443),2),0)</x:f>
        <x:v>13000</x:v>
      </x:c>
      <x:c r="O443" s="12" t="n">
        <x:f>IF(L443="Completed",H443*J443,0)</x:f>
        <x:v>7000</x:v>
      </x:c>
      <x:c r="P443" s="12" t="n">
        <x:f>N443-O443</x:f>
        <x:v>6000</x:v>
      </x:c>
    </x:row>
    <x:row r="444" ht="21" customHeight="1">
      <x:c r="A444" s="7" t="n">
        <x:v>439</x:v>
      </x:c>
      <x:c r="B444" s="2" t="str">
        <x:v>TXN-00439</x:v>
      </x:c>
      <x:c r="C444" s="8" t="d">
        <x:v>2025-05-22T00:00:00.000Z</x:v>
      </x:c>
      <x:c r="D444" s="2" t="str">
        <x:v>Lagos</x:v>
      </x:c>
      <x:c r="E444" s="2" t="str">
        <x:v>Beauty</x:v>
      </x:c>
      <x:c r="F444" s="2" t="str">
        <x:v>Body wash</x:v>
      </x:c>
      <x:c r="G444" s="2" t="str">
        <x:v>In-store</x:v>
      </x:c>
      <x:c r="H444" s="7" t="n">
        <x:v>2</x:v>
      </x:c>
      <x:c r="I444" s="9" t="n">
        <x:v>4500</x:v>
      </x:c>
      <x:c r="J444" s="9" t="n">
        <x:v>2300</x:v>
      </x:c>
      <x:c r="K444" s="10" t="n">
        <x:v>0.05</x:v>
      </x:c>
      <x:c r="L444" s="2" t="str">
        <x:v>Completed</x:v>
      </x:c>
      <x:c r="M444" s="12" t="n">
        <x:f>H444*I444</x:f>
        <x:v>9000</x:v>
      </x:c>
      <x:c r="N444" s="12" t="n">
        <x:f>IF(L444="Completed",ROUND(M444*(1-K444),2),0)</x:f>
        <x:v>8550</x:v>
      </x:c>
      <x:c r="O444" s="12" t="n">
        <x:f>IF(L444="Completed",H444*J444,0)</x:f>
        <x:v>4600</x:v>
      </x:c>
      <x:c r="P444" s="12" t="n">
        <x:f>N444-O444</x:f>
        <x:v>3950</x:v>
      </x:c>
    </x:row>
    <x:row r="445" ht="21" customHeight="1">
      <x:c r="A445" s="7" t="n">
        <x:v>440</x:v>
      </x:c>
      <x:c r="B445" s="2" t="str">
        <x:v>TXN-00440</x:v>
      </x:c>
      <x:c r="C445" s="8" t="d">
        <x:v>2025-05-13T00:00:00.000Z</x:v>
      </x:c>
      <x:c r="D445" s="2" t="str">
        <x:v>Abuja</x:v>
      </x:c>
      <x:c r="E445" s="2" t="str">
        <x:v>Electronics</x:v>
      </x:c>
      <x:c r="F445" s="2" t="str">
        <x:v>Headphones</x:v>
      </x:c>
      <x:c r="G445" s="2" t="str">
        <x:v>In-store</x:v>
      </x:c>
      <x:c r="H445" s="7" t="n">
        <x:v>2</x:v>
      </x:c>
      <x:c r="I445" s="9" t="n">
        <x:v>18000</x:v>
      </x:c>
      <x:c r="J445" s="9" t="n">
        <x:v>10500</x:v>
      </x:c>
      <x:c r="K445" s="10" t="n">
        <x:v>0</x:v>
      </x:c>
      <x:c r="L445" s="2" t="str">
        <x:v>Completed</x:v>
      </x:c>
      <x:c r="M445" s="12" t="n">
        <x:f>H445*I445</x:f>
        <x:v>36000</x:v>
      </x:c>
      <x:c r="N445" s="12" t="n">
        <x:f>IF(L445="Completed",ROUND(M445*(1-K445),2),0)</x:f>
        <x:v>36000</x:v>
      </x:c>
      <x:c r="O445" s="12" t="n">
        <x:f>IF(L445="Completed",H445*J445,0)</x:f>
        <x:v>21000</x:v>
      </x:c>
      <x:c r="P445" s="12" t="n">
        <x:f>N445-O445</x:f>
        <x:v>15000</x:v>
      </x:c>
    </x:row>
    <x:row r="446" ht="21" customHeight="1">
      <x:c r="A446" s="7" t="n">
        <x:v>441</x:v>
      </x:c>
      <x:c r="B446" s="2" t="str">
        <x:v>TXN-00441</x:v>
      </x:c>
      <x:c r="C446" s="8" t="d">
        <x:v>2025-05-31T00:00:00.000Z</x:v>
      </x:c>
      <x:c r="D446" s="2" t="str">
        <x:v>Port Harcourt</x:v>
      </x:c>
      <x:c r="E446" s="2" t="str">
        <x:v>Electronics</x:v>
      </x:c>
      <x:c r="F446" s="2" t="str">
        <x:v>Bluetooth speaker</x:v>
      </x:c>
      <x:c r="G446" s="2" t="str">
        <x:v>Online</x:v>
      </x:c>
      <x:c r="H446" s="7" t="n">
        <x:v>4</x:v>
      </x:c>
      <x:c r="I446" s="9" t="n">
        <x:v>26000</x:v>
      </x:c>
      <x:c r="J446" s="9" t="n">
        <x:v>17000</x:v>
      </x:c>
      <x:c r="K446" s="10" t="n">
        <x:v>0</x:v>
      </x:c>
      <x:c r="L446" s="2" t="str">
        <x:v>Completed</x:v>
      </x:c>
      <x:c r="M446" s="12" t="n">
        <x:f>H446*I446</x:f>
        <x:v>104000</x:v>
      </x:c>
      <x:c r="N446" s="12" t="n">
        <x:f>IF(L446="Completed",ROUND(M446*(1-K446),2),0)</x:f>
        <x:v>104000</x:v>
      </x:c>
      <x:c r="O446" s="12" t="n">
        <x:f>IF(L446="Completed",H446*J446,0)</x:f>
        <x:v>68000</x:v>
      </x:c>
      <x:c r="P446" s="12" t="n">
        <x:f>N446-O446</x:f>
        <x:v>36000</x:v>
      </x:c>
    </x:row>
    <x:row r="447" ht="21" customHeight="1">
      <x:c r="A447" s="7" t="n">
        <x:v>442</x:v>
      </x:c>
      <x:c r="B447" s="2" t="str">
        <x:v>TXN-00442</x:v>
      </x:c>
      <x:c r="C447" s="8" t="d">
        <x:v>2025-05-01T00:00:00.000Z</x:v>
      </x:c>
      <x:c r="D447" s="2" t="str">
        <x:v>Port Harcourt</x:v>
      </x:c>
      <x:c r="E447" s="2" t="str">
        <x:v>Electronics</x:v>
      </x:c>
      <x:c r="F447" s="2" t="str">
        <x:v>Headphones</x:v>
      </x:c>
      <x:c r="G447" s="2" t="str">
        <x:v>In-store</x:v>
      </x:c>
      <x:c r="H447" s="7" t="n">
        <x:v>1</x:v>
      </x:c>
      <x:c r="I447" s="9" t="n">
        <x:v>18000</x:v>
      </x:c>
      <x:c r="J447" s="9" t="n">
        <x:v>10500</x:v>
      </x:c>
      <x:c r="K447" s="10" t="n">
        <x:v>0.1</x:v>
      </x:c>
      <x:c r="L447" s="2" t="str">
        <x:v>Completed</x:v>
      </x:c>
      <x:c r="M447" s="12" t="n">
        <x:f>H447*I447</x:f>
        <x:v>18000</x:v>
      </x:c>
      <x:c r="N447" s="12" t="n">
        <x:f>IF(L447="Completed",ROUND(M447*(1-K447),2),0)</x:f>
        <x:v>16200</x:v>
      </x:c>
      <x:c r="O447" s="12" t="n">
        <x:f>IF(L447="Completed",H447*J447,0)</x:f>
        <x:v>10500</x:v>
      </x:c>
      <x:c r="P447" s="12" t="n">
        <x:f>N447-O447</x:f>
        <x:v>5700</x:v>
      </x:c>
    </x:row>
    <x:row r="448" ht="21" customHeight="1">
      <x:c r="A448" s="7" t="n">
        <x:v>443</x:v>
      </x:c>
      <x:c r="B448" s="2" t="str">
        <x:v>TXN-00443</x:v>
      </x:c>
      <x:c r="C448" s="8" t="d">
        <x:v>2025-05-22T00:00:00.000Z</x:v>
      </x:c>
      <x:c r="D448" s="2" t="str">
        <x:v>Lagos</x:v>
      </x:c>
      <x:c r="E448" s="2" t="str">
        <x:v>Fashion</x:v>
      </x:c>
      <x:c r="F448" s="2" t="str">
        <x:v>Handbag</x:v>
      </x:c>
      <x:c r="G448" s="2" t="str">
        <x:v>Online</x:v>
      </x:c>
      <x:c r="H448" s="7" t="n">
        <x:v>3</x:v>
      </x:c>
      <x:c r="I448" s="9" t="n">
        <x:v>22000</x:v>
      </x:c>
      <x:c r="J448" s="9" t="n">
        <x:v>13500</x:v>
      </x:c>
      <x:c r="K448" s="10" t="n">
        <x:v>0.05</x:v>
      </x:c>
      <x:c r="L448" s="2" t="str">
        <x:v>Returned</x:v>
      </x:c>
      <x:c r="M448" s="12" t="n">
        <x:f>H448*I448</x:f>
        <x:v>66000</x:v>
      </x:c>
      <x:c r="N448" s="12" t="n">
        <x:f>IF(L448="Completed",ROUND(M448*(1-K448),2),0)</x:f>
        <x:v>0</x:v>
      </x:c>
      <x:c r="O448" s="12" t="n">
        <x:f>IF(L448="Completed",H448*J448,0)</x:f>
        <x:v>0</x:v>
      </x:c>
      <x:c r="P448" s="12" t="n">
        <x:f>N448-O448</x:f>
        <x:v>0</x:v>
      </x:c>
    </x:row>
    <x:row r="449" ht="21" customHeight="1">
      <x:c r="A449" s="7" t="n">
        <x:v>444</x:v>
      </x:c>
      <x:c r="B449" s="2" t="str">
        <x:v>TXN-00444</x:v>
      </x:c>
      <x:c r="C449" s="8" t="d">
        <x:v>2025-05-25T00:00:00.000Z</x:v>
      </x:c>
      <x:c r="D449" s="2" t="str">
        <x:v>Abuja</x:v>
      </x:c>
      <x:c r="E449" s="2" t="str">
        <x:v>Beauty</x:v>
      </x:c>
      <x:c r="F449" s="2" t="str">
        <x:v>Moisturizer</x:v>
      </x:c>
      <x:c r="G449" s="2" t="str">
        <x:v>In-store</x:v>
      </x:c>
      <x:c r="H449" s="7" t="n">
        <x:v>3</x:v>
      </x:c>
      <x:c r="I449" s="9" t="n">
        <x:v>6500</x:v>
      </x:c>
      <x:c r="J449" s="9" t="n">
        <x:v>3500</x:v>
      </x:c>
      <x:c r="K449" s="10" t="n">
        <x:v>0</x:v>
      </x:c>
      <x:c r="L449" s="2" t="str">
        <x:v>Completed</x:v>
      </x:c>
      <x:c r="M449" s="12" t="n">
        <x:f>H449*I449</x:f>
        <x:v>19500</x:v>
      </x:c>
      <x:c r="N449" s="12" t="n">
        <x:f>IF(L449="Completed",ROUND(M449*(1-K449),2),0)</x:f>
        <x:v>19500</x:v>
      </x:c>
      <x:c r="O449" s="12" t="n">
        <x:f>IF(L449="Completed",H449*J449,0)</x:f>
        <x:v>10500</x:v>
      </x:c>
      <x:c r="P449" s="12" t="n">
        <x:f>N449-O449</x:f>
        <x:v>9000</x:v>
      </x:c>
    </x:row>
    <x:row r="450" ht="21" customHeight="1">
      <x:c r="A450" s="7" t="n">
        <x:v>445</x:v>
      </x:c>
      <x:c r="B450" s="2" t="str">
        <x:v>TXN-00445</x:v>
      </x:c>
      <x:c r="C450" s="8" t="d">
        <x:v>2025-05-09T00:00:00.000Z</x:v>
      </x:c>
      <x:c r="D450" s="2" t="str">
        <x:v>Abuja</x:v>
      </x:c>
      <x:c r="E450" s="2" t="str">
        <x:v>Home</x:v>
      </x:c>
      <x:c r="F450" s="2" t="str">
        <x:v>Cookware set</x:v>
      </x:c>
      <x:c r="G450" s="2" t="str">
        <x:v>Online</x:v>
      </x:c>
      <x:c r="H450" s="7" t="n">
        <x:v>2</x:v>
      </x:c>
      <x:c r="I450" s="9" t="n">
        <x:v>35000</x:v>
      </x:c>
      <x:c r="J450" s="9" t="n">
        <x:v>22500</x:v>
      </x:c>
      <x:c r="K450" s="10" t="n">
        <x:v>0</x:v>
      </x:c>
      <x:c r="L450" s="2" t="str">
        <x:v>Completed</x:v>
      </x:c>
      <x:c r="M450" s="12" t="n">
        <x:f>H450*I450</x:f>
        <x:v>70000</x:v>
      </x:c>
      <x:c r="N450" s="12" t="n">
        <x:f>IF(L450="Completed",ROUND(M450*(1-K450),2),0)</x:f>
        <x:v>70000</x:v>
      </x:c>
      <x:c r="O450" s="12" t="n">
        <x:f>IF(L450="Completed",H450*J450,0)</x:f>
        <x:v>45000</x:v>
      </x:c>
      <x:c r="P450" s="12" t="n">
        <x:f>N450-O450</x:f>
        <x:v>25000</x:v>
      </x:c>
    </x:row>
    <x:row r="451" ht="21" customHeight="1">
      <x:c r="A451" s="7" t="n">
        <x:v>446</x:v>
      </x:c>
      <x:c r="B451" s="2" t="str">
        <x:v>TXN-00446</x:v>
      </x:c>
      <x:c r="C451" s="8" t="d">
        <x:v>2025-05-16T00:00:00.000Z</x:v>
      </x:c>
      <x:c r="D451" s="2" t="str">
        <x:v>Port Harcourt</x:v>
      </x:c>
      <x:c r="E451" s="2" t="str">
        <x:v>Beauty</x:v>
      </x:c>
      <x:c r="F451" s="2" t="str">
        <x:v>Body wash</x:v>
      </x:c>
      <x:c r="G451" s="2" t="str">
        <x:v>Online</x:v>
      </x:c>
      <x:c r="H451" s="7" t="n">
        <x:v>1</x:v>
      </x:c>
      <x:c r="I451" s="9" t="n">
        <x:v>4500</x:v>
      </x:c>
      <x:c r="J451" s="9" t="n">
        <x:v>2300</x:v>
      </x:c>
      <x:c r="K451" s="10" t="n">
        <x:v>0</x:v>
      </x:c>
      <x:c r="L451" s="2" t="str">
        <x:v>Completed</x:v>
      </x:c>
      <x:c r="M451" s="12" t="n">
        <x:f>H451*I451</x:f>
        <x:v>4500</x:v>
      </x:c>
      <x:c r="N451" s="12" t="n">
        <x:f>IF(L451="Completed",ROUND(M451*(1-K451),2),0)</x:f>
        <x:v>4500</x:v>
      </x:c>
      <x:c r="O451" s="12" t="n">
        <x:f>IF(L451="Completed",H451*J451,0)</x:f>
        <x:v>2300</x:v>
      </x:c>
      <x:c r="P451" s="12" t="n">
        <x:f>N451-O451</x:f>
        <x:v>2200</x:v>
      </x:c>
    </x:row>
    <x:row r="452" ht="21" customHeight="1">
      <x:c r="A452" s="7" t="n">
        <x:v>447</x:v>
      </x:c>
      <x:c r="B452" s="2" t="str">
        <x:v>TXN-00447</x:v>
      </x:c>
      <x:c r="C452" s="8" t="d">
        <x:v>2025-05-27T00:00:00.000Z</x:v>
      </x:c>
      <x:c r="D452" s="2" t="str">
        <x:v>Abuja</x:v>
      </x:c>
      <x:c r="E452" s="2" t="str">
        <x:v>Electronics</x:v>
      </x:c>
      <x:c r="F452" s="2" t="str">
        <x:v>Headphones</x:v>
      </x:c>
      <x:c r="G452" s="2" t="str">
        <x:v>Online</x:v>
      </x:c>
      <x:c r="H452" s="7" t="n">
        <x:v>1</x:v>
      </x:c>
      <x:c r="I452" s="9" t="n">
        <x:v>18000</x:v>
      </x:c>
      <x:c r="J452" s="9" t="n">
        <x:v>10500</x:v>
      </x:c>
      <x:c r="K452" s="10" t="n">
        <x:v>0</x:v>
      </x:c>
      <x:c r="L452" s="2" t="str">
        <x:v>Completed</x:v>
      </x:c>
      <x:c r="M452" s="12" t="n">
        <x:f>H452*I452</x:f>
        <x:v>18000</x:v>
      </x:c>
      <x:c r="N452" s="12" t="n">
        <x:f>IF(L452="Completed",ROUND(M452*(1-K452),2),0)</x:f>
        <x:v>18000</x:v>
      </x:c>
      <x:c r="O452" s="12" t="n">
        <x:f>IF(L452="Completed",H452*J452,0)</x:f>
        <x:v>10500</x:v>
      </x:c>
      <x:c r="P452" s="12" t="n">
        <x:f>N452-O452</x:f>
        <x:v>7500</x:v>
      </x:c>
    </x:row>
    <x:row r="453" ht="21" customHeight="1">
      <x:c r="A453" s="7" t="n">
        <x:v>448</x:v>
      </x:c>
      <x:c r="B453" s="2" t="str">
        <x:v>TXN-00448</x:v>
      </x:c>
      <x:c r="C453" s="8" t="d">
        <x:v>2025-05-13T00:00:00.000Z</x:v>
      </x:c>
      <x:c r="D453" s="2" t="str">
        <x:v>Abuja</x:v>
      </x:c>
      <x:c r="E453" s="2" t="str">
        <x:v>Home</x:v>
      </x:c>
      <x:c r="F453" s="2" t="str">
        <x:v>Bedsheet</x:v>
      </x:c>
      <x:c r="G453" s="2" t="str">
        <x:v>Online</x:v>
      </x:c>
      <x:c r="H453" s="7" t="n">
        <x:v>1</x:v>
      </x:c>
      <x:c r="I453" s="9" t="n">
        <x:v>14000</x:v>
      </x:c>
      <x:c r="J453" s="9" t="n">
        <x:v>8500</x:v>
      </x:c>
      <x:c r="K453" s="10" t="n">
        <x:v>0</x:v>
      </x:c>
      <x:c r="L453" s="2" t="str">
        <x:v>Completed</x:v>
      </x:c>
      <x:c r="M453" s="12" t="n">
        <x:f>H453*I453</x:f>
        <x:v>14000</x:v>
      </x:c>
      <x:c r="N453" s="12" t="n">
        <x:f>IF(L453="Completed",ROUND(M453*(1-K453),2),0)</x:f>
        <x:v>14000</x:v>
      </x:c>
      <x:c r="O453" s="12" t="n">
        <x:f>IF(L453="Completed",H453*J453,0)</x:f>
        <x:v>8500</x:v>
      </x:c>
      <x:c r="P453" s="12" t="n">
        <x:f>N453-O453</x:f>
        <x:v>5500</x:v>
      </x:c>
    </x:row>
    <x:row r="454" ht="21" customHeight="1">
      <x:c r="A454" s="7" t="n">
        <x:v>449</x:v>
      </x:c>
      <x:c r="B454" s="2" t="str">
        <x:v>TXN-00449</x:v>
      </x:c>
      <x:c r="C454" s="8" t="d">
        <x:v>2025-05-03T00:00:00.000Z</x:v>
      </x:c>
      <x:c r="D454" s="2" t="str">
        <x:v>Port Harcourt</x:v>
      </x:c>
      <x:c r="E454" s="2" t="str">
        <x:v>Fashion</x:v>
      </x:c>
      <x:c r="F454" s="2" t="str">
        <x:v>Sneakers</x:v>
      </x:c>
      <x:c r="G454" s="2" t="str">
        <x:v>Online</x:v>
      </x:c>
      <x:c r="H454" s="7" t="n">
        <x:v>1</x:v>
      </x:c>
      <x:c r="I454" s="9" t="n">
        <x:v>28000</x:v>
      </x:c>
      <x:c r="J454" s="9" t="n">
        <x:v>17500</x:v>
      </x:c>
      <x:c r="K454" s="10" t="n">
        <x:v>0</x:v>
      </x:c>
      <x:c r="L454" s="2" t="str">
        <x:v>Completed</x:v>
      </x:c>
      <x:c r="M454" s="12" t="n">
        <x:f>H454*I454</x:f>
        <x:v>28000</x:v>
      </x:c>
      <x:c r="N454" s="12" t="n">
        <x:f>IF(L454="Completed",ROUND(M454*(1-K454),2),0)</x:f>
        <x:v>28000</x:v>
      </x:c>
      <x:c r="O454" s="12" t="n">
        <x:f>IF(L454="Completed",H454*J454,0)</x:f>
        <x:v>17500</x:v>
      </x:c>
      <x:c r="P454" s="12" t="n">
        <x:f>N454-O454</x:f>
        <x:v>10500</x:v>
      </x:c>
    </x:row>
    <x:row r="455" ht="21" customHeight="1">
      <x:c r="A455" s="7" t="n">
        <x:v>450</x:v>
      </x:c>
      <x:c r="B455" s="2" t="str">
        <x:v>TXN-00450</x:v>
      </x:c>
      <x:c r="C455" s="8" t="d">
        <x:v>2025-05-27T00:00:00.000Z</x:v>
      </x:c>
      <x:c r="D455" s="2" t="str">
        <x:v>Lagos</x:v>
      </x:c>
      <x:c r="E455" s="2" t="str">
        <x:v>Fashion</x:v>
      </x:c>
      <x:c r="F455" s="2" t="str">
        <x:v>Sneakers</x:v>
      </x:c>
      <x:c r="G455" s="2" t="str">
        <x:v>Online</x:v>
      </x:c>
      <x:c r="H455" s="7" t="n">
        <x:v>1</x:v>
      </x:c>
      <x:c r="I455" s="9" t="n">
        <x:v>28000</x:v>
      </x:c>
      <x:c r="J455" s="9" t="n">
        <x:v>17500</x:v>
      </x:c>
      <x:c r="K455" s="10" t="n">
        <x:v>0.05</x:v>
      </x:c>
      <x:c r="L455" s="2" t="str">
        <x:v>Completed</x:v>
      </x:c>
      <x:c r="M455" s="12" t="n">
        <x:f>H455*I455</x:f>
        <x:v>28000</x:v>
      </x:c>
      <x:c r="N455" s="12" t="n">
        <x:f>IF(L455="Completed",ROUND(M455*(1-K455),2),0)</x:f>
        <x:v>26600</x:v>
      </x:c>
      <x:c r="O455" s="12" t="n">
        <x:f>IF(L455="Completed",H455*J455,0)</x:f>
        <x:v>17500</x:v>
      </x:c>
      <x:c r="P455" s="12" t="n">
        <x:f>N455-O455</x:f>
        <x:v>9100</x:v>
      </x:c>
    </x:row>
    <x:row r="456" ht="21" customHeight="1">
      <x:c r="A456" s="7" t="n">
        <x:v>451</x:v>
      </x:c>
      <x:c r="B456" s="2" t="str">
        <x:v>TXN-00451</x:v>
      </x:c>
      <x:c r="C456" s="8" t="d">
        <x:v>2025-05-04T00:00:00.000Z</x:v>
      </x:c>
      <x:c r="D456" s="2" t="str">
        <x:v>Unknown</x:v>
      </x:c>
      <x:c r="E456" s="2" t="str">
        <x:v>Electronics</x:v>
      </x:c>
      <x:c r="F456" s="2" t="str">
        <x:v>Headphones</x:v>
      </x:c>
      <x:c r="G456" s="2" t="str">
        <x:v>Online</x:v>
      </x:c>
      <x:c r="H456" s="7" t="n">
        <x:v>4</x:v>
      </x:c>
      <x:c r="I456" s="9" t="n">
        <x:v>18000</x:v>
      </x:c>
      <x:c r="J456" s="9" t="n">
        <x:v>10500</x:v>
      </x:c>
      <x:c r="K456" s="10" t="n">
        <x:v>0.05</x:v>
      </x:c>
      <x:c r="L456" s="2" t="str">
        <x:v>Completed</x:v>
      </x:c>
      <x:c r="M456" s="12" t="n">
        <x:f>H456*I456</x:f>
        <x:v>72000</x:v>
      </x:c>
      <x:c r="N456" s="12" t="n">
        <x:f>IF(L456="Completed",ROUND(M456*(1-K456),2),0)</x:f>
        <x:v>68400</x:v>
      </x:c>
      <x:c r="O456" s="12" t="n">
        <x:f>IF(L456="Completed",H456*J456,0)</x:f>
        <x:v>42000</x:v>
      </x:c>
      <x:c r="P456" s="12" t="n">
        <x:f>N456-O456</x:f>
        <x:v>26400</x:v>
      </x:c>
    </x:row>
    <x:row r="457" ht="21" customHeight="1">
      <x:c r="A457" s="7" t="n">
        <x:v>452</x:v>
      </x:c>
      <x:c r="B457" s="2" t="str">
        <x:v>TXN-00452</x:v>
      </x:c>
      <x:c r="C457" s="8" t="d">
        <x:v>2025-05-19T00:00:00.000Z</x:v>
      </x:c>
      <x:c r="D457" s="2" t="str">
        <x:v>Lagos</x:v>
      </x:c>
      <x:c r="E457" s="2" t="str">
        <x:v>Home</x:v>
      </x:c>
      <x:c r="F457" s="2" t="str">
        <x:v>Cookware set</x:v>
      </x:c>
      <x:c r="G457" s="2" t="str">
        <x:v>In-store</x:v>
      </x:c>
      <x:c r="H457" s="7" t="n">
        <x:v>2</x:v>
      </x:c>
      <x:c r="I457" s="9" t="n">
        <x:v>35000</x:v>
      </x:c>
      <x:c r="J457" s="9" t="n">
        <x:v>22500</x:v>
      </x:c>
      <x:c r="K457" s="10" t="n">
        <x:v>0.1</x:v>
      </x:c>
      <x:c r="L457" s="2" t="str">
        <x:v>Completed</x:v>
      </x:c>
      <x:c r="M457" s="12" t="n">
        <x:f>H457*I457</x:f>
        <x:v>70000</x:v>
      </x:c>
      <x:c r="N457" s="12" t="n">
        <x:f>IF(L457="Completed",ROUND(M457*(1-K457),2),0)</x:f>
        <x:v>63000</x:v>
      </x:c>
      <x:c r="O457" s="12" t="n">
        <x:f>IF(L457="Completed",H457*J457,0)</x:f>
        <x:v>45000</x:v>
      </x:c>
      <x:c r="P457" s="12" t="n">
        <x:f>N457-O457</x:f>
        <x:v>18000</x:v>
      </x:c>
    </x:row>
    <x:row r="458" ht="21" customHeight="1">
      <x:c r="A458" s="7" t="n">
        <x:v>453</x:v>
      </x:c>
      <x:c r="B458" s="2" t="str">
        <x:v>TXN-00453</x:v>
      </x:c>
      <x:c r="C458" s="8" t="d">
        <x:v>2025-05-14T00:00:00.000Z</x:v>
      </x:c>
      <x:c r="D458" s="2" t="str">
        <x:v>Port Harcourt</x:v>
      </x:c>
      <x:c r="E458" s="2" t="str">
        <x:v>Electronics</x:v>
      </x:c>
      <x:c r="F458" s="2" t="str">
        <x:v>Power bank</x:v>
      </x:c>
      <x:c r="G458" s="2" t="str">
        <x:v>In-store</x:v>
      </x:c>
      <x:c r="H458" s="7" t="n">
        <x:v>1</x:v>
      </x:c>
      <x:c r="I458" s="9" t="n">
        <x:v>15000</x:v>
      </x:c>
      <x:c r="J458" s="9" t="n">
        <x:v>9500</x:v>
      </x:c>
      <x:c r="K458" s="10" t="n">
        <x:v>0.1</x:v>
      </x:c>
      <x:c r="L458" s="2" t="str">
        <x:v>Completed</x:v>
      </x:c>
      <x:c r="M458" s="12" t="n">
        <x:f>H458*I458</x:f>
        <x:v>15000</x:v>
      </x:c>
      <x:c r="N458" s="12" t="n">
        <x:f>IF(L458="Completed",ROUND(M458*(1-K458),2),0)</x:f>
        <x:v>13500</x:v>
      </x:c>
      <x:c r="O458" s="12" t="n">
        <x:f>IF(L458="Completed",H458*J458,0)</x:f>
        <x:v>9500</x:v>
      </x:c>
      <x:c r="P458" s="12" t="n">
        <x:f>N458-O458</x:f>
        <x:v>4000</x:v>
      </x:c>
    </x:row>
    <x:row r="459" ht="21" customHeight="1">
      <x:c r="A459" s="7" t="n">
        <x:v>454</x:v>
      </x:c>
      <x:c r="B459" s="2" t="str">
        <x:v>TXN-00454</x:v>
      </x:c>
      <x:c r="C459" s="8" t="d">
        <x:v>2025-05-08T00:00:00.000Z</x:v>
      </x:c>
      <x:c r="D459" s="2" t="str">
        <x:v>Port Harcourt</x:v>
      </x:c>
      <x:c r="E459" s="2" t="str">
        <x:v>Fashion</x:v>
      </x:c>
      <x:c r="F459" s="2" t="str">
        <x:v>Sneakers</x:v>
      </x:c>
      <x:c r="G459" s="2" t="str">
        <x:v>In-store</x:v>
      </x:c>
      <x:c r="H459" s="7" t="n">
        <x:v>1</x:v>
      </x:c>
      <x:c r="I459" s="9" t="n">
        <x:v>28000</x:v>
      </x:c>
      <x:c r="J459" s="9" t="n">
        <x:v>17500</x:v>
      </x:c>
      <x:c r="K459" s="10" t="n">
        <x:v>0.05</x:v>
      </x:c>
      <x:c r="L459" s="2" t="str">
        <x:v>Completed</x:v>
      </x:c>
      <x:c r="M459" s="12" t="n">
        <x:f>H459*I459</x:f>
        <x:v>28000</x:v>
      </x:c>
      <x:c r="N459" s="12" t="n">
        <x:f>IF(L459="Completed",ROUND(M459*(1-K459),2),0)</x:f>
        <x:v>26600</x:v>
      </x:c>
      <x:c r="O459" s="12" t="n">
        <x:f>IF(L459="Completed",H459*J459,0)</x:f>
        <x:v>17500</x:v>
      </x:c>
      <x:c r="P459" s="12" t="n">
        <x:f>N459-O459</x:f>
        <x:v>9100</x:v>
      </x:c>
    </x:row>
    <x:row r="460" ht="21" customHeight="1">
      <x:c r="A460" s="7" t="n">
        <x:v>455</x:v>
      </x:c>
      <x:c r="B460" s="2" t="str">
        <x:v>TXN-00455</x:v>
      </x:c>
      <x:c r="C460" s="8" t="d">
        <x:v>2025-05-26T00:00:00.000Z</x:v>
      </x:c>
      <x:c r="D460" s="2" t="str">
        <x:v>Unknown</x:v>
      </x:c>
      <x:c r="E460" s="2" t="str">
        <x:v>Fashion</x:v>
      </x:c>
      <x:c r="F460" s="2" t="str">
        <x:v>Handbag</x:v>
      </x:c>
      <x:c r="G460" s="2" t="str">
        <x:v>In-store</x:v>
      </x:c>
      <x:c r="H460" s="7" t="n">
        <x:v>1</x:v>
      </x:c>
      <x:c r="I460" s="9" t="n">
        <x:v>22000</x:v>
      </x:c>
      <x:c r="J460" s="9" t="n">
        <x:v>13500</x:v>
      </x:c>
      <x:c r="K460" s="10" t="n">
        <x:v>0</x:v>
      </x:c>
      <x:c r="L460" s="2" t="str">
        <x:v>Completed</x:v>
      </x:c>
      <x:c r="M460" s="12" t="n">
        <x:f>H460*I460</x:f>
        <x:v>22000</x:v>
      </x:c>
      <x:c r="N460" s="12" t="n">
        <x:f>IF(L460="Completed",ROUND(M460*(1-K460),2),0)</x:f>
        <x:v>22000</x:v>
      </x:c>
      <x:c r="O460" s="12" t="n">
        <x:f>IF(L460="Completed",H460*J460,0)</x:f>
        <x:v>13500</x:v>
      </x:c>
      <x:c r="P460" s="12" t="n">
        <x:f>N460-O460</x:f>
        <x:v>8500</x:v>
      </x:c>
    </x:row>
    <x:row r="461" ht="21" customHeight="1">
      <x:c r="A461" s="7" t="n">
        <x:v>456</x:v>
      </x:c>
      <x:c r="B461" s="2" t="str">
        <x:v>TXN-00456</x:v>
      </x:c>
      <x:c r="C461" s="8" t="d">
        <x:v>2025-05-30T00:00:00.000Z</x:v>
      </x:c>
      <x:c r="D461" s="2" t="str">
        <x:v>Lagos</x:v>
      </x:c>
      <x:c r="E461" s="2" t="str">
        <x:v>Beauty</x:v>
      </x:c>
      <x:c r="F461" s="2" t="str">
        <x:v>Body wash</x:v>
      </x:c>
      <x:c r="G461" s="2" t="str">
        <x:v>In-store</x:v>
      </x:c>
      <x:c r="H461" s="7" t="n">
        <x:v>1</x:v>
      </x:c>
      <x:c r="I461" s="9" t="n">
        <x:v>4500</x:v>
      </x:c>
      <x:c r="J461" s="9" t="n">
        <x:v>2300</x:v>
      </x:c>
      <x:c r="K461" s="10" t="n">
        <x:v>0</x:v>
      </x:c>
      <x:c r="L461" s="2" t="str">
        <x:v>Completed</x:v>
      </x:c>
      <x:c r="M461" s="12" t="n">
        <x:f>H461*I461</x:f>
        <x:v>4500</x:v>
      </x:c>
      <x:c r="N461" s="12" t="n">
        <x:f>IF(L461="Completed",ROUND(M461*(1-K461),2),0)</x:f>
        <x:v>4500</x:v>
      </x:c>
      <x:c r="O461" s="12" t="n">
        <x:f>IF(L461="Completed",H461*J461,0)</x:f>
        <x:v>2300</x:v>
      </x:c>
      <x:c r="P461" s="12" t="n">
        <x:f>N461-O461</x:f>
        <x:v>2200</x:v>
      </x:c>
    </x:row>
    <x:row r="462" ht="21" customHeight="1">
      <x:c r="A462" s="7" t="n">
        <x:v>457</x:v>
      </x:c>
      <x:c r="B462" s="2" t="str">
        <x:v>TXN-00457</x:v>
      </x:c>
      <x:c r="C462" s="8" t="d">
        <x:v>2025-05-28T00:00:00.000Z</x:v>
      </x:c>
      <x:c r="D462" s="2" t="str">
        <x:v>Lagos</x:v>
      </x:c>
      <x:c r="E462" s="2" t="str">
        <x:v>Home</x:v>
      </x:c>
      <x:c r="F462" s="2" t="str">
        <x:v>Desk lamp</x:v>
      </x:c>
      <x:c r="G462" s="2" t="str">
        <x:v>Online</x:v>
      </x:c>
      <x:c r="H462" s="7" t="n">
        <x:v>1</x:v>
      </x:c>
      <x:c r="I462" s="9" t="n">
        <x:v>12000</x:v>
      </x:c>
      <x:c r="J462" s="9" t="n">
        <x:v>7200</x:v>
      </x:c>
      <x:c r="K462" s="10" t="n">
        <x:v>0</x:v>
      </x:c>
      <x:c r="L462" s="2" t="str">
        <x:v>Completed</x:v>
      </x:c>
      <x:c r="M462" s="12" t="n">
        <x:f>H462*I462</x:f>
        <x:v>12000</x:v>
      </x:c>
      <x:c r="N462" s="12" t="n">
        <x:f>IF(L462="Completed",ROUND(M462*(1-K462),2),0)</x:f>
        <x:v>12000</x:v>
      </x:c>
      <x:c r="O462" s="12" t="n">
        <x:f>IF(L462="Completed",H462*J462,0)</x:f>
        <x:v>7200</x:v>
      </x:c>
      <x:c r="P462" s="12" t="n">
        <x:f>N462-O462</x:f>
        <x:v>4800</x:v>
      </x:c>
    </x:row>
    <x:row r="463" ht="21" customHeight="1">
      <x:c r="A463" s="7" t="n">
        <x:v>458</x:v>
      </x:c>
      <x:c r="B463" s="2" t="str">
        <x:v>TXN-00458</x:v>
      </x:c>
      <x:c r="C463" s="8" t="d">
        <x:v>2025-05-07T00:00:00.000Z</x:v>
      </x:c>
      <x:c r="D463" s="2" t="str">
        <x:v>Port Harcourt</x:v>
      </x:c>
      <x:c r="E463" s="2" t="str">
        <x:v>Home</x:v>
      </x:c>
      <x:c r="F463" s="2" t="str">
        <x:v>Cookware set</x:v>
      </x:c>
      <x:c r="G463" s="2" t="str">
        <x:v>Online</x:v>
      </x:c>
      <x:c r="H463" s="7" t="n">
        <x:v>2</x:v>
      </x:c>
      <x:c r="I463" s="9" t="n">
        <x:v>35000</x:v>
      </x:c>
      <x:c r="J463" s="9" t="n">
        <x:v>22500</x:v>
      </x:c>
      <x:c r="K463" s="10" t="n">
        <x:v>0.05</x:v>
      </x:c>
      <x:c r="L463" s="2" t="str">
        <x:v>Completed</x:v>
      </x:c>
      <x:c r="M463" s="12" t="n">
        <x:f>H463*I463</x:f>
        <x:v>70000</x:v>
      </x:c>
      <x:c r="N463" s="12" t="n">
        <x:f>IF(L463="Completed",ROUND(M463*(1-K463),2),0)</x:f>
        <x:v>66500</x:v>
      </x:c>
      <x:c r="O463" s="12" t="n">
        <x:f>IF(L463="Completed",H463*J463,0)</x:f>
        <x:v>45000</x:v>
      </x:c>
      <x:c r="P463" s="12" t="n">
        <x:f>N463-O463</x:f>
        <x:v>21500</x:v>
      </x:c>
    </x:row>
    <x:row r="464" ht="21" customHeight="1">
      <x:c r="A464" s="7" t="n">
        <x:v>459</x:v>
      </x:c>
      <x:c r="B464" s="2" t="str">
        <x:v>TXN-00459</x:v>
      </x:c>
      <x:c r="C464" s="8" t="d">
        <x:v>2025-05-19T00:00:00.000Z</x:v>
      </x:c>
      <x:c r="D464" s="2" t="str">
        <x:v>Abuja</x:v>
      </x:c>
      <x:c r="E464" s="2" t="str">
        <x:v>Beauty</x:v>
      </x:c>
      <x:c r="F464" s="2" t="str">
        <x:v>Body wash</x:v>
      </x:c>
      <x:c r="G464" s="2" t="str">
        <x:v>Online</x:v>
      </x:c>
      <x:c r="H464" s="7" t="n">
        <x:v>2</x:v>
      </x:c>
      <x:c r="I464" s="9" t="n">
        <x:v>4500</x:v>
      </x:c>
      <x:c r="J464" s="9" t="n">
        <x:v>2300</x:v>
      </x:c>
      <x:c r="K464" s="10" t="n">
        <x:v>0</x:v>
      </x:c>
      <x:c r="L464" s="2" t="str">
        <x:v>Completed</x:v>
      </x:c>
      <x:c r="M464" s="12" t="n">
        <x:f>H464*I464</x:f>
        <x:v>9000</x:v>
      </x:c>
      <x:c r="N464" s="12" t="n">
        <x:f>IF(L464="Completed",ROUND(M464*(1-K464),2),0)</x:f>
        <x:v>9000</x:v>
      </x:c>
      <x:c r="O464" s="12" t="n">
        <x:f>IF(L464="Completed",H464*J464,0)</x:f>
        <x:v>4600</x:v>
      </x:c>
      <x:c r="P464" s="12" t="n">
        <x:f>N464-O464</x:f>
        <x:v>4400</x:v>
      </x:c>
    </x:row>
    <x:row r="465" ht="21" customHeight="1">
      <x:c r="A465" s="7" t="n">
        <x:v>460</x:v>
      </x:c>
      <x:c r="B465" s="2" t="str">
        <x:v>TXN-00460</x:v>
      </x:c>
      <x:c r="C465" s="8" t="d">
        <x:v>2025-05-18T00:00:00.000Z</x:v>
      </x:c>
      <x:c r="D465" s="2" t="str">
        <x:v>Kano</x:v>
      </x:c>
      <x:c r="E465" s="2" t="str">
        <x:v>Home</x:v>
      </x:c>
      <x:c r="F465" s="2" t="str">
        <x:v>Bedsheet</x:v>
      </x:c>
      <x:c r="G465" s="2" t="str">
        <x:v>In-store</x:v>
      </x:c>
      <x:c r="H465" s="7" t="n">
        <x:v>1</x:v>
      </x:c>
      <x:c r="I465" s="9" t="n">
        <x:v>14000</x:v>
      </x:c>
      <x:c r="J465" s="9" t="n">
        <x:v>8500</x:v>
      </x:c>
      <x:c r="K465" s="10" t="n">
        <x:v>0.05</x:v>
      </x:c>
      <x:c r="L465" s="2" t="str">
        <x:v>Completed</x:v>
      </x:c>
      <x:c r="M465" s="12" t="n">
        <x:f>H465*I465</x:f>
        <x:v>14000</x:v>
      </x:c>
      <x:c r="N465" s="12" t="n">
        <x:f>IF(L465="Completed",ROUND(M465*(1-K465),2),0)</x:f>
        <x:v>13300</x:v>
      </x:c>
      <x:c r="O465" s="12" t="n">
        <x:f>IF(L465="Completed",H465*J465,0)</x:f>
        <x:v>8500</x:v>
      </x:c>
      <x:c r="P465" s="12" t="n">
        <x:f>N465-O465</x:f>
        <x:v>4800</x:v>
      </x:c>
    </x:row>
    <x:row r="466" ht="21" customHeight="1">
      <x:c r="A466" s="7" t="n">
        <x:v>461</x:v>
      </x:c>
      <x:c r="B466" s="2" t="str">
        <x:v>TXN-00461</x:v>
      </x:c>
      <x:c r="C466" s="8" t="d">
        <x:v>2025-05-09T00:00:00.000Z</x:v>
      </x:c>
      <x:c r="D466" s="2" t="str">
        <x:v>Lagos</x:v>
      </x:c>
      <x:c r="E466" s="2" t="str">
        <x:v>Beauty</x:v>
      </x:c>
      <x:c r="F466" s="2" t="str">
        <x:v>Perfume</x:v>
      </x:c>
      <x:c r="G466" s="2" t="str">
        <x:v>In-store</x:v>
      </x:c>
      <x:c r="H466" s="7" t="n">
        <x:v>2</x:v>
      </x:c>
      <x:c r="I466" s="9" t="n">
        <x:v>17000</x:v>
      </x:c>
      <x:c r="J466" s="9" t="n">
        <x:v>9000</x:v>
      </x:c>
      <x:c r="K466" s="10" t="n">
        <x:v>0</x:v>
      </x:c>
      <x:c r="L466" s="2" t="str">
        <x:v>Completed</x:v>
      </x:c>
      <x:c r="M466" s="12" t="n">
        <x:f>H466*I466</x:f>
        <x:v>34000</x:v>
      </x:c>
      <x:c r="N466" s="12" t="n">
        <x:f>IF(L466="Completed",ROUND(M466*(1-K466),2),0)</x:f>
        <x:v>34000</x:v>
      </x:c>
      <x:c r="O466" s="12" t="n">
        <x:f>IF(L466="Completed",H466*J466,0)</x:f>
        <x:v>18000</x:v>
      </x:c>
      <x:c r="P466" s="12" t="n">
        <x:f>N466-O466</x:f>
        <x:v>16000</x:v>
      </x:c>
    </x:row>
    <x:row r="467" ht="21" customHeight="1">
      <x:c r="A467" s="7" t="n">
        <x:v>462</x:v>
      </x:c>
      <x:c r="B467" s="2" t="str">
        <x:v>TXN-00462</x:v>
      </x:c>
      <x:c r="C467" s="8" t="d">
        <x:v>2025-05-20T00:00:00.000Z</x:v>
      </x:c>
      <x:c r="D467" s="2" t="str">
        <x:v>Lagos</x:v>
      </x:c>
      <x:c r="E467" s="2" t="str">
        <x:v>Fashion</x:v>
      </x:c>
      <x:c r="F467" s="2" t="str">
        <x:v>Handbag</x:v>
      </x:c>
      <x:c r="G467" s="2" t="str">
        <x:v>Online</x:v>
      </x:c>
      <x:c r="H467" s="7" t="n">
        <x:v>2</x:v>
      </x:c>
      <x:c r="I467" s="9" t="n">
        <x:v>22000</x:v>
      </x:c>
      <x:c r="J467" s="9" t="n">
        <x:v>13500</x:v>
      </x:c>
      <x:c r="K467" s="10" t="n">
        <x:v>0</x:v>
      </x:c>
      <x:c r="L467" s="2" t="str">
        <x:v>Completed</x:v>
      </x:c>
      <x:c r="M467" s="12" t="n">
        <x:f>H467*I467</x:f>
        <x:v>44000</x:v>
      </x:c>
      <x:c r="N467" s="12" t="n">
        <x:f>IF(L467="Completed",ROUND(M467*(1-K467),2),0)</x:f>
        <x:v>44000</x:v>
      </x:c>
      <x:c r="O467" s="12" t="n">
        <x:f>IF(L467="Completed",H467*J467,0)</x:f>
        <x:v>27000</x:v>
      </x:c>
      <x:c r="P467" s="12" t="n">
        <x:f>N467-O467</x:f>
        <x:v>17000</x:v>
      </x:c>
    </x:row>
    <x:row r="468" ht="21" customHeight="1">
      <x:c r="A468" s="7" t="n">
        <x:v>463</x:v>
      </x:c>
      <x:c r="B468" s="2" t="str">
        <x:v>TXN-00463</x:v>
      </x:c>
      <x:c r="C468" s="8" t="d">
        <x:v>2025-05-22T00:00:00.000Z</x:v>
      </x:c>
      <x:c r="D468" s="2" t="str">
        <x:v>Lagos</x:v>
      </x:c>
      <x:c r="E468" s="2" t="str">
        <x:v>Home</x:v>
      </x:c>
      <x:c r="F468" s="2" t="str">
        <x:v>Cookware set</x:v>
      </x:c>
      <x:c r="G468" s="2" t="str">
        <x:v>Online</x:v>
      </x:c>
      <x:c r="H468" s="7" t="n">
        <x:v>1</x:v>
      </x:c>
      <x:c r="I468" s="9" t="n">
        <x:v>35000</x:v>
      </x:c>
      <x:c r="J468" s="9" t="n">
        <x:v>22500</x:v>
      </x:c>
      <x:c r="K468" s="10" t="n">
        <x:v>0</x:v>
      </x:c>
      <x:c r="L468" s="2" t="str">
        <x:v>Completed</x:v>
      </x:c>
      <x:c r="M468" s="12" t="n">
        <x:f>H468*I468</x:f>
        <x:v>35000</x:v>
      </x:c>
      <x:c r="N468" s="12" t="n">
        <x:f>IF(L468="Completed",ROUND(M468*(1-K468),2),0)</x:f>
        <x:v>35000</x:v>
      </x:c>
      <x:c r="O468" s="12" t="n">
        <x:f>IF(L468="Completed",H468*J468,0)</x:f>
        <x:v>22500</x:v>
      </x:c>
      <x:c r="P468" s="12" t="n">
        <x:f>N468-O468</x:f>
        <x:v>12500</x:v>
      </x:c>
    </x:row>
    <x:row r="469" ht="21" customHeight="1">
      <x:c r="A469" s="7" t="n">
        <x:v>464</x:v>
      </x:c>
      <x:c r="B469" s="2" t="str">
        <x:v>TXN-00464</x:v>
      </x:c>
      <x:c r="C469" s="8" t="d">
        <x:v>2025-05-18T00:00:00.000Z</x:v>
      </x:c>
      <x:c r="D469" s="2" t="str">
        <x:v>Lagos</x:v>
      </x:c>
      <x:c r="E469" s="2" t="str">
        <x:v>Electronics</x:v>
      </x:c>
      <x:c r="F469" s="2" t="str">
        <x:v>Power bank</x:v>
      </x:c>
      <x:c r="G469" s="2" t="str">
        <x:v>Online</x:v>
      </x:c>
      <x:c r="H469" s="7" t="n">
        <x:v>1</x:v>
      </x:c>
      <x:c r="I469" s="9" t="n">
        <x:v>15000</x:v>
      </x:c>
      <x:c r="J469" s="9" t="n">
        <x:v>9500</x:v>
      </x:c>
      <x:c r="K469" s="10" t="n">
        <x:v>0.05</x:v>
      </x:c>
      <x:c r="L469" s="2" t="str">
        <x:v>Returned</x:v>
      </x:c>
      <x:c r="M469" s="12" t="n">
        <x:f>H469*I469</x:f>
        <x:v>15000</x:v>
      </x:c>
      <x:c r="N469" s="12" t="n">
        <x:f>IF(L469="Completed",ROUND(M469*(1-K469),2),0)</x:f>
        <x:v>0</x:v>
      </x:c>
      <x:c r="O469" s="12" t="n">
        <x:f>IF(L469="Completed",H469*J469,0)</x:f>
        <x:v>0</x:v>
      </x:c>
      <x:c r="P469" s="12" t="n">
        <x:f>N469-O469</x:f>
        <x:v>0</x:v>
      </x:c>
    </x:row>
    <x:row r="470" ht="21" customHeight="1">
      <x:c r="A470" s="7" t="n">
        <x:v>465</x:v>
      </x:c>
      <x:c r="B470" s="2" t="str">
        <x:v>TXN-00465</x:v>
      </x:c>
      <x:c r="C470" s="8" t="d">
        <x:v>2025-05-09T00:00:00.000Z</x:v>
      </x:c>
      <x:c r="D470" s="2" t="str">
        <x:v>Kano</x:v>
      </x:c>
      <x:c r="E470" s="2" t="str">
        <x:v>Beauty</x:v>
      </x:c>
      <x:c r="F470" s="2" t="str">
        <x:v>Perfume</x:v>
      </x:c>
      <x:c r="G470" s="2" t="str">
        <x:v>Online</x:v>
      </x:c>
      <x:c r="H470" s="7" t="n">
        <x:v>1</x:v>
      </x:c>
      <x:c r="I470" s="9" t="n">
        <x:v>17000</x:v>
      </x:c>
      <x:c r="J470" s="9" t="n">
        <x:v>9000</x:v>
      </x:c>
      <x:c r="K470" s="10" t="n">
        <x:v>0</x:v>
      </x:c>
      <x:c r="L470" s="2" t="str">
        <x:v>Completed</x:v>
      </x:c>
      <x:c r="M470" s="12" t="n">
        <x:f>H470*I470</x:f>
        <x:v>17000</x:v>
      </x:c>
      <x:c r="N470" s="12" t="n">
        <x:f>IF(L470="Completed",ROUND(M470*(1-K470),2),0)</x:f>
        <x:v>17000</x:v>
      </x:c>
      <x:c r="O470" s="12" t="n">
        <x:f>IF(L470="Completed",H470*J470,0)</x:f>
        <x:v>9000</x:v>
      </x:c>
      <x:c r="P470" s="12" t="n">
        <x:f>N470-O470</x:f>
        <x:v>8000</x:v>
      </x:c>
    </x:row>
    <x:row r="471" ht="21" customHeight="1">
      <x:c r="A471" s="7" t="n">
        <x:v>466</x:v>
      </x:c>
      <x:c r="B471" s="2" t="str">
        <x:v>TXN-00466</x:v>
      </x:c>
      <x:c r="C471" s="8" t="d">
        <x:v>2025-05-28T00:00:00.000Z</x:v>
      </x:c>
      <x:c r="D471" s="2" t="str">
        <x:v>Abuja</x:v>
      </x:c>
      <x:c r="E471" s="2" t="str">
        <x:v>Home</x:v>
      </x:c>
      <x:c r="F471" s="2" t="str">
        <x:v>Cookware set</x:v>
      </x:c>
      <x:c r="G471" s="2" t="str">
        <x:v>Online</x:v>
      </x:c>
      <x:c r="H471" s="7" t="n">
        <x:v>2</x:v>
      </x:c>
      <x:c r="I471" s="9" t="n">
        <x:v>35000</x:v>
      </x:c>
      <x:c r="J471" s="9" t="n">
        <x:v>22500</x:v>
      </x:c>
      <x:c r="K471" s="10" t="n">
        <x:v>0.1</x:v>
      </x:c>
      <x:c r="L471" s="2" t="str">
        <x:v>Completed</x:v>
      </x:c>
      <x:c r="M471" s="12" t="n">
        <x:f>H471*I471</x:f>
        <x:v>70000</x:v>
      </x:c>
      <x:c r="N471" s="12" t="n">
        <x:f>IF(L471="Completed",ROUND(M471*(1-K471),2),0)</x:f>
        <x:v>63000</x:v>
      </x:c>
      <x:c r="O471" s="12" t="n">
        <x:f>IF(L471="Completed",H471*J471,0)</x:f>
        <x:v>45000</x:v>
      </x:c>
      <x:c r="P471" s="12" t="n">
        <x:f>N471-O471</x:f>
        <x:v>18000</x:v>
      </x:c>
    </x:row>
    <x:row r="472" ht="21" customHeight="1">
      <x:c r="A472" s="7" t="n">
        <x:v>467</x:v>
      </x:c>
      <x:c r="B472" s="2" t="str">
        <x:v>TXN-00467</x:v>
      </x:c>
      <x:c r="C472" s="8" t="d">
        <x:v>2025-05-20T00:00:00.000Z</x:v>
      </x:c>
      <x:c r="D472" s="2" t="str">
        <x:v>Lagos</x:v>
      </x:c>
      <x:c r="E472" s="2" t="str">
        <x:v>Electronics</x:v>
      </x:c>
      <x:c r="F472" s="2" t="str">
        <x:v>Headphones</x:v>
      </x:c>
      <x:c r="G472" s="2" t="str">
        <x:v>In-store</x:v>
      </x:c>
      <x:c r="H472" s="7" t="n">
        <x:v>1</x:v>
      </x:c>
      <x:c r="I472" s="9" t="n">
        <x:v>18000</x:v>
      </x:c>
      <x:c r="J472" s="9" t="n">
        <x:v>10500</x:v>
      </x:c>
      <x:c r="K472" s="10" t="n">
        <x:v>0.1</x:v>
      </x:c>
      <x:c r="L472" s="2" t="str">
        <x:v>Completed</x:v>
      </x:c>
      <x:c r="M472" s="12" t="n">
        <x:f>H472*I472</x:f>
        <x:v>18000</x:v>
      </x:c>
      <x:c r="N472" s="12" t="n">
        <x:f>IF(L472="Completed",ROUND(M472*(1-K472),2),0)</x:f>
        <x:v>16200</x:v>
      </x:c>
      <x:c r="O472" s="12" t="n">
        <x:f>IF(L472="Completed",H472*J472,0)</x:f>
        <x:v>10500</x:v>
      </x:c>
      <x:c r="P472" s="12" t="n">
        <x:f>N472-O472</x:f>
        <x:v>5700</x:v>
      </x:c>
    </x:row>
    <x:row r="473" ht="21" customHeight="1">
      <x:c r="A473" s="7" t="n">
        <x:v>468</x:v>
      </x:c>
      <x:c r="B473" s="2" t="str">
        <x:v>TXN-00468</x:v>
      </x:c>
      <x:c r="C473" s="8" t="d">
        <x:v>2025-05-12T00:00:00.000Z</x:v>
      </x:c>
      <x:c r="D473" s="2" t="str">
        <x:v>Abuja</x:v>
      </x:c>
      <x:c r="E473" s="2" t="str">
        <x:v>Beauty</x:v>
      </x:c>
      <x:c r="F473" s="2" t="str">
        <x:v>Perfume</x:v>
      </x:c>
      <x:c r="G473" s="2" t="str">
        <x:v>Online</x:v>
      </x:c>
      <x:c r="H473" s="7" t="n">
        <x:v>3</x:v>
      </x:c>
      <x:c r="I473" s="9" t="n">
        <x:v>17000</x:v>
      </x:c>
      <x:c r="J473" s="9" t="n">
        <x:v>9000</x:v>
      </x:c>
      <x:c r="K473" s="10" t="n">
        <x:v>0.1</x:v>
      </x:c>
      <x:c r="L473" s="2" t="str">
        <x:v>Completed</x:v>
      </x:c>
      <x:c r="M473" s="12" t="n">
        <x:f>H473*I473</x:f>
        <x:v>51000</x:v>
      </x:c>
      <x:c r="N473" s="12" t="n">
        <x:f>IF(L473="Completed",ROUND(M473*(1-K473),2),0)</x:f>
        <x:v>45900</x:v>
      </x:c>
      <x:c r="O473" s="12" t="n">
        <x:f>IF(L473="Completed",H473*J473,0)</x:f>
        <x:v>27000</x:v>
      </x:c>
      <x:c r="P473" s="12" t="n">
        <x:f>N473-O473</x:f>
        <x:v>18900</x:v>
      </x:c>
    </x:row>
    <x:row r="474" ht="21" customHeight="1">
      <x:c r="A474" s="7" t="n">
        <x:v>469</x:v>
      </x:c>
      <x:c r="B474" s="2" t="str">
        <x:v>TXN-00469</x:v>
      </x:c>
      <x:c r="C474" s="8" t="d">
        <x:v>2025-05-07T00:00:00.000Z</x:v>
      </x:c>
      <x:c r="D474" s="2" t="str">
        <x:v>Abuja</x:v>
      </x:c>
      <x:c r="E474" s="2" t="str">
        <x:v>Fashion</x:v>
      </x:c>
      <x:c r="F474" s="2" t="str">
        <x:v>T-shirt</x:v>
      </x:c>
      <x:c r="G474" s="2" t="str">
        <x:v>Online</x:v>
      </x:c>
      <x:c r="H474" s="7" t="n">
        <x:v>2</x:v>
      </x:c>
      <x:c r="I474" s="9" t="n">
        <x:v>9000</x:v>
      </x:c>
      <x:c r="J474" s="9" t="n">
        <x:v>5000</x:v>
      </x:c>
      <x:c r="K474" s="10" t="n">
        <x:v>0.05</x:v>
      </x:c>
      <x:c r="L474" s="2" t="str">
        <x:v>Completed</x:v>
      </x:c>
      <x:c r="M474" s="12" t="n">
        <x:f>H474*I474</x:f>
        <x:v>18000</x:v>
      </x:c>
      <x:c r="N474" s="12" t="n">
        <x:f>IF(L474="Completed",ROUND(M474*(1-K474),2),0)</x:f>
        <x:v>17100</x:v>
      </x:c>
      <x:c r="O474" s="12" t="n">
        <x:f>IF(L474="Completed",H474*J474,0)</x:f>
        <x:v>10000</x:v>
      </x:c>
      <x:c r="P474" s="12" t="n">
        <x:f>N474-O474</x:f>
        <x:v>7100</x:v>
      </x:c>
    </x:row>
    <x:row r="475" ht="21" customHeight="1">
      <x:c r="A475" s="7" t="n">
        <x:v>470</x:v>
      </x:c>
      <x:c r="B475" s="2" t="str">
        <x:v>TXN-00470</x:v>
      </x:c>
      <x:c r="C475" s="8" t="d">
        <x:v>2025-05-30T00:00:00.000Z</x:v>
      </x:c>
      <x:c r="D475" s="2" t="str">
        <x:v>Port Harcourt</x:v>
      </x:c>
      <x:c r="E475" s="2" t="str">
        <x:v>Home</x:v>
      </x:c>
      <x:c r="F475" s="2" t="str">
        <x:v>Desk lamp</x:v>
      </x:c>
      <x:c r="G475" s="2" t="str">
        <x:v>Online</x:v>
      </x:c>
      <x:c r="H475" s="7" t="n">
        <x:v>1</x:v>
      </x:c>
      <x:c r="I475" s="9" t="n">
        <x:v>12000</x:v>
      </x:c>
      <x:c r="J475" s="9" t="n">
        <x:v>7200</x:v>
      </x:c>
      <x:c r="K475" s="10" t="n">
        <x:v>0.1</x:v>
      </x:c>
      <x:c r="L475" s="2" t="str">
        <x:v>Completed</x:v>
      </x:c>
      <x:c r="M475" s="12" t="n">
        <x:f>H475*I475</x:f>
        <x:v>12000</x:v>
      </x:c>
      <x:c r="N475" s="12" t="n">
        <x:f>IF(L475="Completed",ROUND(M475*(1-K475),2),0)</x:f>
        <x:v>10800</x:v>
      </x:c>
      <x:c r="O475" s="12" t="n">
        <x:f>IF(L475="Completed",H475*J475,0)</x:f>
        <x:v>7200</x:v>
      </x:c>
      <x:c r="P475" s="12" t="n">
        <x:f>N475-O475</x:f>
        <x:v>3600</x:v>
      </x:c>
    </x:row>
    <x:row r="476" ht="21" customHeight="1">
      <x:c r="A476" s="7" t="n">
        <x:v>471</x:v>
      </x:c>
      <x:c r="B476" s="2" t="str">
        <x:v>TXN-00471</x:v>
      </x:c>
      <x:c r="C476" s="8" t="d">
        <x:v>2025-05-03T00:00:00.000Z</x:v>
      </x:c>
      <x:c r="D476" s="2" t="str">
        <x:v>Port Harcourt</x:v>
      </x:c>
      <x:c r="E476" s="2" t="str">
        <x:v>Electronics</x:v>
      </x:c>
      <x:c r="F476" s="2" t="str">
        <x:v>Bluetooth speaker</x:v>
      </x:c>
      <x:c r="G476" s="2" t="str">
        <x:v>In-store</x:v>
      </x:c>
      <x:c r="H476" s="7" t="n">
        <x:v>1</x:v>
      </x:c>
      <x:c r="I476" s="9" t="n">
        <x:v>26000</x:v>
      </x:c>
      <x:c r="J476" s="9" t="n">
        <x:v>17000</x:v>
      </x:c>
      <x:c r="K476" s="10" t="n">
        <x:v>0</x:v>
      </x:c>
      <x:c r="L476" s="2" t="str">
        <x:v>Completed</x:v>
      </x:c>
      <x:c r="M476" s="12" t="n">
        <x:f>H476*I476</x:f>
        <x:v>26000</x:v>
      </x:c>
      <x:c r="N476" s="12" t="n">
        <x:f>IF(L476="Completed",ROUND(M476*(1-K476),2),0)</x:f>
        <x:v>26000</x:v>
      </x:c>
      <x:c r="O476" s="12" t="n">
        <x:f>IF(L476="Completed",H476*J476,0)</x:f>
        <x:v>17000</x:v>
      </x:c>
      <x:c r="P476" s="12" t="n">
        <x:f>N476-O476</x:f>
        <x:v>9000</x:v>
      </x:c>
    </x:row>
    <x:row r="477" ht="21" customHeight="1">
      <x:c r="A477" s="7" t="n">
        <x:v>472</x:v>
      </x:c>
      <x:c r="B477" s="2" t="str">
        <x:v>TXN-00472</x:v>
      </x:c>
      <x:c r="C477" s="8" t="d">
        <x:v>2025-05-26T00:00:00.000Z</x:v>
      </x:c>
      <x:c r="D477" s="2" t="str">
        <x:v>Abuja</x:v>
      </x:c>
      <x:c r="E477" s="2" t="str">
        <x:v>Beauty</x:v>
      </x:c>
      <x:c r="F477" s="2" t="str">
        <x:v>Perfume</x:v>
      </x:c>
      <x:c r="G477" s="2" t="str">
        <x:v>Online</x:v>
      </x:c>
      <x:c r="H477" s="7" t="n">
        <x:v>1</x:v>
      </x:c>
      <x:c r="I477" s="9" t="n">
        <x:v>17000</x:v>
      </x:c>
      <x:c r="J477" s="9" t="n">
        <x:v>9000</x:v>
      </x:c>
      <x:c r="K477" s="10" t="n">
        <x:v>0</x:v>
      </x:c>
      <x:c r="L477" s="2" t="str">
        <x:v>Completed</x:v>
      </x:c>
      <x:c r="M477" s="12" t="n">
        <x:f>H477*I477</x:f>
        <x:v>17000</x:v>
      </x:c>
      <x:c r="N477" s="12" t="n">
        <x:f>IF(L477="Completed",ROUND(M477*(1-K477),2),0)</x:f>
        <x:v>17000</x:v>
      </x:c>
      <x:c r="O477" s="12" t="n">
        <x:f>IF(L477="Completed",H477*J477,0)</x:f>
        <x:v>9000</x:v>
      </x:c>
      <x:c r="P477" s="12" t="n">
        <x:f>N477-O477</x:f>
        <x:v>8000</x:v>
      </x:c>
    </x:row>
    <x:row r="478" ht="21" customHeight="1">
      <x:c r="A478" s="7" t="n">
        <x:v>473</x:v>
      </x:c>
      <x:c r="B478" s="2" t="str">
        <x:v>TXN-00473</x:v>
      </x:c>
      <x:c r="C478" s="8" t="d">
        <x:v>2025-05-31T00:00:00.000Z</x:v>
      </x:c>
      <x:c r="D478" s="2" t="str">
        <x:v>Port Harcourt</x:v>
      </x:c>
      <x:c r="E478" s="2" t="str">
        <x:v>Home</x:v>
      </x:c>
      <x:c r="F478" s="2" t="str">
        <x:v>Cookware set</x:v>
      </x:c>
      <x:c r="G478" s="2" t="str">
        <x:v>Online</x:v>
      </x:c>
      <x:c r="H478" s="7" t="n">
        <x:v>1</x:v>
      </x:c>
      <x:c r="I478" s="9" t="n">
        <x:v>35000</x:v>
      </x:c>
      <x:c r="J478" s="9" t="n">
        <x:v>22500</x:v>
      </x:c>
      <x:c r="K478" s="10" t="n">
        <x:v>0.05</x:v>
      </x:c>
      <x:c r="L478" s="2" t="str">
        <x:v>Completed</x:v>
      </x:c>
      <x:c r="M478" s="12" t="n">
        <x:f>H478*I478</x:f>
        <x:v>35000</x:v>
      </x:c>
      <x:c r="N478" s="12" t="n">
        <x:f>IF(L478="Completed",ROUND(M478*(1-K478),2),0)</x:f>
        <x:v>33250</x:v>
      </x:c>
      <x:c r="O478" s="12" t="n">
        <x:f>IF(L478="Completed",H478*J478,0)</x:f>
        <x:v>22500</x:v>
      </x:c>
      <x:c r="P478" s="12" t="n">
        <x:f>N478-O478</x:f>
        <x:v>10750</x:v>
      </x:c>
    </x:row>
    <x:row r="479" ht="21" customHeight="1">
      <x:c r="A479" s="7" t="n">
        <x:v>474</x:v>
      </x:c>
      <x:c r="B479" s="2" t="str">
        <x:v>TXN-00474</x:v>
      </x:c>
      <x:c r="C479" s="8" t="d">
        <x:v>2025-05-02T00:00:00.000Z</x:v>
      </x:c>
      <x:c r="D479" s="2" t="str">
        <x:v>Lagos</x:v>
      </x:c>
      <x:c r="E479" s="2" t="str">
        <x:v>Fashion</x:v>
      </x:c>
      <x:c r="F479" s="2" t="str">
        <x:v>T-shirt</x:v>
      </x:c>
      <x:c r="G479" s="2" t="str">
        <x:v>Online</x:v>
      </x:c>
      <x:c r="H479" s="7" t="n">
        <x:v>1</x:v>
      </x:c>
      <x:c r="I479" s="9" t="n">
        <x:v>9000</x:v>
      </x:c>
      <x:c r="J479" s="9" t="n">
        <x:v>5000</x:v>
      </x:c>
      <x:c r="K479" s="10" t="n">
        <x:v>0.1</x:v>
      </x:c>
      <x:c r="L479" s="2" t="str">
        <x:v>Completed</x:v>
      </x:c>
      <x:c r="M479" s="12" t="n">
        <x:f>H479*I479</x:f>
        <x:v>9000</x:v>
      </x:c>
      <x:c r="N479" s="12" t="n">
        <x:f>IF(L479="Completed",ROUND(M479*(1-K479),2),0)</x:f>
        <x:v>8100</x:v>
      </x:c>
      <x:c r="O479" s="12" t="n">
        <x:f>IF(L479="Completed",H479*J479,0)</x:f>
        <x:v>5000</x:v>
      </x:c>
      <x:c r="P479" s="12" t="n">
        <x:f>N479-O479</x:f>
        <x:v>3100</x:v>
      </x:c>
    </x:row>
    <x:row r="480" ht="21" customHeight="1">
      <x:c r="A480" s="7" t="n">
        <x:v>475</x:v>
      </x:c>
      <x:c r="B480" s="2" t="str">
        <x:v>TXN-00475</x:v>
      </x:c>
      <x:c r="C480" s="8" t="d">
        <x:v>2025-05-15T00:00:00.000Z</x:v>
      </x:c>
      <x:c r="D480" s="2" t="str">
        <x:v>Lagos</x:v>
      </x:c>
      <x:c r="E480" s="2" t="str">
        <x:v>Electronics</x:v>
      </x:c>
      <x:c r="F480" s="2" t="str">
        <x:v>Power bank</x:v>
      </x:c>
      <x:c r="G480" s="2" t="str">
        <x:v>Online</x:v>
      </x:c>
      <x:c r="H480" s="7" t="n">
        <x:v>1</x:v>
      </x:c>
      <x:c r="I480" s="9" t="n">
        <x:v>15000</x:v>
      </x:c>
      <x:c r="J480" s="9" t="n">
        <x:v>9500</x:v>
      </x:c>
      <x:c r="K480" s="10" t="n">
        <x:v>0</x:v>
      </x:c>
      <x:c r="L480" s="2" t="str">
        <x:v>Completed</x:v>
      </x:c>
      <x:c r="M480" s="12" t="n">
        <x:f>H480*I480</x:f>
        <x:v>15000</x:v>
      </x:c>
      <x:c r="N480" s="12" t="n">
        <x:f>IF(L480="Completed",ROUND(M480*(1-K480),2),0)</x:f>
        <x:v>15000</x:v>
      </x:c>
      <x:c r="O480" s="12" t="n">
        <x:f>IF(L480="Completed",H480*J480,0)</x:f>
        <x:v>9500</x:v>
      </x:c>
      <x:c r="P480" s="12" t="n">
        <x:f>N480-O480</x:f>
        <x:v>5500</x:v>
      </x:c>
    </x:row>
    <x:row r="481" ht="21" customHeight="1">
      <x:c r="A481" s="7" t="n">
        <x:v>476</x:v>
      </x:c>
      <x:c r="B481" s="2" t="str">
        <x:v>TXN-00476</x:v>
      </x:c>
      <x:c r="C481" s="8" t="d">
        <x:v>2025-05-19T00:00:00.000Z</x:v>
      </x:c>
      <x:c r="D481" s="2" t="str">
        <x:v>Abuja</x:v>
      </x:c>
      <x:c r="E481" s="2" t="str">
        <x:v>Beauty</x:v>
      </x:c>
      <x:c r="F481" s="2" t="str">
        <x:v>Perfume</x:v>
      </x:c>
      <x:c r="G481" s="2" t="str">
        <x:v>In-store</x:v>
      </x:c>
      <x:c r="H481" s="7" t="n">
        <x:v>1</x:v>
      </x:c>
      <x:c r="I481" s="9" t="n">
        <x:v>17000</x:v>
      </x:c>
      <x:c r="J481" s="9" t="n">
        <x:v>9000</x:v>
      </x:c>
      <x:c r="K481" s="10" t="n">
        <x:v>0</x:v>
      </x:c>
      <x:c r="L481" s="2" t="str">
        <x:v>Completed</x:v>
      </x:c>
      <x:c r="M481" s="12" t="n">
        <x:f>H481*I481</x:f>
        <x:v>17000</x:v>
      </x:c>
      <x:c r="N481" s="12" t="n">
        <x:f>IF(L481="Completed",ROUND(M481*(1-K481),2),0)</x:f>
        <x:v>17000</x:v>
      </x:c>
      <x:c r="O481" s="12" t="n">
        <x:f>IF(L481="Completed",H481*J481,0)</x:f>
        <x:v>9000</x:v>
      </x:c>
      <x:c r="P481" s="12" t="n">
        <x:f>N481-O481</x:f>
        <x:v>8000</x:v>
      </x:c>
    </x:row>
    <x:row r="482" ht="21" customHeight="1">
      <x:c r="A482" s="7" t="n">
        <x:v>477</x:v>
      </x:c>
      <x:c r="B482" s="2" t="str">
        <x:v>TXN-00477</x:v>
      </x:c>
      <x:c r="C482" s="8" t="d">
        <x:v>2025-05-20T00:00:00.000Z</x:v>
      </x:c>
      <x:c r="D482" s="2" t="str">
        <x:v>Lagos</x:v>
      </x:c>
      <x:c r="E482" s="2" t="str">
        <x:v>Beauty</x:v>
      </x:c>
      <x:c r="F482" s="2" t="str">
        <x:v>Moisturizer</x:v>
      </x:c>
      <x:c r="G482" s="2" t="str">
        <x:v>Online</x:v>
      </x:c>
      <x:c r="H482" s="7" t="n">
        <x:v>1</x:v>
      </x:c>
      <x:c r="I482" s="9" t="n">
        <x:v>6500</x:v>
      </x:c>
      <x:c r="J482" s="9" t="n">
        <x:v>3500</x:v>
      </x:c>
      <x:c r="K482" s="10" t="n">
        <x:v>0.05</x:v>
      </x:c>
      <x:c r="L482" s="2" t="str">
        <x:v>Completed</x:v>
      </x:c>
      <x:c r="M482" s="12" t="n">
        <x:f>H482*I482</x:f>
        <x:v>6500</x:v>
      </x:c>
      <x:c r="N482" s="12" t="n">
        <x:f>IF(L482="Completed",ROUND(M482*(1-K482),2),0)</x:f>
        <x:v>6175</x:v>
      </x:c>
      <x:c r="O482" s="12" t="n">
        <x:f>IF(L482="Completed",H482*J482,0)</x:f>
        <x:v>3500</x:v>
      </x:c>
      <x:c r="P482" s="12" t="n">
        <x:f>N482-O482</x:f>
        <x:v>2675</x:v>
      </x:c>
    </x:row>
    <x:row r="483" ht="21" customHeight="1">
      <x:c r="A483" s="7" t="n">
        <x:v>478</x:v>
      </x:c>
      <x:c r="B483" s="2" t="str">
        <x:v>TXN-00478</x:v>
      </x:c>
      <x:c r="C483" s="8" t="d">
        <x:v>2025-05-05T00:00:00.000Z</x:v>
      </x:c>
      <x:c r="D483" s="2" t="str">
        <x:v>Port Harcourt</x:v>
      </x:c>
      <x:c r="E483" s="2" t="str">
        <x:v>Fashion</x:v>
      </x:c>
      <x:c r="F483" s="2" t="str">
        <x:v>Handbag</x:v>
      </x:c>
      <x:c r="G483" s="2" t="str">
        <x:v>In-store</x:v>
      </x:c>
      <x:c r="H483" s="7" t="n">
        <x:v>1</x:v>
      </x:c>
      <x:c r="I483" s="9" t="n">
        <x:v>22000</x:v>
      </x:c>
      <x:c r="J483" s="9" t="n">
        <x:v>13500</x:v>
      </x:c>
      <x:c r="K483" s="10" t="n">
        <x:v>0.15</x:v>
      </x:c>
      <x:c r="L483" s="2" t="str">
        <x:v>Completed</x:v>
      </x:c>
      <x:c r="M483" s="12" t="n">
        <x:f>H483*I483</x:f>
        <x:v>22000</x:v>
      </x:c>
      <x:c r="N483" s="12" t="n">
        <x:f>IF(L483="Completed",ROUND(M483*(1-K483),2),0)</x:f>
        <x:v>18700</x:v>
      </x:c>
      <x:c r="O483" s="12" t="n">
        <x:f>IF(L483="Completed",H483*J483,0)</x:f>
        <x:v>13500</x:v>
      </x:c>
      <x:c r="P483" s="12" t="n">
        <x:f>N483-O483</x:f>
        <x:v>5200</x:v>
      </x:c>
    </x:row>
    <x:row r="484" ht="21" customHeight="1">
      <x:c r="A484" s="7" t="n">
        <x:v>479</x:v>
      </x:c>
      <x:c r="B484" s="2" t="str">
        <x:v>TXN-00479</x:v>
      </x:c>
      <x:c r="C484" s="8" t="d">
        <x:v>2025-05-14T00:00:00.000Z</x:v>
      </x:c>
      <x:c r="D484" s="2" t="str">
        <x:v>Lagos</x:v>
      </x:c>
      <x:c r="E484" s="2" t="str">
        <x:v>Fashion</x:v>
      </x:c>
      <x:c r="F484" s="2" t="str">
        <x:v>T-shirt</x:v>
      </x:c>
      <x:c r="G484" s="2" t="str">
        <x:v>Online</x:v>
      </x:c>
      <x:c r="H484" s="7" t="n">
        <x:v>4</x:v>
      </x:c>
      <x:c r="I484" s="9" t="n">
        <x:v>9000</x:v>
      </x:c>
      <x:c r="J484" s="9" t="n">
        <x:v>5000</x:v>
      </x:c>
      <x:c r="K484" s="10" t="n">
        <x:v>0</x:v>
      </x:c>
      <x:c r="L484" s="2" t="str">
        <x:v>Completed</x:v>
      </x:c>
      <x:c r="M484" s="12" t="n">
        <x:f>H484*I484</x:f>
        <x:v>36000</x:v>
      </x:c>
      <x:c r="N484" s="12" t="n">
        <x:f>IF(L484="Completed",ROUND(M484*(1-K484),2),0)</x:f>
        <x:v>36000</x:v>
      </x:c>
      <x:c r="O484" s="12" t="n">
        <x:f>IF(L484="Completed",H484*J484,0)</x:f>
        <x:v>20000</x:v>
      </x:c>
      <x:c r="P484" s="12" t="n">
        <x:f>N484-O484</x:f>
        <x:v>16000</x:v>
      </x:c>
    </x:row>
    <x:row r="485" ht="21" customHeight="1">
      <x:c r="A485" s="7" t="n">
        <x:v>480</x:v>
      </x:c>
      <x:c r="B485" s="2" t="str">
        <x:v>TXN-00480</x:v>
      </x:c>
      <x:c r="C485" s="8" t="d">
        <x:v>2025-05-14T00:00:00.000Z</x:v>
      </x:c>
      <x:c r="D485" s="2" t="str">
        <x:v>Lagos</x:v>
      </x:c>
      <x:c r="E485" s="2" t="str">
        <x:v>Fashion</x:v>
      </x:c>
      <x:c r="F485" s="2" t="str">
        <x:v>Sneakers</x:v>
      </x:c>
      <x:c r="G485" s="2" t="str">
        <x:v>Online</x:v>
      </x:c>
      <x:c r="H485" s="7" t="n">
        <x:v>1</x:v>
      </x:c>
      <x:c r="I485" s="9" t="n">
        <x:v>28000</x:v>
      </x:c>
      <x:c r="J485" s="9" t="n">
        <x:v>17500</x:v>
      </x:c>
      <x:c r="K485" s="10" t="n">
        <x:v>0</x:v>
      </x:c>
      <x:c r="L485" s="2" t="str">
        <x:v>Completed</x:v>
      </x:c>
      <x:c r="M485" s="12" t="n">
        <x:f>H485*I485</x:f>
        <x:v>28000</x:v>
      </x:c>
      <x:c r="N485" s="12" t="n">
        <x:f>IF(L485="Completed",ROUND(M485*(1-K485),2),0)</x:f>
        <x:v>28000</x:v>
      </x:c>
      <x:c r="O485" s="12" t="n">
        <x:f>IF(L485="Completed",H485*J485,0)</x:f>
        <x:v>17500</x:v>
      </x:c>
      <x:c r="P485" s="12" t="n">
        <x:f>N485-O485</x:f>
        <x:v>10500</x:v>
      </x:c>
    </x:row>
    <x:row r="486" ht="21" customHeight="1">
      <x:c r="A486" s="7" t="n">
        <x:v>481</x:v>
      </x:c>
      <x:c r="B486" s="2" t="str">
        <x:v>TXN-00481</x:v>
      </x:c>
      <x:c r="C486" s="8" t="d">
        <x:v>2025-05-28T00:00:00.000Z</x:v>
      </x:c>
      <x:c r="D486" s="2" t="str">
        <x:v>Lagos</x:v>
      </x:c>
      <x:c r="E486" s="2" t="str">
        <x:v>Home</x:v>
      </x:c>
      <x:c r="F486" s="2" t="str">
        <x:v>Desk lamp</x:v>
      </x:c>
      <x:c r="G486" s="2" t="str">
        <x:v>Online</x:v>
      </x:c>
      <x:c r="H486" s="7" t="n">
        <x:v>1</x:v>
      </x:c>
      <x:c r="I486" s="9" t="n">
        <x:v>12000</x:v>
      </x:c>
      <x:c r="J486" s="9" t="n">
        <x:v>7200</x:v>
      </x:c>
      <x:c r="K486" s="10" t="n">
        <x:v>0.05</x:v>
      </x:c>
      <x:c r="L486" s="2" t="str">
        <x:v>Completed</x:v>
      </x:c>
      <x:c r="M486" s="12" t="n">
        <x:f>H486*I486</x:f>
        <x:v>12000</x:v>
      </x:c>
      <x:c r="N486" s="12" t="n">
        <x:f>IF(L486="Completed",ROUND(M486*(1-K486),2),0)</x:f>
        <x:v>11400</x:v>
      </x:c>
      <x:c r="O486" s="12" t="n">
        <x:f>IF(L486="Completed",H486*J486,0)</x:f>
        <x:v>7200</x:v>
      </x:c>
      <x:c r="P486" s="12" t="n">
        <x:f>N486-O486</x:f>
        <x:v>4200</x:v>
      </x:c>
    </x:row>
    <x:row r="487" ht="21" customHeight="1">
      <x:c r="A487" s="7" t="n">
        <x:v>482</x:v>
      </x:c>
      <x:c r="B487" s="2" t="str">
        <x:v>TXN-00482</x:v>
      </x:c>
      <x:c r="C487" s="8" t="d">
        <x:v>2025-05-11T00:00:00.000Z</x:v>
      </x:c>
      <x:c r="D487" s="2" t="str">
        <x:v>Lagos</x:v>
      </x:c>
      <x:c r="E487" s="2" t="str">
        <x:v>Electronics</x:v>
      </x:c>
      <x:c r="F487" s="2" t="str">
        <x:v>Bluetooth speaker</x:v>
      </x:c>
      <x:c r="G487" s="2" t="str">
        <x:v>In-store</x:v>
      </x:c>
      <x:c r="H487" s="7" t="n">
        <x:v>3</x:v>
      </x:c>
      <x:c r="I487" s="9" t="n">
        <x:v>26000</x:v>
      </x:c>
      <x:c r="J487" s="9" t="n">
        <x:v>17000</x:v>
      </x:c>
      <x:c r="K487" s="10" t="n">
        <x:v>0</x:v>
      </x:c>
      <x:c r="L487" s="2" t="str">
        <x:v>Completed</x:v>
      </x:c>
      <x:c r="M487" s="12" t="n">
        <x:f>H487*I487</x:f>
        <x:v>78000</x:v>
      </x:c>
      <x:c r="N487" s="12" t="n">
        <x:f>IF(L487="Completed",ROUND(M487*(1-K487),2),0)</x:f>
        <x:v>78000</x:v>
      </x:c>
      <x:c r="O487" s="12" t="n">
        <x:f>IF(L487="Completed",H487*J487,0)</x:f>
        <x:v>51000</x:v>
      </x:c>
      <x:c r="P487" s="12" t="n">
        <x:f>N487-O487</x:f>
        <x:v>27000</x:v>
      </x:c>
    </x:row>
    <x:row r="488" ht="21" customHeight="1">
      <x:c r="A488" s="7" t="n">
        <x:v>483</x:v>
      </x:c>
      <x:c r="B488" s="2" t="str">
        <x:v>TXN-00483</x:v>
      </x:c>
      <x:c r="C488" s="8" t="d">
        <x:v>2025-05-02T00:00:00.000Z</x:v>
      </x:c>
      <x:c r="D488" s="2" t="str">
        <x:v>Lagos</x:v>
      </x:c>
      <x:c r="E488" s="2" t="str">
        <x:v>Beauty</x:v>
      </x:c>
      <x:c r="F488" s="2" t="str">
        <x:v>Moisturizer</x:v>
      </x:c>
      <x:c r="G488" s="2" t="str">
        <x:v>In-store</x:v>
      </x:c>
      <x:c r="H488" s="7" t="n">
        <x:v>2</x:v>
      </x:c>
      <x:c r="I488" s="9" t="n">
        <x:v>6500</x:v>
      </x:c>
      <x:c r="J488" s="9" t="n">
        <x:v>3500</x:v>
      </x:c>
      <x:c r="K488" s="10" t="n">
        <x:v>0.1</x:v>
      </x:c>
      <x:c r="L488" s="2" t="str">
        <x:v>Completed</x:v>
      </x:c>
      <x:c r="M488" s="12" t="n">
        <x:f>H488*I488</x:f>
        <x:v>13000</x:v>
      </x:c>
      <x:c r="N488" s="12" t="n">
        <x:f>IF(L488="Completed",ROUND(M488*(1-K488),2),0)</x:f>
        <x:v>11700</x:v>
      </x:c>
      <x:c r="O488" s="12" t="n">
        <x:f>IF(L488="Completed",H488*J488,0)</x:f>
        <x:v>7000</x:v>
      </x:c>
      <x:c r="P488" s="12" t="n">
        <x:f>N488-O488</x:f>
        <x:v>4700</x:v>
      </x:c>
    </x:row>
    <x:row r="489" ht="21" customHeight="1">
      <x:c r="A489" s="7" t="n">
        <x:v>484</x:v>
      </x:c>
      <x:c r="B489" s="2" t="str">
        <x:v>TXN-00484</x:v>
      </x:c>
      <x:c r="C489" s="8" t="d">
        <x:v>2025-05-21T00:00:00.000Z</x:v>
      </x:c>
      <x:c r="D489" s="2" t="str">
        <x:v>Abuja</x:v>
      </x:c>
      <x:c r="E489" s="2" t="str">
        <x:v>Electronics</x:v>
      </x:c>
      <x:c r="F489" s="2" t="str">
        <x:v>Headphones</x:v>
      </x:c>
      <x:c r="G489" s="2" t="str">
        <x:v>In-store</x:v>
      </x:c>
      <x:c r="H489" s="7" t="n">
        <x:v>2</x:v>
      </x:c>
      <x:c r="I489" s="9" t="n">
        <x:v>18000</x:v>
      </x:c>
      <x:c r="J489" s="9" t="n">
        <x:v>10500</x:v>
      </x:c>
      <x:c r="K489" s="10" t="n">
        <x:v>0.05</x:v>
      </x:c>
      <x:c r="L489" s="2" t="str">
        <x:v>Completed</x:v>
      </x:c>
      <x:c r="M489" s="12" t="n">
        <x:f>H489*I489</x:f>
        <x:v>36000</x:v>
      </x:c>
      <x:c r="N489" s="12" t="n">
        <x:f>IF(L489="Completed",ROUND(M489*(1-K489),2),0)</x:f>
        <x:v>34200</x:v>
      </x:c>
      <x:c r="O489" s="12" t="n">
        <x:f>IF(L489="Completed",H489*J489,0)</x:f>
        <x:v>21000</x:v>
      </x:c>
      <x:c r="P489" s="12" t="n">
        <x:f>N489-O489</x:f>
        <x:v>13200</x:v>
      </x:c>
    </x:row>
    <x:row r="490" ht="21" customHeight="1">
      <x:c r="A490" s="7" t="n">
        <x:v>485</x:v>
      </x:c>
      <x:c r="B490" s="2" t="str">
        <x:v>TXN-00485</x:v>
      </x:c>
      <x:c r="C490" s="8" t="d">
        <x:v>2025-05-27T00:00:00.000Z</x:v>
      </x:c>
      <x:c r="D490" s="2" t="str">
        <x:v>Abuja</x:v>
      </x:c>
      <x:c r="E490" s="2" t="str">
        <x:v>Electronics</x:v>
      </x:c>
      <x:c r="F490" s="2" t="str">
        <x:v>Power bank</x:v>
      </x:c>
      <x:c r="G490" s="2" t="str">
        <x:v>In-store</x:v>
      </x:c>
      <x:c r="H490" s="7" t="n">
        <x:v>2</x:v>
      </x:c>
      <x:c r="I490" s="9" t="n">
        <x:v>15000</x:v>
      </x:c>
      <x:c r="J490" s="9" t="n">
        <x:v>9500</x:v>
      </x:c>
      <x:c r="K490" s="10" t="n">
        <x:v>0.1</x:v>
      </x:c>
      <x:c r="L490" s="2" t="str">
        <x:v>Completed</x:v>
      </x:c>
      <x:c r="M490" s="12" t="n">
        <x:f>H490*I490</x:f>
        <x:v>30000</x:v>
      </x:c>
      <x:c r="N490" s="12" t="n">
        <x:f>IF(L490="Completed",ROUND(M490*(1-K490),2),0)</x:f>
        <x:v>27000</x:v>
      </x:c>
      <x:c r="O490" s="12" t="n">
        <x:f>IF(L490="Completed",H490*J490,0)</x:f>
        <x:v>19000</x:v>
      </x:c>
      <x:c r="P490" s="12" t="n">
        <x:f>N490-O490</x:f>
        <x:v>8000</x:v>
      </x:c>
    </x:row>
    <x:row r="491" ht="21" customHeight="1">
      <x:c r="A491" s="7" t="n">
        <x:v>486</x:v>
      </x:c>
      <x:c r="B491" s="2" t="str">
        <x:v>TXN-00486</x:v>
      </x:c>
      <x:c r="C491" s="8" t="d">
        <x:v>2025-05-01T00:00:00.000Z</x:v>
      </x:c>
      <x:c r="D491" s="2" t="str">
        <x:v>Abuja</x:v>
      </x:c>
      <x:c r="E491" s="2" t="str">
        <x:v>Beauty</x:v>
      </x:c>
      <x:c r="F491" s="2" t="str">
        <x:v>Body wash</x:v>
      </x:c>
      <x:c r="G491" s="2" t="str">
        <x:v>In-store</x:v>
      </x:c>
      <x:c r="H491" s="7" t="n">
        <x:v>3</x:v>
      </x:c>
      <x:c r="I491" s="9" t="n">
        <x:v>4500</x:v>
      </x:c>
      <x:c r="J491" s="9" t="n">
        <x:v>2300</x:v>
      </x:c>
      <x:c r="K491" s="10" t="n">
        <x:v>0</x:v>
      </x:c>
      <x:c r="L491" s="2" t="str">
        <x:v>Completed</x:v>
      </x:c>
      <x:c r="M491" s="12" t="n">
        <x:f>H491*I491</x:f>
        <x:v>13500</x:v>
      </x:c>
      <x:c r="N491" s="12" t="n">
        <x:f>IF(L491="Completed",ROUND(M491*(1-K491),2),0)</x:f>
        <x:v>13500</x:v>
      </x:c>
      <x:c r="O491" s="12" t="n">
        <x:f>IF(L491="Completed",H491*J491,0)</x:f>
        <x:v>6900</x:v>
      </x:c>
      <x:c r="P491" s="12" t="n">
        <x:f>N491-O491</x:f>
        <x:v>6600</x:v>
      </x:c>
    </x:row>
    <x:row r="492" ht="21" customHeight="1">
      <x:c r="A492" s="7" t="n">
        <x:v>487</x:v>
      </x:c>
      <x:c r="B492" s="2" t="str">
        <x:v>TXN-00487</x:v>
      </x:c>
      <x:c r="C492" s="8" t="d">
        <x:v>2025-05-16T00:00:00.000Z</x:v>
      </x:c>
      <x:c r="D492" s="2" t="str">
        <x:v>Port Harcourt</x:v>
      </x:c>
      <x:c r="E492" s="2" t="str">
        <x:v>Beauty</x:v>
      </x:c>
      <x:c r="F492" s="2" t="str">
        <x:v>Body wash</x:v>
      </x:c>
      <x:c r="G492" s="2" t="str">
        <x:v>In-store</x:v>
      </x:c>
      <x:c r="H492" s="7" t="n">
        <x:v>1</x:v>
      </x:c>
      <x:c r="I492" s="9" t="n">
        <x:v>4500</x:v>
      </x:c>
      <x:c r="J492" s="9" t="n">
        <x:v>2300</x:v>
      </x:c>
      <x:c r="K492" s="10" t="n">
        <x:v>0</x:v>
      </x:c>
      <x:c r="L492" s="2" t="str">
        <x:v>Completed</x:v>
      </x:c>
      <x:c r="M492" s="12" t="n">
        <x:f>H492*I492</x:f>
        <x:v>4500</x:v>
      </x:c>
      <x:c r="N492" s="12" t="n">
        <x:f>IF(L492="Completed",ROUND(M492*(1-K492),2),0)</x:f>
        <x:v>4500</x:v>
      </x:c>
      <x:c r="O492" s="12" t="n">
        <x:f>IF(L492="Completed",H492*J492,0)</x:f>
        <x:v>2300</x:v>
      </x:c>
      <x:c r="P492" s="12" t="n">
        <x:f>N492-O492</x:f>
        <x:v>2200</x:v>
      </x:c>
    </x:row>
    <x:row r="493" ht="21" customHeight="1">
      <x:c r="A493" s="7" t="n">
        <x:v>488</x:v>
      </x:c>
      <x:c r="B493" s="2" t="str">
        <x:v>TXN-00488</x:v>
      </x:c>
      <x:c r="C493" s="8" t="d">
        <x:v>2025-05-31T00:00:00.000Z</x:v>
      </x:c>
      <x:c r="D493" s="2" t="str">
        <x:v>Lagos</x:v>
      </x:c>
      <x:c r="E493" s="2" t="str">
        <x:v>Home</x:v>
      </x:c>
      <x:c r="F493" s="2" t="str">
        <x:v>Bedsheet</x:v>
      </x:c>
      <x:c r="G493" s="2" t="str">
        <x:v>Online</x:v>
      </x:c>
      <x:c r="H493" s="7" t="n">
        <x:v>1</x:v>
      </x:c>
      <x:c r="I493" s="9" t="n">
        <x:v>14000</x:v>
      </x:c>
      <x:c r="J493" s="9" t="n">
        <x:v>8500</x:v>
      </x:c>
      <x:c r="K493" s="10" t="n">
        <x:v>0.1</x:v>
      </x:c>
      <x:c r="L493" s="2" t="str">
        <x:v>Completed</x:v>
      </x:c>
      <x:c r="M493" s="12" t="n">
        <x:f>H493*I493</x:f>
        <x:v>14000</x:v>
      </x:c>
      <x:c r="N493" s="12" t="n">
        <x:f>IF(L493="Completed",ROUND(M493*(1-K493),2),0)</x:f>
        <x:v>12600</x:v>
      </x:c>
      <x:c r="O493" s="12" t="n">
        <x:f>IF(L493="Completed",H493*J493,0)</x:f>
        <x:v>8500</x:v>
      </x:c>
      <x:c r="P493" s="12" t="n">
        <x:f>N493-O493</x:f>
        <x:v>4100</x:v>
      </x:c>
    </x:row>
    <x:row r="494" ht="21" customHeight="1">
      <x:c r="A494" s="7" t="n">
        <x:v>489</x:v>
      </x:c>
      <x:c r="B494" s="2" t="str">
        <x:v>TXN-00489</x:v>
      </x:c>
      <x:c r="C494" s="8" t="d">
        <x:v>2025-05-15T00:00:00.000Z</x:v>
      </x:c>
      <x:c r="D494" s="2" t="str">
        <x:v>Abuja</x:v>
      </x:c>
      <x:c r="E494" s="2" t="str">
        <x:v>Beauty</x:v>
      </x:c>
      <x:c r="F494" s="2" t="str">
        <x:v>Moisturizer</x:v>
      </x:c>
      <x:c r="G494" s="2" t="str">
        <x:v>Online</x:v>
      </x:c>
      <x:c r="H494" s="7" t="n">
        <x:v>1</x:v>
      </x:c>
      <x:c r="I494" s="9" t="n">
        <x:v>6500</x:v>
      </x:c>
      <x:c r="J494" s="9" t="n">
        <x:v>3500</x:v>
      </x:c>
      <x:c r="K494" s="10" t="n">
        <x:v>0</x:v>
      </x:c>
      <x:c r="L494" s="2" t="str">
        <x:v>Completed</x:v>
      </x:c>
      <x:c r="M494" s="12" t="n">
        <x:f>H494*I494</x:f>
        <x:v>6500</x:v>
      </x:c>
      <x:c r="N494" s="12" t="n">
        <x:f>IF(L494="Completed",ROUND(M494*(1-K494),2),0)</x:f>
        <x:v>6500</x:v>
      </x:c>
      <x:c r="O494" s="12" t="n">
        <x:f>IF(L494="Completed",H494*J494,0)</x:f>
        <x:v>3500</x:v>
      </x:c>
      <x:c r="P494" s="12" t="n">
        <x:f>N494-O494</x:f>
        <x:v>3000</x:v>
      </x:c>
    </x:row>
    <x:row r="495" ht="21" customHeight="1">
      <x:c r="A495" s="7" t="n">
        <x:v>490</x:v>
      </x:c>
      <x:c r="B495" s="2" t="str">
        <x:v>TXN-00490</x:v>
      </x:c>
      <x:c r="C495" s="8" t="d">
        <x:v>2025-05-14T00:00:00.000Z</x:v>
      </x:c>
      <x:c r="D495" s="2" t="str">
        <x:v>Port Harcourt</x:v>
      </x:c>
      <x:c r="E495" s="2" t="str">
        <x:v>Fashion</x:v>
      </x:c>
      <x:c r="F495" s="2" t="str">
        <x:v>Sneakers</x:v>
      </x:c>
      <x:c r="G495" s="2" t="str">
        <x:v>Online</x:v>
      </x:c>
      <x:c r="H495" s="7" t="n">
        <x:v>1</x:v>
      </x:c>
      <x:c r="I495" s="9" t="n">
        <x:v>28000</x:v>
      </x:c>
      <x:c r="J495" s="9" t="n">
        <x:v>17500</x:v>
      </x:c>
      <x:c r="K495" s="10" t="n">
        <x:v>0.1</x:v>
      </x:c>
      <x:c r="L495" s="2" t="str">
        <x:v>Completed</x:v>
      </x:c>
      <x:c r="M495" s="12" t="n">
        <x:f>H495*I495</x:f>
        <x:v>28000</x:v>
      </x:c>
      <x:c r="N495" s="12" t="n">
        <x:f>IF(L495="Completed",ROUND(M495*(1-K495),2),0)</x:f>
        <x:v>25200</x:v>
      </x:c>
      <x:c r="O495" s="12" t="n">
        <x:f>IF(L495="Completed",H495*J495,0)</x:f>
        <x:v>17500</x:v>
      </x:c>
      <x:c r="P495" s="12" t="n">
        <x:f>N495-O495</x:f>
        <x:v>7700</x:v>
      </x:c>
    </x:row>
    <x:row r="496" ht="21" customHeight="1">
      <x:c r="A496" s="7" t="n">
        <x:v>491</x:v>
      </x:c>
      <x:c r="B496" s="2" t="str">
        <x:v>TXN-00491</x:v>
      </x:c>
      <x:c r="C496" s="8" t="d">
        <x:v>2025-05-04T00:00:00.000Z</x:v>
      </x:c>
      <x:c r="D496" s="2" t="str">
        <x:v>Lagos</x:v>
      </x:c>
      <x:c r="E496" s="2" t="str">
        <x:v>Home</x:v>
      </x:c>
      <x:c r="F496" s="2" t="str">
        <x:v>Desk lamp</x:v>
      </x:c>
      <x:c r="G496" s="2" t="str">
        <x:v>Online</x:v>
      </x:c>
      <x:c r="H496" s="7" t="n">
        <x:v>2</x:v>
      </x:c>
      <x:c r="I496" s="9" t="n">
        <x:v>12000</x:v>
      </x:c>
      <x:c r="J496" s="9" t="n">
        <x:v>7200</x:v>
      </x:c>
      <x:c r="K496" s="10" t="n">
        <x:v>0</x:v>
      </x:c>
      <x:c r="L496" s="2" t="str">
        <x:v>Completed</x:v>
      </x:c>
      <x:c r="M496" s="12" t="n">
        <x:f>H496*I496</x:f>
        <x:v>24000</x:v>
      </x:c>
      <x:c r="N496" s="12" t="n">
        <x:f>IF(L496="Completed",ROUND(M496*(1-K496),2),0)</x:f>
        <x:v>24000</x:v>
      </x:c>
      <x:c r="O496" s="12" t="n">
        <x:f>IF(L496="Completed",H496*J496,0)</x:f>
        <x:v>14400</x:v>
      </x:c>
      <x:c r="P496" s="12" t="n">
        <x:f>N496-O496</x:f>
        <x:v>9600</x:v>
      </x:c>
    </x:row>
    <x:row r="497" ht="21" customHeight="1">
      <x:c r="A497" s="7" t="n">
        <x:v>492</x:v>
      </x:c>
      <x:c r="B497" s="2" t="str">
        <x:v>TXN-00492</x:v>
      </x:c>
      <x:c r="C497" s="8" t="d">
        <x:v>2025-05-13T00:00:00.000Z</x:v>
      </x:c>
      <x:c r="D497" s="2" t="str">
        <x:v>Lagos</x:v>
      </x:c>
      <x:c r="E497" s="2" t="str">
        <x:v>Electronics</x:v>
      </x:c>
      <x:c r="F497" s="2" t="str">
        <x:v>Power bank</x:v>
      </x:c>
      <x:c r="G497" s="2" t="str">
        <x:v>In-store</x:v>
      </x:c>
      <x:c r="H497" s="7" t="n">
        <x:v>2</x:v>
      </x:c>
      <x:c r="I497" s="9" t="n">
        <x:v>15000</x:v>
      </x:c>
      <x:c r="J497" s="9" t="n">
        <x:v>9500</x:v>
      </x:c>
      <x:c r="K497" s="10" t="n">
        <x:v>0.05</x:v>
      </x:c>
      <x:c r="L497" s="2" t="str">
        <x:v>Completed</x:v>
      </x:c>
      <x:c r="M497" s="12" t="n">
        <x:f>H497*I497</x:f>
        <x:v>30000</x:v>
      </x:c>
      <x:c r="N497" s="12" t="n">
        <x:f>IF(L497="Completed",ROUND(M497*(1-K497),2),0)</x:f>
        <x:v>28500</x:v>
      </x:c>
      <x:c r="O497" s="12" t="n">
        <x:f>IF(L497="Completed",H497*J497,0)</x:f>
        <x:v>19000</x:v>
      </x:c>
      <x:c r="P497" s="12" t="n">
        <x:f>N497-O497</x:f>
        <x:v>9500</x:v>
      </x:c>
    </x:row>
    <x:row r="498" ht="21" customHeight="1">
      <x:c r="A498" s="7" t="n">
        <x:v>493</x:v>
      </x:c>
      <x:c r="B498" s="2" t="str">
        <x:v>TXN-00493</x:v>
      </x:c>
      <x:c r="C498" s="8" t="d">
        <x:v>2025-05-04T00:00:00.000Z</x:v>
      </x:c>
      <x:c r="D498" s="2" t="str">
        <x:v>Lagos</x:v>
      </x:c>
      <x:c r="E498" s="2" t="str">
        <x:v>Electronics</x:v>
      </x:c>
      <x:c r="F498" s="2" t="str">
        <x:v>Power bank</x:v>
      </x:c>
      <x:c r="G498" s="2" t="str">
        <x:v>Online</x:v>
      </x:c>
      <x:c r="H498" s="7" t="n">
        <x:v>1</x:v>
      </x:c>
      <x:c r="I498" s="9" t="n">
        <x:v>15000</x:v>
      </x:c>
      <x:c r="J498" s="9" t="n">
        <x:v>9500</x:v>
      </x:c>
      <x:c r="K498" s="10" t="n">
        <x:v>0.05</x:v>
      </x:c>
      <x:c r="L498" s="2" t="str">
        <x:v>Completed</x:v>
      </x:c>
      <x:c r="M498" s="12" t="n">
        <x:f>H498*I498</x:f>
        <x:v>15000</x:v>
      </x:c>
      <x:c r="N498" s="12" t="n">
        <x:f>IF(L498="Completed",ROUND(M498*(1-K498),2),0)</x:f>
        <x:v>14250</x:v>
      </x:c>
      <x:c r="O498" s="12" t="n">
        <x:f>IF(L498="Completed",H498*J498,0)</x:f>
        <x:v>9500</x:v>
      </x:c>
      <x:c r="P498" s="12" t="n">
        <x:f>N498-O498</x:f>
        <x:v>4750</x:v>
      </x:c>
    </x:row>
    <x:row r="499" ht="21" customHeight="1">
      <x:c r="A499" s="7" t="n">
        <x:v>494</x:v>
      </x:c>
      <x:c r="B499" s="2" t="str">
        <x:v>TXN-00494</x:v>
      </x:c>
      <x:c r="C499" s="8" t="d">
        <x:v>2025-05-18T00:00:00.000Z</x:v>
      </x:c>
      <x:c r="D499" s="2" t="str">
        <x:v>Lagos</x:v>
      </x:c>
      <x:c r="E499" s="2" t="str">
        <x:v>Home</x:v>
      </x:c>
      <x:c r="F499" s="2" t="str">
        <x:v>Bedsheet</x:v>
      </x:c>
      <x:c r="G499" s="2" t="str">
        <x:v>In-store</x:v>
      </x:c>
      <x:c r="H499" s="7" t="n">
        <x:v>1</x:v>
      </x:c>
      <x:c r="I499" s="9" t="n">
        <x:v>14000</x:v>
      </x:c>
      <x:c r="J499" s="9" t="n">
        <x:v>8500</x:v>
      </x:c>
      <x:c r="K499" s="10" t="n">
        <x:v>0</x:v>
      </x:c>
      <x:c r="L499" s="2" t="str">
        <x:v>Returned</x:v>
      </x:c>
      <x:c r="M499" s="12" t="n">
        <x:f>H499*I499</x:f>
        <x:v>14000</x:v>
      </x:c>
      <x:c r="N499" s="12" t="n">
        <x:f>IF(L499="Completed",ROUND(M499*(1-K499),2),0)</x:f>
        <x:v>0</x:v>
      </x:c>
      <x:c r="O499" s="12" t="n">
        <x:f>IF(L499="Completed",H499*J499,0)</x:f>
        <x:v>0</x:v>
      </x:c>
      <x:c r="P499" s="12" t="n">
        <x:f>N499-O499</x:f>
        <x:v>0</x:v>
      </x:c>
    </x:row>
    <x:row r="500" ht="21" customHeight="1">
      <x:c r="A500" s="7" t="n">
        <x:v>495</x:v>
      </x:c>
      <x:c r="B500" s="2" t="str">
        <x:v>TXN-00495</x:v>
      </x:c>
      <x:c r="C500" s="8" t="d">
        <x:v>2025-05-14T00:00:00.000Z</x:v>
      </x:c>
      <x:c r="D500" s="2" t="str">
        <x:v>Lagos</x:v>
      </x:c>
      <x:c r="E500" s="2" t="str">
        <x:v>Electronics</x:v>
      </x:c>
      <x:c r="F500" s="2" t="str">
        <x:v>Headphones</x:v>
      </x:c>
      <x:c r="G500" s="2" t="str">
        <x:v>In-store</x:v>
      </x:c>
      <x:c r="H500" s="7" t="n">
        <x:v>2</x:v>
      </x:c>
      <x:c r="I500" s="9" t="n">
        <x:v>18000</x:v>
      </x:c>
      <x:c r="J500" s="9" t="n">
        <x:v>10500</x:v>
      </x:c>
      <x:c r="K500" s="10" t="n">
        <x:v>0</x:v>
      </x:c>
      <x:c r="L500" s="2" t="str">
        <x:v>Completed</x:v>
      </x:c>
      <x:c r="M500" s="12" t="n">
        <x:f>H500*I500</x:f>
        <x:v>36000</x:v>
      </x:c>
      <x:c r="N500" s="12" t="n">
        <x:f>IF(L500="Completed",ROUND(M500*(1-K500),2),0)</x:f>
        <x:v>36000</x:v>
      </x:c>
      <x:c r="O500" s="12" t="n">
        <x:f>IF(L500="Completed",H500*J500,0)</x:f>
        <x:v>21000</x:v>
      </x:c>
      <x:c r="P500" s="12" t="n">
        <x:f>N500-O500</x:f>
        <x:v>15000</x:v>
      </x:c>
    </x:row>
    <x:row r="501" ht="21" customHeight="1">
      <x:c r="A501" s="7" t="n">
        <x:v>496</x:v>
      </x:c>
      <x:c r="B501" s="2" t="str">
        <x:v>TXN-00496</x:v>
      </x:c>
      <x:c r="C501" s="8" t="d">
        <x:v>2025-05-18T00:00:00.000Z</x:v>
      </x:c>
      <x:c r="D501" s="2" t="str">
        <x:v>Abuja</x:v>
      </x:c>
      <x:c r="E501" s="2" t="str">
        <x:v>Home</x:v>
      </x:c>
      <x:c r="F501" s="2" t="str">
        <x:v>Bedsheet</x:v>
      </x:c>
      <x:c r="G501" s="2" t="str">
        <x:v>Online</x:v>
      </x:c>
      <x:c r="H501" s="7" t="n">
        <x:v>4</x:v>
      </x:c>
      <x:c r="I501" s="9" t="n">
        <x:v>14000</x:v>
      </x:c>
      <x:c r="J501" s="9" t="n">
        <x:v>8500</x:v>
      </x:c>
      <x:c r="K501" s="10" t="n">
        <x:v>0</x:v>
      </x:c>
      <x:c r="L501" s="2" t="str">
        <x:v>Completed</x:v>
      </x:c>
      <x:c r="M501" s="12" t="n">
        <x:f>H501*I501</x:f>
        <x:v>56000</x:v>
      </x:c>
      <x:c r="N501" s="12" t="n">
        <x:f>IF(L501="Completed",ROUND(M501*(1-K501),2),0)</x:f>
        <x:v>56000</x:v>
      </x:c>
      <x:c r="O501" s="12" t="n">
        <x:f>IF(L501="Completed",H501*J501,0)</x:f>
        <x:v>34000</x:v>
      </x:c>
      <x:c r="P501" s="12" t="n">
        <x:f>N501-O501</x:f>
        <x:v>22000</x:v>
      </x:c>
    </x:row>
    <x:row r="502" ht="21" customHeight="1">
      <x:c r="A502" s="7" t="n">
        <x:v>497</x:v>
      </x:c>
      <x:c r="B502" s="2" t="str">
        <x:v>TXN-00497</x:v>
      </x:c>
      <x:c r="C502" s="8" t="d">
        <x:v>2025-05-03T00:00:00.000Z</x:v>
      </x:c>
      <x:c r="D502" s="2" t="str">
        <x:v>Port Harcourt</x:v>
      </x:c>
      <x:c r="E502" s="2" t="str">
        <x:v>Fashion</x:v>
      </x:c>
      <x:c r="F502" s="2" t="str">
        <x:v>T-shirt</x:v>
      </x:c>
      <x:c r="G502" s="2" t="str">
        <x:v>Online</x:v>
      </x:c>
      <x:c r="H502" s="7" t="n">
        <x:v>3</x:v>
      </x:c>
      <x:c r="I502" s="9" t="n">
        <x:v>9000</x:v>
      </x:c>
      <x:c r="J502" s="9" t="n">
        <x:v>5000</x:v>
      </x:c>
      <x:c r="K502" s="10" t="n">
        <x:v>0</x:v>
      </x:c>
      <x:c r="L502" s="2" t="str">
        <x:v>Completed</x:v>
      </x:c>
      <x:c r="M502" s="12" t="n">
        <x:f>H502*I502</x:f>
        <x:v>27000</x:v>
      </x:c>
      <x:c r="N502" s="12" t="n">
        <x:f>IF(L502="Completed",ROUND(M502*(1-K502),2),0)</x:f>
        <x:v>27000</x:v>
      </x:c>
      <x:c r="O502" s="12" t="n">
        <x:f>IF(L502="Completed",H502*J502,0)</x:f>
        <x:v>15000</x:v>
      </x:c>
      <x:c r="P502" s="12" t="n">
        <x:f>N502-O502</x:f>
        <x:v>12000</x:v>
      </x:c>
    </x:row>
    <x:row r="503" ht="21" customHeight="1">
      <x:c r="A503" s="7" t="n">
        <x:v>498</x:v>
      </x:c>
      <x:c r="B503" s="2" t="str">
        <x:v>TXN-00498</x:v>
      </x:c>
      <x:c r="C503" s="8" t="d">
        <x:v>2025-05-29T00:00:00.000Z</x:v>
      </x:c>
      <x:c r="D503" s="2" t="str">
        <x:v>Abuja</x:v>
      </x:c>
      <x:c r="E503" s="2" t="str">
        <x:v>Beauty</x:v>
      </x:c>
      <x:c r="F503" s="2" t="str">
        <x:v>Moisturizer</x:v>
      </x:c>
      <x:c r="G503" s="2" t="str">
        <x:v>Online</x:v>
      </x:c>
      <x:c r="H503" s="7" t="n">
        <x:v>3</x:v>
      </x:c>
      <x:c r="I503" s="9" t="n">
        <x:v>6500</x:v>
      </x:c>
      <x:c r="J503" s="9" t="n">
        <x:v>3500</x:v>
      </x:c>
      <x:c r="K503" s="10" t="n">
        <x:v>0.15</x:v>
      </x:c>
      <x:c r="L503" s="2" t="str">
        <x:v>Completed</x:v>
      </x:c>
      <x:c r="M503" s="12" t="n">
        <x:f>H503*I503</x:f>
        <x:v>19500</x:v>
      </x:c>
      <x:c r="N503" s="12" t="n">
        <x:f>IF(L503="Completed",ROUND(M503*(1-K503),2),0)</x:f>
        <x:v>16575</x:v>
      </x:c>
      <x:c r="O503" s="12" t="n">
        <x:f>IF(L503="Completed",H503*J503,0)</x:f>
        <x:v>10500</x:v>
      </x:c>
      <x:c r="P503" s="12" t="n">
        <x:f>N503-O503</x:f>
        <x:v>6075</x:v>
      </x:c>
    </x:row>
    <x:row r="504" ht="21" customHeight="1">
      <x:c r="A504" s="7" t="n">
        <x:v>499</x:v>
      </x:c>
      <x:c r="B504" s="2" t="str">
        <x:v>TXN-00499</x:v>
      </x:c>
      <x:c r="C504" s="8" t="d">
        <x:v>2025-05-08T00:00:00.000Z</x:v>
      </x:c>
      <x:c r="D504" s="2" t="str">
        <x:v>Port Harcourt</x:v>
      </x:c>
      <x:c r="E504" s="2" t="str">
        <x:v>Beauty</x:v>
      </x:c>
      <x:c r="F504" s="2" t="str">
        <x:v>Body wash</x:v>
      </x:c>
      <x:c r="G504" s="2" t="str">
        <x:v>In-store</x:v>
      </x:c>
      <x:c r="H504" s="7" t="n">
        <x:v>3</x:v>
      </x:c>
      <x:c r="I504" s="9" t="n">
        <x:v>4500</x:v>
      </x:c>
      <x:c r="J504" s="9" t="n">
        <x:v>2300</x:v>
      </x:c>
      <x:c r="K504" s="10" t="n">
        <x:v>0.05</x:v>
      </x:c>
      <x:c r="L504" s="2" t="str">
        <x:v>Completed</x:v>
      </x:c>
      <x:c r="M504" s="12" t="n">
        <x:f>H504*I504</x:f>
        <x:v>13500</x:v>
      </x:c>
      <x:c r="N504" s="12" t="n">
        <x:f>IF(L504="Completed",ROUND(M504*(1-K504),2),0)</x:f>
        <x:v>12825</x:v>
      </x:c>
      <x:c r="O504" s="12" t="n">
        <x:f>IF(L504="Completed",H504*J504,0)</x:f>
        <x:v>6900</x:v>
      </x:c>
      <x:c r="P504" s="12" t="n">
        <x:f>N504-O504</x:f>
        <x:v>5925</x:v>
      </x:c>
    </x:row>
    <x:row r="505" ht="21" customHeight="1">
      <x:c r="A505" s="7" t="n">
        <x:v>500</x:v>
      </x:c>
      <x:c r="B505" s="2" t="str">
        <x:v>TXN-00500</x:v>
      </x:c>
      <x:c r="C505" s="8" t="d">
        <x:v>2025-05-24T00:00:00.000Z</x:v>
      </x:c>
      <x:c r="D505" s="2" t="str">
        <x:v>Abuja</x:v>
      </x:c>
      <x:c r="E505" s="2" t="str">
        <x:v>Electronics</x:v>
      </x:c>
      <x:c r="F505" s="2" t="str">
        <x:v>Headphones</x:v>
      </x:c>
      <x:c r="G505" s="2" t="str">
        <x:v>Online</x:v>
      </x:c>
      <x:c r="H505" s="7" t="n">
        <x:v>1</x:v>
      </x:c>
      <x:c r="I505" s="9" t="n">
        <x:v>18000</x:v>
      </x:c>
      <x:c r="J505" s="9" t="n">
        <x:v>10500</x:v>
      </x:c>
      <x:c r="K505" s="10" t="n">
        <x:v>0</x:v>
      </x:c>
      <x:c r="L505" s="2" t="str">
        <x:v>Completed</x:v>
      </x:c>
      <x:c r="M505" s="12" t="n">
        <x:f>H505*I505</x:f>
        <x:v>18000</x:v>
      </x:c>
      <x:c r="N505" s="12" t="n">
        <x:f>IF(L505="Completed",ROUND(M505*(1-K505),2),0)</x:f>
        <x:v>18000</x:v>
      </x:c>
      <x:c r="O505" s="12" t="n">
        <x:f>IF(L505="Completed",H505*J505,0)</x:f>
        <x:v>10500</x:v>
      </x:c>
      <x:c r="P505" s="12" t="n">
        <x:f>N505-O505</x:f>
        <x:v>7500</x:v>
      </x:c>
    </x:row>
    <x:row r="506" ht="21" customHeight="1">
      <x:c r="A506" s="7" t="n">
        <x:v>501</x:v>
      </x:c>
      <x:c r="B506" s="2" t="str">
        <x:v>TXN-00501</x:v>
      </x:c>
      <x:c r="C506" s="8" t="d">
        <x:v>2025-05-01T00:00:00.000Z</x:v>
      </x:c>
      <x:c r="D506" s="2" t="str">
        <x:v>Port Harcourt</x:v>
      </x:c>
      <x:c r="E506" s="2" t="str">
        <x:v>Home</x:v>
      </x:c>
      <x:c r="F506" s="2" t="str">
        <x:v>Bedsheet</x:v>
      </x:c>
      <x:c r="G506" s="2" t="str">
        <x:v>In-store</x:v>
      </x:c>
      <x:c r="H506" s="7" t="n">
        <x:v>1</x:v>
      </x:c>
      <x:c r="I506" s="9" t="n">
        <x:v>14000</x:v>
      </x:c>
      <x:c r="J506" s="9" t="n">
        <x:v>8500</x:v>
      </x:c>
      <x:c r="K506" s="10" t="n">
        <x:v>0</x:v>
      </x:c>
      <x:c r="L506" s="2" t="str">
        <x:v>Completed</x:v>
      </x:c>
      <x:c r="M506" s="12" t="n">
        <x:f>H506*I506</x:f>
        <x:v>14000</x:v>
      </x:c>
      <x:c r="N506" s="12" t="n">
        <x:f>IF(L506="Completed",ROUND(M506*(1-K506),2),0)</x:f>
        <x:v>14000</x:v>
      </x:c>
      <x:c r="O506" s="12" t="n">
        <x:f>IF(L506="Completed",H506*J506,0)</x:f>
        <x:v>8500</x:v>
      </x:c>
      <x:c r="P506" s="12" t="n">
        <x:f>N506-O506</x:f>
        <x:v>5500</x:v>
      </x:c>
    </x:row>
    <x:row r="507" ht="21" customHeight="1">
      <x:c r="A507" s="7" t="n">
        <x:v>502</x:v>
      </x:c>
      <x:c r="B507" s="2" t="str">
        <x:v>TXN-00502</x:v>
      </x:c>
      <x:c r="C507" s="8" t="d">
        <x:v>2025-05-29T00:00:00.000Z</x:v>
      </x:c>
      <x:c r="D507" s="2" t="str">
        <x:v>Abuja</x:v>
      </x:c>
      <x:c r="E507" s="2" t="str">
        <x:v>Fashion</x:v>
      </x:c>
      <x:c r="F507" s="2" t="str">
        <x:v>Handbag</x:v>
      </x:c>
      <x:c r="G507" s="2" t="str">
        <x:v>In-store</x:v>
      </x:c>
      <x:c r="H507" s="7" t="n">
        <x:v>2</x:v>
      </x:c>
      <x:c r="I507" s="9" t="n">
        <x:v>22000</x:v>
      </x:c>
      <x:c r="J507" s="9" t="n">
        <x:v>13500</x:v>
      </x:c>
      <x:c r="K507" s="10" t="n">
        <x:v>0.1</x:v>
      </x:c>
      <x:c r="L507" s="2" t="str">
        <x:v>Completed</x:v>
      </x:c>
      <x:c r="M507" s="12" t="n">
        <x:f>H507*I507</x:f>
        <x:v>44000</x:v>
      </x:c>
      <x:c r="N507" s="12" t="n">
        <x:f>IF(L507="Completed",ROUND(M507*(1-K507),2),0)</x:f>
        <x:v>39600</x:v>
      </x:c>
      <x:c r="O507" s="12" t="n">
        <x:f>IF(L507="Completed",H507*J507,0)</x:f>
        <x:v>27000</x:v>
      </x:c>
      <x:c r="P507" s="12" t="n">
        <x:f>N507-O507</x:f>
        <x:v>12600</x:v>
      </x:c>
    </x:row>
    <x:row r="508" ht="21" customHeight="1">
      <x:c r="A508" s="7" t="n">
        <x:v>503</x:v>
      </x:c>
      <x:c r="B508" s="2" t="str">
        <x:v>TXN-00503</x:v>
      </x:c>
      <x:c r="C508" s="8" t="d">
        <x:v>2025-05-01T00:00:00.000Z</x:v>
      </x:c>
      <x:c r="D508" s="2" t="str">
        <x:v>Kano</x:v>
      </x:c>
      <x:c r="E508" s="2" t="str">
        <x:v>Fashion</x:v>
      </x:c>
      <x:c r="F508" s="2" t="str">
        <x:v>Sneakers</x:v>
      </x:c>
      <x:c r="G508" s="2" t="str">
        <x:v>In-store</x:v>
      </x:c>
      <x:c r="H508" s="7" t="n">
        <x:v>1</x:v>
      </x:c>
      <x:c r="I508" s="9" t="n">
        <x:v>28000</x:v>
      </x:c>
      <x:c r="J508" s="9" t="n">
        <x:v>17500</x:v>
      </x:c>
      <x:c r="K508" s="10" t="n">
        <x:v>0</x:v>
      </x:c>
      <x:c r="L508" s="2" t="str">
        <x:v>Completed</x:v>
      </x:c>
      <x:c r="M508" s="12" t="n">
        <x:f>H508*I508</x:f>
        <x:v>28000</x:v>
      </x:c>
      <x:c r="N508" s="12" t="n">
        <x:f>IF(L508="Completed",ROUND(M508*(1-K508),2),0)</x:f>
        <x:v>28000</x:v>
      </x:c>
      <x:c r="O508" s="12" t="n">
        <x:f>IF(L508="Completed",H508*J508,0)</x:f>
        <x:v>17500</x:v>
      </x:c>
      <x:c r="P508" s="12" t="n">
        <x:f>N508-O508</x:f>
        <x:v>10500</x:v>
      </x:c>
    </x:row>
    <x:row r="509" ht="21" customHeight="1">
      <x:c r="A509" s="7" t="n">
        <x:v>504</x:v>
      </x:c>
      <x:c r="B509" s="2" t="str">
        <x:v>TXN-00504</x:v>
      </x:c>
      <x:c r="C509" s="8" t="d">
        <x:v>2025-05-09T00:00:00.000Z</x:v>
      </x:c>
      <x:c r="D509" s="2" t="str">
        <x:v>Lagos</x:v>
      </x:c>
      <x:c r="E509" s="2" t="str">
        <x:v>Home</x:v>
      </x:c>
      <x:c r="F509" s="2" t="str">
        <x:v>Cookware set</x:v>
      </x:c>
      <x:c r="G509" s="2" t="str">
        <x:v>In-store</x:v>
      </x:c>
      <x:c r="H509" s="7" t="n">
        <x:v>2</x:v>
      </x:c>
      <x:c r="I509" s="9" t="n">
        <x:v>35000</x:v>
      </x:c>
      <x:c r="J509" s="9" t="n">
        <x:v>22500</x:v>
      </x:c>
      <x:c r="K509" s="10" t="n">
        <x:v>0.05</x:v>
      </x:c>
      <x:c r="L509" s="2" t="str">
        <x:v>Completed</x:v>
      </x:c>
      <x:c r="M509" s="12" t="n">
        <x:f>H509*I509</x:f>
        <x:v>70000</x:v>
      </x:c>
      <x:c r="N509" s="12" t="n">
        <x:f>IF(L509="Completed",ROUND(M509*(1-K509),2),0)</x:f>
        <x:v>66500</x:v>
      </x:c>
      <x:c r="O509" s="12" t="n">
        <x:f>IF(L509="Completed",H509*J509,0)</x:f>
        <x:v>45000</x:v>
      </x:c>
      <x:c r="P509" s="12" t="n">
        <x:f>N509-O509</x:f>
        <x:v>21500</x:v>
      </x:c>
    </x:row>
    <x:row r="510" ht="21" customHeight="1">
      <x:c r="A510" s="7" t="n">
        <x:v>505</x:v>
      </x:c>
      <x:c r="B510" s="2" t="str">
        <x:v>TXN-00505</x:v>
      </x:c>
      <x:c r="C510" s="8" t="d">
        <x:v>2025-05-29T00:00:00.000Z</x:v>
      </x:c>
      <x:c r="D510" s="2" t="str">
        <x:v>Abuja</x:v>
      </x:c>
      <x:c r="E510" s="2" t="str">
        <x:v>Fashion</x:v>
      </x:c>
      <x:c r="F510" s="2" t="str">
        <x:v>Sneakers</x:v>
      </x:c>
      <x:c r="G510" s="2" t="str">
        <x:v>Online</x:v>
      </x:c>
      <x:c r="H510" s="7" t="n">
        <x:v>1</x:v>
      </x:c>
      <x:c r="I510" s="9" t="n">
        <x:v>28000</x:v>
      </x:c>
      <x:c r="J510" s="9" t="n">
        <x:v>17500</x:v>
      </x:c>
      <x:c r="K510" s="10" t="n">
        <x:v>0</x:v>
      </x:c>
      <x:c r="L510" s="2" t="str">
        <x:v>Completed</x:v>
      </x:c>
      <x:c r="M510" s="12" t="n">
        <x:f>H510*I510</x:f>
        <x:v>28000</x:v>
      </x:c>
      <x:c r="N510" s="12" t="n">
        <x:f>IF(L510="Completed",ROUND(M510*(1-K510),2),0)</x:f>
        <x:v>28000</x:v>
      </x:c>
      <x:c r="O510" s="12" t="n">
        <x:f>IF(L510="Completed",H510*J510,0)</x:f>
        <x:v>17500</x:v>
      </x:c>
      <x:c r="P510" s="12" t="n">
        <x:f>N510-O510</x:f>
        <x:v>10500</x:v>
      </x:c>
    </x:row>
    <x:row r="511" ht="21" customHeight="1">
      <x:c r="A511" s="7" t="n">
        <x:v>506</x:v>
      </x:c>
      <x:c r="B511" s="2" t="str">
        <x:v>TXN-00506</x:v>
      </x:c>
      <x:c r="C511" s="8" t="d">
        <x:v>2025-05-11T00:00:00.000Z</x:v>
      </x:c>
      <x:c r="D511" s="2" t="str">
        <x:v>Abuja</x:v>
      </x:c>
      <x:c r="E511" s="2" t="str">
        <x:v>Fashion</x:v>
      </x:c>
      <x:c r="F511" s="2" t="str">
        <x:v>Sneakers</x:v>
      </x:c>
      <x:c r="G511" s="2" t="str">
        <x:v>In-store</x:v>
      </x:c>
      <x:c r="H511" s="7" t="n">
        <x:v>1</x:v>
      </x:c>
      <x:c r="I511" s="9" t="n">
        <x:v>28000</x:v>
      </x:c>
      <x:c r="J511" s="9" t="n">
        <x:v>17500</x:v>
      </x:c>
      <x:c r="K511" s="10" t="n">
        <x:v>0</x:v>
      </x:c>
      <x:c r="L511" s="2" t="str">
        <x:v>Completed</x:v>
      </x:c>
      <x:c r="M511" s="12" t="n">
        <x:f>H511*I511</x:f>
        <x:v>28000</x:v>
      </x:c>
      <x:c r="N511" s="12" t="n">
        <x:f>IF(L511="Completed",ROUND(M511*(1-K511),2),0)</x:f>
        <x:v>28000</x:v>
      </x:c>
      <x:c r="O511" s="12" t="n">
        <x:f>IF(L511="Completed",H511*J511,0)</x:f>
        <x:v>17500</x:v>
      </x:c>
      <x:c r="P511" s="12" t="n">
        <x:f>N511-O511</x:f>
        <x:v>10500</x:v>
      </x:c>
    </x:row>
    <x:row r="512" ht="21" customHeight="1">
      <x:c r="A512" s="7" t="n">
        <x:v>507</x:v>
      </x:c>
      <x:c r="B512" s="2" t="str">
        <x:v>TXN-00507</x:v>
      </x:c>
      <x:c r="C512" s="8" t="d">
        <x:v>2025-05-04T00:00:00.000Z</x:v>
      </x:c>
      <x:c r="D512" s="2" t="str">
        <x:v>Lagos</x:v>
      </x:c>
      <x:c r="E512" s="2" t="str">
        <x:v>Electronics</x:v>
      </x:c>
      <x:c r="F512" s="2" t="str">
        <x:v>Bluetooth speaker</x:v>
      </x:c>
      <x:c r="G512" s="2" t="str">
        <x:v>Online</x:v>
      </x:c>
      <x:c r="H512" s="7" t="n">
        <x:v>2</x:v>
      </x:c>
      <x:c r="I512" s="9" t="n">
        <x:v>26000</x:v>
      </x:c>
      <x:c r="J512" s="9" t="n">
        <x:v>17000</x:v>
      </x:c>
      <x:c r="K512" s="10" t="n">
        <x:v>0</x:v>
      </x:c>
      <x:c r="L512" s="2" t="str">
        <x:v>Completed</x:v>
      </x:c>
      <x:c r="M512" s="12" t="n">
        <x:f>H512*I512</x:f>
        <x:v>52000</x:v>
      </x:c>
      <x:c r="N512" s="12" t="n">
        <x:f>IF(L512="Completed",ROUND(M512*(1-K512),2),0)</x:f>
        <x:v>52000</x:v>
      </x:c>
      <x:c r="O512" s="12" t="n">
        <x:f>IF(L512="Completed",H512*J512,0)</x:f>
        <x:v>34000</x:v>
      </x:c>
      <x:c r="P512" s="12" t="n">
        <x:f>N512-O512</x:f>
        <x:v>18000</x:v>
      </x:c>
    </x:row>
    <x:row r="513" ht="21" customHeight="1">
      <x:c r="A513" s="7" t="n">
        <x:v>508</x:v>
      </x:c>
      <x:c r="B513" s="2" t="str">
        <x:v>TXN-00508</x:v>
      </x:c>
      <x:c r="C513" s="8" t="d">
        <x:v>2025-05-23T00:00:00.000Z</x:v>
      </x:c>
      <x:c r="D513" s="2" t="str">
        <x:v>Lagos</x:v>
      </x:c>
      <x:c r="E513" s="2" t="str">
        <x:v>Fashion</x:v>
      </x:c>
      <x:c r="F513" s="2" t="str">
        <x:v>T-shirt</x:v>
      </x:c>
      <x:c r="G513" s="2" t="str">
        <x:v>In-store</x:v>
      </x:c>
      <x:c r="H513" s="7" t="n">
        <x:v>1</x:v>
      </x:c>
      <x:c r="I513" s="9" t="n">
        <x:v>9000</x:v>
      </x:c>
      <x:c r="J513" s="9" t="n">
        <x:v>5000</x:v>
      </x:c>
      <x:c r="K513" s="10" t="n">
        <x:v>0</x:v>
      </x:c>
      <x:c r="L513" s="2" t="str">
        <x:v>Completed</x:v>
      </x:c>
      <x:c r="M513" s="12" t="n">
        <x:f>H513*I513</x:f>
        <x:v>9000</x:v>
      </x:c>
      <x:c r="N513" s="12" t="n">
        <x:f>IF(L513="Completed",ROUND(M513*(1-K513),2),0)</x:f>
        <x:v>9000</x:v>
      </x:c>
      <x:c r="O513" s="12" t="n">
        <x:f>IF(L513="Completed",H513*J513,0)</x:f>
        <x:v>5000</x:v>
      </x:c>
      <x:c r="P513" s="12" t="n">
        <x:f>N513-O513</x:f>
        <x:v>4000</x:v>
      </x:c>
    </x:row>
    <x:row r="514" ht="21" customHeight="1">
      <x:c r="A514" s="7" t="n">
        <x:v>509</x:v>
      </x:c>
      <x:c r="B514" s="2" t="str">
        <x:v>TXN-00509</x:v>
      </x:c>
      <x:c r="C514" s="8" t="d">
        <x:v>2025-05-15T00:00:00.000Z</x:v>
      </x:c>
      <x:c r="D514" s="2" t="str">
        <x:v>Port Harcourt</x:v>
      </x:c>
      <x:c r="E514" s="2" t="str">
        <x:v>Home</x:v>
      </x:c>
      <x:c r="F514" s="2" t="str">
        <x:v>Bedsheet</x:v>
      </x:c>
      <x:c r="G514" s="2" t="str">
        <x:v>In-store</x:v>
      </x:c>
      <x:c r="H514" s="7" t="n">
        <x:v>4</x:v>
      </x:c>
      <x:c r="I514" s="9" t="n">
        <x:v>14000</x:v>
      </x:c>
      <x:c r="J514" s="9" t="n">
        <x:v>8500</x:v>
      </x:c>
      <x:c r="K514" s="10" t="n">
        <x:v>0.05</x:v>
      </x:c>
      <x:c r="L514" s="2" t="str">
        <x:v>Completed</x:v>
      </x:c>
      <x:c r="M514" s="12" t="n">
        <x:f>H514*I514</x:f>
        <x:v>56000</x:v>
      </x:c>
      <x:c r="N514" s="12" t="n">
        <x:f>IF(L514="Completed",ROUND(M514*(1-K514),2),0)</x:f>
        <x:v>53200</x:v>
      </x:c>
      <x:c r="O514" s="12" t="n">
        <x:f>IF(L514="Completed",H514*J514,0)</x:f>
        <x:v>34000</x:v>
      </x:c>
      <x:c r="P514" s="12" t="n">
        <x:f>N514-O514</x:f>
        <x:v>19200</x:v>
      </x:c>
    </x:row>
    <x:row r="515" ht="21" customHeight="1">
      <x:c r="A515" s="7" t="n">
        <x:v>510</x:v>
      </x:c>
      <x:c r="B515" s="2" t="str">
        <x:v>TXN-00510</x:v>
      </x:c>
      <x:c r="C515" s="8" t="d">
        <x:v>2025-05-29T00:00:00.000Z</x:v>
      </x:c>
      <x:c r="D515" s="2" t="str">
        <x:v>Lagos</x:v>
      </x:c>
      <x:c r="E515" s="2" t="str">
        <x:v>Fashion</x:v>
      </x:c>
      <x:c r="F515" s="2" t="str">
        <x:v>T-shirt</x:v>
      </x:c>
      <x:c r="G515" s="2" t="str">
        <x:v>Online</x:v>
      </x:c>
      <x:c r="H515" s="7" t="n">
        <x:v>1</x:v>
      </x:c>
      <x:c r="I515" s="9" t="n">
        <x:v>9000</x:v>
      </x:c>
      <x:c r="J515" s="9" t="n">
        <x:v>5000</x:v>
      </x:c>
      <x:c r="K515" s="10" t="n">
        <x:v>0</x:v>
      </x:c>
      <x:c r="L515" s="2" t="str">
        <x:v>Completed</x:v>
      </x:c>
      <x:c r="M515" s="12" t="n">
        <x:f>H515*I515</x:f>
        <x:v>9000</x:v>
      </x:c>
      <x:c r="N515" s="12" t="n">
        <x:f>IF(L515="Completed",ROUND(M515*(1-K515),2),0)</x:f>
        <x:v>9000</x:v>
      </x:c>
      <x:c r="O515" s="12" t="n">
        <x:f>IF(L515="Completed",H515*J515,0)</x:f>
        <x:v>5000</x:v>
      </x:c>
      <x:c r="P515" s="12" t="n">
        <x:f>N515-O515</x:f>
        <x:v>4000</x:v>
      </x:c>
    </x:row>
    <x:row r="516" ht="21" customHeight="1">
      <x:c r="A516" s="7" t="n">
        <x:v>511</x:v>
      </x:c>
      <x:c r="B516" s="2" t="str">
        <x:v>TXN-00511</x:v>
      </x:c>
      <x:c r="C516" s="8" t="d">
        <x:v>2025-05-15T00:00:00.000Z</x:v>
      </x:c>
      <x:c r="D516" s="2" t="str">
        <x:v>Port Harcourt</x:v>
      </x:c>
      <x:c r="E516" s="2" t="str">
        <x:v>Fashion</x:v>
      </x:c>
      <x:c r="F516" s="2" t="str">
        <x:v>Handbag</x:v>
      </x:c>
      <x:c r="G516" s="2" t="str">
        <x:v>In-store</x:v>
      </x:c>
      <x:c r="H516" s="7" t="n">
        <x:v>2</x:v>
      </x:c>
      <x:c r="I516" s="9" t="n">
        <x:v>22000</x:v>
      </x:c>
      <x:c r="J516" s="9" t="n">
        <x:v>13500</x:v>
      </x:c>
      <x:c r="K516" s="10" t="n">
        <x:v>0</x:v>
      </x:c>
      <x:c r="L516" s="2" t="str">
        <x:v>Completed</x:v>
      </x:c>
      <x:c r="M516" s="12" t="n">
        <x:f>H516*I516</x:f>
        <x:v>44000</x:v>
      </x:c>
      <x:c r="N516" s="12" t="n">
        <x:f>IF(L516="Completed",ROUND(M516*(1-K516),2),0)</x:f>
        <x:v>44000</x:v>
      </x:c>
      <x:c r="O516" s="12" t="n">
        <x:f>IF(L516="Completed",H516*J516,0)</x:f>
        <x:v>27000</x:v>
      </x:c>
      <x:c r="P516" s="12" t="n">
        <x:f>N516-O516</x:f>
        <x:v>17000</x:v>
      </x:c>
    </x:row>
    <x:row r="517" ht="21" customHeight="1">
      <x:c r="A517" s="7" t="n">
        <x:v>512</x:v>
      </x:c>
      <x:c r="B517" s="2" t="str">
        <x:v>TXN-00512</x:v>
      </x:c>
      <x:c r="C517" s="8" t="d">
        <x:v>2025-05-05T00:00:00.000Z</x:v>
      </x:c>
      <x:c r="D517" s="2" t="str">
        <x:v>Port Harcourt</x:v>
      </x:c>
      <x:c r="E517" s="2" t="str">
        <x:v>Beauty</x:v>
      </x:c>
      <x:c r="F517" s="2" t="str">
        <x:v>Body wash</x:v>
      </x:c>
      <x:c r="G517" s="2" t="str">
        <x:v>In-store</x:v>
      </x:c>
      <x:c r="H517" s="7" t="n">
        <x:v>2</x:v>
      </x:c>
      <x:c r="I517" s="9" t="n">
        <x:v>4500</x:v>
      </x:c>
      <x:c r="J517" s="9" t="n">
        <x:v>2300</x:v>
      </x:c>
      <x:c r="K517" s="10" t="n">
        <x:v>0</x:v>
      </x:c>
      <x:c r="L517" s="2" t="str">
        <x:v>Completed</x:v>
      </x:c>
      <x:c r="M517" s="12" t="n">
        <x:f>H517*I517</x:f>
        <x:v>9000</x:v>
      </x:c>
      <x:c r="N517" s="12" t="n">
        <x:f>IF(L517="Completed",ROUND(M517*(1-K517),2),0)</x:f>
        <x:v>9000</x:v>
      </x:c>
      <x:c r="O517" s="12" t="n">
        <x:f>IF(L517="Completed",H517*J517,0)</x:f>
        <x:v>4600</x:v>
      </x:c>
      <x:c r="P517" s="12" t="n">
        <x:f>N517-O517</x:f>
        <x:v>4400</x:v>
      </x:c>
    </x:row>
    <x:row r="518" ht="21" customHeight="1">
      <x:c r="A518" s="7" t="n">
        <x:v>513</x:v>
      </x:c>
      <x:c r="B518" s="2" t="str">
        <x:v>TXN-00513</x:v>
      </x:c>
      <x:c r="C518" s="8" t="d">
        <x:v>2025-05-06T00:00:00.000Z</x:v>
      </x:c>
      <x:c r="D518" s="2" t="str">
        <x:v>Lagos</x:v>
      </x:c>
      <x:c r="E518" s="2" t="str">
        <x:v>Home</x:v>
      </x:c>
      <x:c r="F518" s="2" t="str">
        <x:v>Bedsheet</x:v>
      </x:c>
      <x:c r="G518" s="2" t="str">
        <x:v>Online</x:v>
      </x:c>
      <x:c r="H518" s="7" t="n">
        <x:v>2</x:v>
      </x:c>
      <x:c r="I518" s="9" t="n">
        <x:v>14000</x:v>
      </x:c>
      <x:c r="J518" s="9" t="n">
        <x:v>8500</x:v>
      </x:c>
      <x:c r="K518" s="10" t="n">
        <x:v>0</x:v>
      </x:c>
      <x:c r="L518" s="2" t="str">
        <x:v>Completed</x:v>
      </x:c>
      <x:c r="M518" s="12" t="n">
        <x:f>H518*I518</x:f>
        <x:v>28000</x:v>
      </x:c>
      <x:c r="N518" s="12" t="n">
        <x:f>IF(L518="Completed",ROUND(M518*(1-K518),2),0)</x:f>
        <x:v>28000</x:v>
      </x:c>
      <x:c r="O518" s="12" t="n">
        <x:f>IF(L518="Completed",H518*J518,0)</x:f>
        <x:v>17000</x:v>
      </x:c>
      <x:c r="P518" s="12" t="n">
        <x:f>N518-O518</x:f>
        <x:v>11000</x:v>
      </x:c>
    </x:row>
    <x:row r="519" ht="21" customHeight="1">
      <x:c r="A519" s="7" t="n">
        <x:v>514</x:v>
      </x:c>
      <x:c r="B519" s="2" t="str">
        <x:v>TXN-00514</x:v>
      </x:c>
      <x:c r="C519" s="8" t="d">
        <x:v>2025-05-05T00:00:00.000Z</x:v>
      </x:c>
      <x:c r="D519" s="2" t="str">
        <x:v>Lagos</x:v>
      </x:c>
      <x:c r="E519" s="2" t="str">
        <x:v>Fashion</x:v>
      </x:c>
      <x:c r="F519" s="2" t="str">
        <x:v>Handbag</x:v>
      </x:c>
      <x:c r="G519" s="2" t="str">
        <x:v>Online</x:v>
      </x:c>
      <x:c r="H519" s="7" t="n">
        <x:v>1</x:v>
      </x:c>
      <x:c r="I519" s="9" t="n">
        <x:v>22000</x:v>
      </x:c>
      <x:c r="J519" s="9" t="n">
        <x:v>13500</x:v>
      </x:c>
      <x:c r="K519" s="10" t="n">
        <x:v>0</x:v>
      </x:c>
      <x:c r="L519" s="2" t="str">
        <x:v>Completed</x:v>
      </x:c>
      <x:c r="M519" s="12" t="n">
        <x:f>H519*I519</x:f>
        <x:v>22000</x:v>
      </x:c>
      <x:c r="N519" s="12" t="n">
        <x:f>IF(L519="Completed",ROUND(M519*(1-K519),2),0)</x:f>
        <x:v>22000</x:v>
      </x:c>
      <x:c r="O519" s="12" t="n">
        <x:f>IF(L519="Completed",H519*J519,0)</x:f>
        <x:v>13500</x:v>
      </x:c>
      <x:c r="P519" s="12" t="n">
        <x:f>N519-O519</x:f>
        <x:v>8500</x:v>
      </x:c>
    </x:row>
    <x:row r="520" ht="21" customHeight="1">
      <x:c r="A520" s="7" t="n">
        <x:v>515</x:v>
      </x:c>
      <x:c r="B520" s="2" t="str">
        <x:v>TXN-00515</x:v>
      </x:c>
      <x:c r="C520" s="8" t="d">
        <x:v>2025-05-18T00:00:00.000Z</x:v>
      </x:c>
      <x:c r="D520" s="2" t="str">
        <x:v>Lagos</x:v>
      </x:c>
      <x:c r="E520" s="2" t="str">
        <x:v>Beauty</x:v>
      </x:c>
      <x:c r="F520" s="2" t="str">
        <x:v>Perfume</x:v>
      </x:c>
      <x:c r="G520" s="2" t="str">
        <x:v>In-store</x:v>
      </x:c>
      <x:c r="H520" s="7" t="n">
        <x:v>1</x:v>
      </x:c>
      <x:c r="I520" s="9" t="n">
        <x:v>17000</x:v>
      </x:c>
      <x:c r="J520" s="9" t="n">
        <x:v>9000</x:v>
      </x:c>
      <x:c r="K520" s="10" t="n">
        <x:v>0.1</x:v>
      </x:c>
      <x:c r="L520" s="2" t="str">
        <x:v>Completed</x:v>
      </x:c>
      <x:c r="M520" s="12" t="n">
        <x:f>H520*I520</x:f>
        <x:v>17000</x:v>
      </x:c>
      <x:c r="N520" s="12" t="n">
        <x:f>IF(L520="Completed",ROUND(M520*(1-K520),2),0)</x:f>
        <x:v>15300</x:v>
      </x:c>
      <x:c r="O520" s="12" t="n">
        <x:f>IF(L520="Completed",H520*J520,0)</x:f>
        <x:v>9000</x:v>
      </x:c>
      <x:c r="P520" s="12" t="n">
        <x:f>N520-O520</x:f>
        <x:v>6300</x:v>
      </x:c>
    </x:row>
    <x:row r="521" ht="21" customHeight="1">
      <x:c r="A521" s="7" t="n">
        <x:v>516</x:v>
      </x:c>
      <x:c r="B521" s="2" t="str">
        <x:v>TXN-00516</x:v>
      </x:c>
      <x:c r="C521" s="8" t="d">
        <x:v>2025-05-28T00:00:00.000Z</x:v>
      </x:c>
      <x:c r="D521" s="2" t="str">
        <x:v>Abuja</x:v>
      </x:c>
      <x:c r="E521" s="2" t="str">
        <x:v>Electronics</x:v>
      </x:c>
      <x:c r="F521" s="2" t="str">
        <x:v>Bluetooth speaker</x:v>
      </x:c>
      <x:c r="G521" s="2" t="str">
        <x:v>Online</x:v>
      </x:c>
      <x:c r="H521" s="7" t="n">
        <x:v>2</x:v>
      </x:c>
      <x:c r="I521" s="9" t="n">
        <x:v>26000</x:v>
      </x:c>
      <x:c r="J521" s="9" t="n">
        <x:v>17000</x:v>
      </x:c>
      <x:c r="K521" s="10" t="n">
        <x:v>0</x:v>
      </x:c>
      <x:c r="L521" s="2" t="str">
        <x:v>Completed</x:v>
      </x:c>
      <x:c r="M521" s="12" t="n">
        <x:f>H521*I521</x:f>
        <x:v>52000</x:v>
      </x:c>
      <x:c r="N521" s="12" t="n">
        <x:f>IF(L521="Completed",ROUND(M521*(1-K521),2),0)</x:f>
        <x:v>52000</x:v>
      </x:c>
      <x:c r="O521" s="12" t="n">
        <x:f>IF(L521="Completed",H521*J521,0)</x:f>
        <x:v>34000</x:v>
      </x:c>
      <x:c r="P521" s="12" t="n">
        <x:f>N521-O521</x:f>
        <x:v>18000</x:v>
      </x:c>
    </x:row>
    <x:row r="522" ht="21" customHeight="1">
      <x:c r="A522" s="7" t="n">
        <x:v>517</x:v>
      </x:c>
      <x:c r="B522" s="2" t="str">
        <x:v>TXN-00517</x:v>
      </x:c>
      <x:c r="C522" s="8" t="d">
        <x:v>2025-05-21T00:00:00.000Z</x:v>
      </x:c>
      <x:c r="D522" s="2" t="str">
        <x:v>Port Harcourt</x:v>
      </x:c>
      <x:c r="E522" s="2" t="str">
        <x:v>Beauty</x:v>
      </x:c>
      <x:c r="F522" s="2" t="str">
        <x:v>Moisturizer</x:v>
      </x:c>
      <x:c r="G522" s="2" t="str">
        <x:v>Online</x:v>
      </x:c>
      <x:c r="H522" s="7" t="n">
        <x:v>1</x:v>
      </x:c>
      <x:c r="I522" s="9" t="n">
        <x:v>6500</x:v>
      </x:c>
      <x:c r="J522" s="9" t="n">
        <x:v>3500</x:v>
      </x:c>
      <x:c r="K522" s="10" t="n">
        <x:v>0</x:v>
      </x:c>
      <x:c r="L522" s="2" t="str">
        <x:v>Completed</x:v>
      </x:c>
      <x:c r="M522" s="12" t="n">
        <x:f>H522*I522</x:f>
        <x:v>6500</x:v>
      </x:c>
      <x:c r="N522" s="12" t="n">
        <x:f>IF(L522="Completed",ROUND(M522*(1-K522),2),0)</x:f>
        <x:v>6500</x:v>
      </x:c>
      <x:c r="O522" s="12" t="n">
        <x:f>IF(L522="Completed",H522*J522,0)</x:f>
        <x:v>3500</x:v>
      </x:c>
      <x:c r="P522" s="12" t="n">
        <x:f>N522-O522</x:f>
        <x:v>3000</x:v>
      </x:c>
    </x:row>
    <x:row r="523" ht="21" customHeight="1">
      <x:c r="A523" s="7" t="n">
        <x:v>518</x:v>
      </x:c>
      <x:c r="B523" s="2" t="str">
        <x:v>TXN-00518</x:v>
      </x:c>
      <x:c r="C523" s="8" t="d">
        <x:v>2025-05-05T00:00:00.000Z</x:v>
      </x:c>
      <x:c r="D523" s="2" t="str">
        <x:v>Kano</x:v>
      </x:c>
      <x:c r="E523" s="2" t="str">
        <x:v>Beauty</x:v>
      </x:c>
      <x:c r="F523" s="2" t="str">
        <x:v>Moisturizer</x:v>
      </x:c>
      <x:c r="G523" s="2" t="str">
        <x:v>In-store</x:v>
      </x:c>
      <x:c r="H523" s="7" t="n">
        <x:v>3</x:v>
      </x:c>
      <x:c r="I523" s="9" t="n">
        <x:v>6500</x:v>
      </x:c>
      <x:c r="J523" s="9" t="n">
        <x:v>3500</x:v>
      </x:c>
      <x:c r="K523" s="10" t="n">
        <x:v>0</x:v>
      </x:c>
      <x:c r="L523" s="2" t="str">
        <x:v>Completed</x:v>
      </x:c>
      <x:c r="M523" s="12" t="n">
        <x:f>H523*I523</x:f>
        <x:v>19500</x:v>
      </x:c>
      <x:c r="N523" s="12" t="n">
        <x:f>IF(L523="Completed",ROUND(M523*(1-K523),2),0)</x:f>
        <x:v>19500</x:v>
      </x:c>
      <x:c r="O523" s="12" t="n">
        <x:f>IF(L523="Completed",H523*J523,0)</x:f>
        <x:v>10500</x:v>
      </x:c>
      <x:c r="P523" s="12" t="n">
        <x:f>N523-O523</x:f>
        <x:v>9000</x:v>
      </x:c>
    </x:row>
    <x:row r="524" ht="21" customHeight="1">
      <x:c r="A524" s="7" t="n">
        <x:v>519</x:v>
      </x:c>
      <x:c r="B524" s="2" t="str">
        <x:v>TXN-00519</x:v>
      </x:c>
      <x:c r="C524" s="8" t="d">
        <x:v>2025-05-26T00:00:00.000Z</x:v>
      </x:c>
      <x:c r="D524" s="2" t="str">
        <x:v>Abuja</x:v>
      </x:c>
      <x:c r="E524" s="2" t="str">
        <x:v>Electronics</x:v>
      </x:c>
      <x:c r="F524" s="2" t="str">
        <x:v>Power bank</x:v>
      </x:c>
      <x:c r="G524" s="2" t="str">
        <x:v>Online</x:v>
      </x:c>
      <x:c r="H524" s="7" t="n">
        <x:v>2</x:v>
      </x:c>
      <x:c r="I524" s="9" t="n">
        <x:v>15000</x:v>
      </x:c>
      <x:c r="J524" s="9" t="n">
        <x:v>9500</x:v>
      </x:c>
      <x:c r="K524" s="10" t="n">
        <x:v>0.05</x:v>
      </x:c>
      <x:c r="L524" s="2" t="str">
        <x:v>Completed</x:v>
      </x:c>
      <x:c r="M524" s="12" t="n">
        <x:f>H524*I524</x:f>
        <x:v>30000</x:v>
      </x:c>
      <x:c r="N524" s="12" t="n">
        <x:f>IF(L524="Completed",ROUND(M524*(1-K524),2),0)</x:f>
        <x:v>28500</x:v>
      </x:c>
      <x:c r="O524" s="12" t="n">
        <x:f>IF(L524="Completed",H524*J524,0)</x:f>
        <x:v>19000</x:v>
      </x:c>
      <x:c r="P524" s="12" t="n">
        <x:f>N524-O524</x:f>
        <x:v>9500</x:v>
      </x:c>
    </x:row>
    <x:row r="525" ht="21" customHeight="1">
      <x:c r="A525" s="7" t="n">
        <x:v>520</x:v>
      </x:c>
      <x:c r="B525" s="2" t="str">
        <x:v>TXN-00520</x:v>
      </x:c>
      <x:c r="C525" s="8" t="d">
        <x:v>2025-05-29T00:00:00.000Z</x:v>
      </x:c>
      <x:c r="D525" s="2" t="str">
        <x:v>Kano</x:v>
      </x:c>
      <x:c r="E525" s="2" t="str">
        <x:v>Electronics</x:v>
      </x:c>
      <x:c r="F525" s="2" t="str">
        <x:v>Headphones</x:v>
      </x:c>
      <x:c r="G525" s="2" t="str">
        <x:v>Online</x:v>
      </x:c>
      <x:c r="H525" s="7" t="n">
        <x:v>1</x:v>
      </x:c>
      <x:c r="I525" s="9" t="n">
        <x:v>18000</x:v>
      </x:c>
      <x:c r="J525" s="9" t="n">
        <x:v>10500</x:v>
      </x:c>
      <x:c r="K525" s="10" t="n">
        <x:v>0</x:v>
      </x:c>
      <x:c r="L525" s="2" t="str">
        <x:v>Completed</x:v>
      </x:c>
      <x:c r="M525" s="12" t="n">
        <x:f>H525*I525</x:f>
        <x:v>18000</x:v>
      </x:c>
      <x:c r="N525" s="12" t="n">
        <x:f>IF(L525="Completed",ROUND(M525*(1-K525),2),0)</x:f>
        <x:v>18000</x:v>
      </x:c>
      <x:c r="O525" s="12" t="n">
        <x:f>IF(L525="Completed",H525*J525,0)</x:f>
        <x:v>10500</x:v>
      </x:c>
      <x:c r="P525" s="12" t="n">
        <x:f>N525-O525</x:f>
        <x:v>7500</x:v>
      </x:c>
    </x:row>
    <x:row r="526" ht="21" customHeight="1">
      <x:c r="A526" s="7" t="n">
        <x:v>521</x:v>
      </x:c>
      <x:c r="B526" s="2" t="str">
        <x:v>TXN-00521</x:v>
      </x:c>
      <x:c r="C526" s="8" t="d">
        <x:v>2025-05-25T00:00:00.000Z</x:v>
      </x:c>
      <x:c r="D526" s="2" t="str">
        <x:v>Abuja</x:v>
      </x:c>
      <x:c r="E526" s="2" t="str">
        <x:v>Fashion</x:v>
      </x:c>
      <x:c r="F526" s="2" t="str">
        <x:v>Sneakers</x:v>
      </x:c>
      <x:c r="G526" s="2" t="str">
        <x:v>Online</x:v>
      </x:c>
      <x:c r="H526" s="7" t="n">
        <x:v>1</x:v>
      </x:c>
      <x:c r="I526" s="9" t="n">
        <x:v>28000</x:v>
      </x:c>
      <x:c r="J526" s="9" t="n">
        <x:v>17500</x:v>
      </x:c>
      <x:c r="K526" s="10" t="n">
        <x:v>0</x:v>
      </x:c>
      <x:c r="L526" s="2" t="str">
        <x:v>Completed</x:v>
      </x:c>
      <x:c r="M526" s="12" t="n">
        <x:f>H526*I526</x:f>
        <x:v>28000</x:v>
      </x:c>
      <x:c r="N526" s="12" t="n">
        <x:f>IF(L526="Completed",ROUND(M526*(1-K526),2),0)</x:f>
        <x:v>28000</x:v>
      </x:c>
      <x:c r="O526" s="12" t="n">
        <x:f>IF(L526="Completed",H526*J526,0)</x:f>
        <x:v>17500</x:v>
      </x:c>
      <x:c r="P526" s="12" t="n">
        <x:f>N526-O526</x:f>
        <x:v>10500</x:v>
      </x:c>
    </x:row>
    <x:row r="527" ht="21" customHeight="1">
      <x:c r="A527" s="7" t="n">
        <x:v>522</x:v>
      </x:c>
      <x:c r="B527" s="2" t="str">
        <x:v>TXN-00522</x:v>
      </x:c>
      <x:c r="C527" s="8" t="d">
        <x:v>2025-05-22T00:00:00.000Z</x:v>
      </x:c>
      <x:c r="D527" s="2" t="str">
        <x:v>Abuja</x:v>
      </x:c>
      <x:c r="E527" s="2" t="str">
        <x:v>Beauty</x:v>
      </x:c>
      <x:c r="F527" s="2" t="str">
        <x:v>Perfume</x:v>
      </x:c>
      <x:c r="G527" s="2" t="str">
        <x:v>Online</x:v>
      </x:c>
      <x:c r="H527" s="7" t="n">
        <x:v>1</x:v>
      </x:c>
      <x:c r="I527" s="9" t="n">
        <x:v>17000</x:v>
      </x:c>
      <x:c r="J527" s="9" t="n">
        <x:v>9000</x:v>
      </x:c>
      <x:c r="K527" s="10" t="n">
        <x:v>0.1</x:v>
      </x:c>
      <x:c r="L527" s="2" t="str">
        <x:v>Completed</x:v>
      </x:c>
      <x:c r="M527" s="12" t="n">
        <x:f>H527*I527</x:f>
        <x:v>17000</x:v>
      </x:c>
      <x:c r="N527" s="12" t="n">
        <x:f>IF(L527="Completed",ROUND(M527*(1-K527),2),0)</x:f>
        <x:v>15300</x:v>
      </x:c>
      <x:c r="O527" s="12" t="n">
        <x:f>IF(L527="Completed",H527*J527,0)</x:f>
        <x:v>9000</x:v>
      </x:c>
      <x:c r="P527" s="12" t="n">
        <x:f>N527-O527</x:f>
        <x:v>6300</x:v>
      </x:c>
    </x:row>
    <x:row r="528" ht="21" customHeight="1">
      <x:c r="A528" s="7" t="n">
        <x:v>523</x:v>
      </x:c>
      <x:c r="B528" s="2" t="str">
        <x:v>TXN-00523</x:v>
      </x:c>
      <x:c r="C528" s="8" t="d">
        <x:v>2025-05-06T00:00:00.000Z</x:v>
      </x:c>
      <x:c r="D528" s="2" t="str">
        <x:v>Abuja</x:v>
      </x:c>
      <x:c r="E528" s="2" t="str">
        <x:v>Fashion</x:v>
      </x:c>
      <x:c r="F528" s="2" t="str">
        <x:v>T-shirt</x:v>
      </x:c>
      <x:c r="G528" s="2" t="str">
        <x:v>Online</x:v>
      </x:c>
      <x:c r="H528" s="7" t="n">
        <x:v>3</x:v>
      </x:c>
      <x:c r="I528" s="9" t="n">
        <x:v>9000</x:v>
      </x:c>
      <x:c r="J528" s="9" t="n">
        <x:v>5000</x:v>
      </x:c>
      <x:c r="K528" s="10" t="n">
        <x:v>0</x:v>
      </x:c>
      <x:c r="L528" s="2" t="str">
        <x:v>Completed</x:v>
      </x:c>
      <x:c r="M528" s="12" t="n">
        <x:f>H528*I528</x:f>
        <x:v>27000</x:v>
      </x:c>
      <x:c r="N528" s="12" t="n">
        <x:f>IF(L528="Completed",ROUND(M528*(1-K528),2),0)</x:f>
        <x:v>27000</x:v>
      </x:c>
      <x:c r="O528" s="12" t="n">
        <x:f>IF(L528="Completed",H528*J528,0)</x:f>
        <x:v>15000</x:v>
      </x:c>
      <x:c r="P528" s="12" t="n">
        <x:f>N528-O528</x:f>
        <x:v>12000</x:v>
      </x:c>
    </x:row>
    <x:row r="529" ht="21" customHeight="1">
      <x:c r="A529" s="7" t="n">
        <x:v>524</x:v>
      </x:c>
      <x:c r="B529" s="2" t="str">
        <x:v>TXN-00524</x:v>
      </x:c>
      <x:c r="C529" s="8" t="d">
        <x:v>2025-05-01T00:00:00.000Z</x:v>
      </x:c>
      <x:c r="D529" s="2" t="str">
        <x:v>Abuja</x:v>
      </x:c>
      <x:c r="E529" s="2" t="str">
        <x:v>Beauty</x:v>
      </x:c>
      <x:c r="F529" s="2" t="str">
        <x:v>Moisturizer</x:v>
      </x:c>
      <x:c r="G529" s="2" t="str">
        <x:v>Online</x:v>
      </x:c>
      <x:c r="H529" s="7" t="n">
        <x:v>3</x:v>
      </x:c>
      <x:c r="I529" s="9" t="n">
        <x:v>6500</x:v>
      </x:c>
      <x:c r="J529" s="9" t="n">
        <x:v>3500</x:v>
      </x:c>
      <x:c r="K529" s="10" t="n">
        <x:v>0</x:v>
      </x:c>
      <x:c r="L529" s="2" t="str">
        <x:v>Completed</x:v>
      </x:c>
      <x:c r="M529" s="12" t="n">
        <x:f>H529*I529</x:f>
        <x:v>19500</x:v>
      </x:c>
      <x:c r="N529" s="12" t="n">
        <x:f>IF(L529="Completed",ROUND(M529*(1-K529),2),0)</x:f>
        <x:v>19500</x:v>
      </x:c>
      <x:c r="O529" s="12" t="n">
        <x:f>IF(L529="Completed",H529*J529,0)</x:f>
        <x:v>10500</x:v>
      </x:c>
      <x:c r="P529" s="12" t="n">
        <x:f>N529-O529</x:f>
        <x:v>9000</x:v>
      </x:c>
    </x:row>
    <x:row r="530" ht="21" customHeight="1">
      <x:c r="A530" s="7" t="n">
        <x:v>525</x:v>
      </x:c>
      <x:c r="B530" s="2" t="str">
        <x:v>TXN-00525</x:v>
      </x:c>
      <x:c r="C530" s="8" t="d">
        <x:v>2025-05-27T00:00:00.000Z</x:v>
      </x:c>
      <x:c r="D530" s="2" t="str">
        <x:v>Port Harcourt</x:v>
      </x:c>
      <x:c r="E530" s="2" t="str">
        <x:v>Fashion</x:v>
      </x:c>
      <x:c r="F530" s="2" t="str">
        <x:v>Sneakers</x:v>
      </x:c>
      <x:c r="G530" s="2" t="str">
        <x:v>Online</x:v>
      </x:c>
      <x:c r="H530" s="7" t="n">
        <x:v>2</x:v>
      </x:c>
      <x:c r="I530" s="9" t="n">
        <x:v>28000</x:v>
      </x:c>
      <x:c r="J530" s="9" t="n">
        <x:v>17500</x:v>
      </x:c>
      <x:c r="K530" s="10" t="n">
        <x:v>0.15</x:v>
      </x:c>
      <x:c r="L530" s="2" t="str">
        <x:v>Completed</x:v>
      </x:c>
      <x:c r="M530" s="12" t="n">
        <x:f>H530*I530</x:f>
        <x:v>56000</x:v>
      </x:c>
      <x:c r="N530" s="12" t="n">
        <x:f>IF(L530="Completed",ROUND(M530*(1-K530),2),0)</x:f>
        <x:v>47600</x:v>
      </x:c>
      <x:c r="O530" s="12" t="n">
        <x:f>IF(L530="Completed",H530*J530,0)</x:f>
        <x:v>35000</x:v>
      </x:c>
      <x:c r="P530" s="12" t="n">
        <x:f>N530-O530</x:f>
        <x:v>12600</x:v>
      </x:c>
    </x:row>
    <x:row r="531" ht="21" customHeight="1">
      <x:c r="A531" s="7" t="n">
        <x:v>526</x:v>
      </x:c>
      <x:c r="B531" s="2" t="str">
        <x:v>TXN-00526</x:v>
      </x:c>
      <x:c r="C531" s="8" t="d">
        <x:v>2025-05-04T00:00:00.000Z</x:v>
      </x:c>
      <x:c r="D531" s="2" t="str">
        <x:v>Kano</x:v>
      </x:c>
      <x:c r="E531" s="2" t="str">
        <x:v>Fashion</x:v>
      </x:c>
      <x:c r="F531" s="2" t="str">
        <x:v>Handbag</x:v>
      </x:c>
      <x:c r="G531" s="2" t="str">
        <x:v>In-store</x:v>
      </x:c>
      <x:c r="H531" s="7" t="n">
        <x:v>1</x:v>
      </x:c>
      <x:c r="I531" s="9" t="n">
        <x:v>22000</x:v>
      </x:c>
      <x:c r="J531" s="9" t="n">
        <x:v>13500</x:v>
      </x:c>
      <x:c r="K531" s="10" t="n">
        <x:v>0</x:v>
      </x:c>
      <x:c r="L531" s="2" t="str">
        <x:v>Completed</x:v>
      </x:c>
      <x:c r="M531" s="12" t="n">
        <x:f>H531*I531</x:f>
        <x:v>22000</x:v>
      </x:c>
      <x:c r="N531" s="12" t="n">
        <x:f>IF(L531="Completed",ROUND(M531*(1-K531),2),0)</x:f>
        <x:v>22000</x:v>
      </x:c>
      <x:c r="O531" s="12" t="n">
        <x:f>IF(L531="Completed",H531*J531,0)</x:f>
        <x:v>13500</x:v>
      </x:c>
      <x:c r="P531" s="12" t="n">
        <x:f>N531-O531</x:f>
        <x:v>8500</x:v>
      </x:c>
    </x:row>
    <x:row r="532" ht="21" customHeight="1">
      <x:c r="A532" s="7" t="n">
        <x:v>527</x:v>
      </x:c>
      <x:c r="B532" s="2" t="str">
        <x:v>TXN-00527</x:v>
      </x:c>
      <x:c r="C532" s="8" t="d">
        <x:v>2025-05-18T00:00:00.000Z</x:v>
      </x:c>
      <x:c r="D532" s="2" t="str">
        <x:v>Abuja</x:v>
      </x:c>
      <x:c r="E532" s="2" t="str">
        <x:v>Beauty</x:v>
      </x:c>
      <x:c r="F532" s="2" t="str">
        <x:v>Moisturizer</x:v>
      </x:c>
      <x:c r="G532" s="2" t="str">
        <x:v>Online</x:v>
      </x:c>
      <x:c r="H532" s="7" t="n">
        <x:v>1</x:v>
      </x:c>
      <x:c r="I532" s="9" t="n">
        <x:v>6500</x:v>
      </x:c>
      <x:c r="J532" s="9" t="n">
        <x:v>3500</x:v>
      </x:c>
      <x:c r="K532" s="10" t="n">
        <x:v>0.15</x:v>
      </x:c>
      <x:c r="L532" s="2" t="str">
        <x:v>Completed</x:v>
      </x:c>
      <x:c r="M532" s="12" t="n">
        <x:f>H532*I532</x:f>
        <x:v>6500</x:v>
      </x:c>
      <x:c r="N532" s="12" t="n">
        <x:f>IF(L532="Completed",ROUND(M532*(1-K532),2),0)</x:f>
        <x:v>5525</x:v>
      </x:c>
      <x:c r="O532" s="12" t="n">
        <x:f>IF(L532="Completed",H532*J532,0)</x:f>
        <x:v>3500</x:v>
      </x:c>
      <x:c r="P532" s="12" t="n">
        <x:f>N532-O532</x:f>
        <x:v>2025</x:v>
      </x:c>
    </x:row>
    <x:row r="533" ht="21" customHeight="1">
      <x:c r="A533" s="7" t="n">
        <x:v>528</x:v>
      </x:c>
      <x:c r="B533" s="2" t="str">
        <x:v>TXN-00528</x:v>
      </x:c>
      <x:c r="C533" s="8" t="d">
        <x:v>2025-05-02T00:00:00.000Z</x:v>
      </x:c>
      <x:c r="D533" s="2" t="str">
        <x:v>Lagos</x:v>
      </x:c>
      <x:c r="E533" s="2" t="str">
        <x:v>Beauty</x:v>
      </x:c>
      <x:c r="F533" s="2" t="str">
        <x:v>Perfume</x:v>
      </x:c>
      <x:c r="G533" s="2" t="str">
        <x:v>Online</x:v>
      </x:c>
      <x:c r="H533" s="7" t="n">
        <x:v>1</x:v>
      </x:c>
      <x:c r="I533" s="9" t="n">
        <x:v>17000</x:v>
      </x:c>
      <x:c r="J533" s="9" t="n">
        <x:v>9000</x:v>
      </x:c>
      <x:c r="K533" s="10" t="n">
        <x:v>0</x:v>
      </x:c>
      <x:c r="L533" s="2" t="str">
        <x:v>Completed</x:v>
      </x:c>
      <x:c r="M533" s="12" t="n">
        <x:f>H533*I533</x:f>
        <x:v>17000</x:v>
      </x:c>
      <x:c r="N533" s="12" t="n">
        <x:f>IF(L533="Completed",ROUND(M533*(1-K533),2),0)</x:f>
        <x:v>17000</x:v>
      </x:c>
      <x:c r="O533" s="12" t="n">
        <x:f>IF(L533="Completed",H533*J533,0)</x:f>
        <x:v>9000</x:v>
      </x:c>
      <x:c r="P533" s="12" t="n">
        <x:f>N533-O533</x:f>
        <x:v>8000</x:v>
      </x:c>
    </x:row>
    <x:row r="534" ht="21" customHeight="1">
      <x:c r="A534" s="7" t="n">
        <x:v>529</x:v>
      </x:c>
      <x:c r="B534" s="2" t="str">
        <x:v>TXN-00529</x:v>
      </x:c>
      <x:c r="C534" s="8" t="d">
        <x:v>2025-05-08T00:00:00.000Z</x:v>
      </x:c>
      <x:c r="D534" s="2" t="str">
        <x:v>Lagos</x:v>
      </x:c>
      <x:c r="E534" s="2" t="str">
        <x:v>Home</x:v>
      </x:c>
      <x:c r="F534" s="2" t="str">
        <x:v>Cookware set</x:v>
      </x:c>
      <x:c r="G534" s="2" t="str">
        <x:v>Online</x:v>
      </x:c>
      <x:c r="H534" s="7" t="n">
        <x:v>1</x:v>
      </x:c>
      <x:c r="I534" s="9" t="n">
        <x:v>35000</x:v>
      </x:c>
      <x:c r="J534" s="9" t="n">
        <x:v>22500</x:v>
      </x:c>
      <x:c r="K534" s="10" t="n">
        <x:v>0</x:v>
      </x:c>
      <x:c r="L534" s="2" t="str">
        <x:v>Completed</x:v>
      </x:c>
      <x:c r="M534" s="12" t="n">
        <x:f>H534*I534</x:f>
        <x:v>35000</x:v>
      </x:c>
      <x:c r="N534" s="12" t="n">
        <x:f>IF(L534="Completed",ROUND(M534*(1-K534),2),0)</x:f>
        <x:v>35000</x:v>
      </x:c>
      <x:c r="O534" s="12" t="n">
        <x:f>IF(L534="Completed",H534*J534,0)</x:f>
        <x:v>22500</x:v>
      </x:c>
      <x:c r="P534" s="12" t="n">
        <x:f>N534-O534</x:f>
        <x:v>12500</x:v>
      </x:c>
    </x:row>
    <x:row r="535" ht="21" customHeight="1">
      <x:c r="A535" s="7" t="n">
        <x:v>530</x:v>
      </x:c>
      <x:c r="B535" s="2" t="str">
        <x:v>TXN-00530</x:v>
      </x:c>
      <x:c r="C535" s="8" t="d">
        <x:v>2025-05-22T00:00:00.000Z</x:v>
      </x:c>
      <x:c r="D535" s="2" t="str">
        <x:v>Lagos</x:v>
      </x:c>
      <x:c r="E535" s="2" t="str">
        <x:v>Beauty</x:v>
      </x:c>
      <x:c r="F535" s="2" t="str">
        <x:v>Body wash</x:v>
      </x:c>
      <x:c r="G535" s="2" t="str">
        <x:v>In-store</x:v>
      </x:c>
      <x:c r="H535" s="7" t="n">
        <x:v>3</x:v>
      </x:c>
      <x:c r="I535" s="9" t="n">
        <x:v>4500</x:v>
      </x:c>
      <x:c r="J535" s="9" t="n">
        <x:v>2300</x:v>
      </x:c>
      <x:c r="K535" s="10" t="n">
        <x:v>0</x:v>
      </x:c>
      <x:c r="L535" s="2" t="str">
        <x:v>Completed</x:v>
      </x:c>
      <x:c r="M535" s="12" t="n">
        <x:f>H535*I535</x:f>
        <x:v>13500</x:v>
      </x:c>
      <x:c r="N535" s="12" t="n">
        <x:f>IF(L535="Completed",ROUND(M535*(1-K535),2),0)</x:f>
        <x:v>13500</x:v>
      </x:c>
      <x:c r="O535" s="12" t="n">
        <x:f>IF(L535="Completed",H535*J535,0)</x:f>
        <x:v>6900</x:v>
      </x:c>
      <x:c r="P535" s="12" t="n">
        <x:f>N535-O535</x:f>
        <x:v>6600</x:v>
      </x:c>
    </x:row>
    <x:row r="536" ht="21" customHeight="1">
      <x:c r="A536" s="7" t="n">
        <x:v>531</x:v>
      </x:c>
      <x:c r="B536" s="2" t="str">
        <x:v>TXN-00531</x:v>
      </x:c>
      <x:c r="C536" s="8" t="d">
        <x:v>2025-05-21T00:00:00.000Z</x:v>
      </x:c>
      <x:c r="D536" s="2" t="str">
        <x:v>Lagos</x:v>
      </x:c>
      <x:c r="E536" s="2" t="str">
        <x:v>Electronics</x:v>
      </x:c>
      <x:c r="F536" s="2" t="str">
        <x:v>Power bank</x:v>
      </x:c>
      <x:c r="G536" s="2" t="str">
        <x:v>In-store</x:v>
      </x:c>
      <x:c r="H536" s="7" t="n">
        <x:v>3</x:v>
      </x:c>
      <x:c r="I536" s="9" t="n">
        <x:v>15000</x:v>
      </x:c>
      <x:c r="J536" s="9" t="n">
        <x:v>9500</x:v>
      </x:c>
      <x:c r="K536" s="10" t="n">
        <x:v>0</x:v>
      </x:c>
      <x:c r="L536" s="2" t="str">
        <x:v>Completed</x:v>
      </x:c>
      <x:c r="M536" s="12" t="n">
        <x:f>H536*I536</x:f>
        <x:v>45000</x:v>
      </x:c>
      <x:c r="N536" s="12" t="n">
        <x:f>IF(L536="Completed",ROUND(M536*(1-K536),2),0)</x:f>
        <x:v>45000</x:v>
      </x:c>
      <x:c r="O536" s="12" t="n">
        <x:f>IF(L536="Completed",H536*J536,0)</x:f>
        <x:v>28500</x:v>
      </x:c>
      <x:c r="P536" s="12" t="n">
        <x:f>N536-O536</x:f>
        <x:v>16500</x:v>
      </x:c>
    </x:row>
    <x:row r="537" ht="21" customHeight="1">
      <x:c r="A537" s="7" t="n">
        <x:v>532</x:v>
      </x:c>
      <x:c r="B537" s="2" t="str">
        <x:v>TXN-00532</x:v>
      </x:c>
      <x:c r="C537" s="8" t="d">
        <x:v>2025-05-09T00:00:00.000Z</x:v>
      </x:c>
      <x:c r="D537" s="2" t="str">
        <x:v>Lagos</x:v>
      </x:c>
      <x:c r="E537" s="2" t="str">
        <x:v>Fashion</x:v>
      </x:c>
      <x:c r="F537" s="2" t="str">
        <x:v>T-shirt</x:v>
      </x:c>
      <x:c r="G537" s="2" t="str">
        <x:v>In-store</x:v>
      </x:c>
      <x:c r="H537" s="7" t="n">
        <x:v>2</x:v>
      </x:c>
      <x:c r="I537" s="9" t="n">
        <x:v>9000</x:v>
      </x:c>
      <x:c r="J537" s="9" t="n">
        <x:v>5000</x:v>
      </x:c>
      <x:c r="K537" s="10" t="n">
        <x:v>0</x:v>
      </x:c>
      <x:c r="L537" s="2" t="str">
        <x:v>Returned</x:v>
      </x:c>
      <x:c r="M537" s="12" t="n">
        <x:f>H537*I537</x:f>
        <x:v>18000</x:v>
      </x:c>
      <x:c r="N537" s="12" t="n">
        <x:f>IF(L537="Completed",ROUND(M537*(1-K537),2),0)</x:f>
        <x:v>0</x:v>
      </x:c>
      <x:c r="O537" s="12" t="n">
        <x:f>IF(L537="Completed",H537*J537,0)</x:f>
        <x:v>0</x:v>
      </x:c>
      <x:c r="P537" s="12" t="n">
        <x:f>N537-O537</x:f>
        <x:v>0</x:v>
      </x:c>
    </x:row>
    <x:row r="538" ht="21" customHeight="1">
      <x:c r="A538" s="7" t="n">
        <x:v>533</x:v>
      </x:c>
      <x:c r="B538" s="2" t="str">
        <x:v>TXN-00533</x:v>
      </x:c>
      <x:c r="C538" s="8" t="d">
        <x:v>2025-05-04T00:00:00.000Z</x:v>
      </x:c>
      <x:c r="D538" s="2" t="str">
        <x:v>Port Harcourt</x:v>
      </x:c>
      <x:c r="E538" s="2" t="str">
        <x:v>Electronics</x:v>
      </x:c>
      <x:c r="F538" s="2" t="str">
        <x:v>Power bank</x:v>
      </x:c>
      <x:c r="G538" s="2" t="str">
        <x:v>Online</x:v>
      </x:c>
      <x:c r="H538" s="7" t="n">
        <x:v>2</x:v>
      </x:c>
      <x:c r="I538" s="9" t="n">
        <x:v>15000</x:v>
      </x:c>
      <x:c r="J538" s="9" t="n">
        <x:v>9500</x:v>
      </x:c>
      <x:c r="K538" s="10" t="n">
        <x:v>0</x:v>
      </x:c>
      <x:c r="L538" s="2" t="str">
        <x:v>Completed</x:v>
      </x:c>
      <x:c r="M538" s="12" t="n">
        <x:f>H538*I538</x:f>
        <x:v>30000</x:v>
      </x:c>
      <x:c r="N538" s="12" t="n">
        <x:f>IF(L538="Completed",ROUND(M538*(1-K538),2),0)</x:f>
        <x:v>30000</x:v>
      </x:c>
      <x:c r="O538" s="12" t="n">
        <x:f>IF(L538="Completed",H538*J538,0)</x:f>
        <x:v>19000</x:v>
      </x:c>
      <x:c r="P538" s="12" t="n">
        <x:f>N538-O538</x:f>
        <x:v>11000</x:v>
      </x:c>
    </x:row>
    <x:row r="539" ht="21" customHeight="1">
      <x:c r="A539" s="7" t="n">
        <x:v>534</x:v>
      </x:c>
      <x:c r="B539" s="2" t="str">
        <x:v>TXN-00534</x:v>
      </x:c>
      <x:c r="C539" s="8" t="d">
        <x:v>2025-05-07T00:00:00.000Z</x:v>
      </x:c>
      <x:c r="D539" s="2" t="str">
        <x:v>Port Harcourt</x:v>
      </x:c>
      <x:c r="E539" s="2" t="str">
        <x:v>Fashion</x:v>
      </x:c>
      <x:c r="F539" s="2" t="str">
        <x:v>Handbag</x:v>
      </x:c>
      <x:c r="G539" s="2" t="str">
        <x:v>In-store</x:v>
      </x:c>
      <x:c r="H539" s="7" t="n">
        <x:v>2</x:v>
      </x:c>
      <x:c r="I539" s="9" t="n">
        <x:v>22000</x:v>
      </x:c>
      <x:c r="J539" s="9" t="n">
        <x:v>13500</x:v>
      </x:c>
      <x:c r="K539" s="10" t="n">
        <x:v>0</x:v>
      </x:c>
      <x:c r="L539" s="2" t="str">
        <x:v>Completed</x:v>
      </x:c>
      <x:c r="M539" s="12" t="n">
        <x:f>H539*I539</x:f>
        <x:v>44000</x:v>
      </x:c>
      <x:c r="N539" s="12" t="n">
        <x:f>IF(L539="Completed",ROUND(M539*(1-K539),2),0)</x:f>
        <x:v>44000</x:v>
      </x:c>
      <x:c r="O539" s="12" t="n">
        <x:f>IF(L539="Completed",H539*J539,0)</x:f>
        <x:v>27000</x:v>
      </x:c>
      <x:c r="P539" s="12" t="n">
        <x:f>N539-O539</x:f>
        <x:v>17000</x:v>
      </x:c>
    </x:row>
    <x:row r="540" ht="21" customHeight="1">
      <x:c r="A540" s="7" t="n">
        <x:v>535</x:v>
      </x:c>
      <x:c r="B540" s="2" t="str">
        <x:v>TXN-00535</x:v>
      </x:c>
      <x:c r="C540" s="8" t="d">
        <x:v>2025-05-07T00:00:00.000Z</x:v>
      </x:c>
      <x:c r="D540" s="2" t="str">
        <x:v>Kano</x:v>
      </x:c>
      <x:c r="E540" s="2" t="str">
        <x:v>Beauty</x:v>
      </x:c>
      <x:c r="F540" s="2" t="str">
        <x:v>Perfume</x:v>
      </x:c>
      <x:c r="G540" s="2" t="str">
        <x:v>Online</x:v>
      </x:c>
      <x:c r="H540" s="7" t="n">
        <x:v>1</x:v>
      </x:c>
      <x:c r="I540" s="9" t="n">
        <x:v>17000</x:v>
      </x:c>
      <x:c r="J540" s="9" t="n">
        <x:v>9000</x:v>
      </x:c>
      <x:c r="K540" s="10" t="n">
        <x:v>0</x:v>
      </x:c>
      <x:c r="L540" s="2" t="str">
        <x:v>Completed</x:v>
      </x:c>
      <x:c r="M540" s="12" t="n">
        <x:f>H540*I540</x:f>
        <x:v>17000</x:v>
      </x:c>
      <x:c r="N540" s="12" t="n">
        <x:f>IF(L540="Completed",ROUND(M540*(1-K540),2),0)</x:f>
        <x:v>17000</x:v>
      </x:c>
      <x:c r="O540" s="12" t="n">
        <x:f>IF(L540="Completed",H540*J540,0)</x:f>
        <x:v>9000</x:v>
      </x:c>
      <x:c r="P540" s="12" t="n">
        <x:f>N540-O540</x:f>
        <x:v>8000</x:v>
      </x:c>
    </x:row>
    <x:row r="541" ht="21" customHeight="1">
      <x:c r="A541" s="7" t="n">
        <x:v>536</x:v>
      </x:c>
      <x:c r="B541" s="2" t="str">
        <x:v>TXN-00536</x:v>
      </x:c>
      <x:c r="C541" s="8" t="d">
        <x:v>2025-05-08T00:00:00.000Z</x:v>
      </x:c>
      <x:c r="D541" s="2" t="str">
        <x:v>Abuja</x:v>
      </x:c>
      <x:c r="E541" s="2" t="str">
        <x:v>Fashion</x:v>
      </x:c>
      <x:c r="F541" s="2" t="str">
        <x:v>Sneakers</x:v>
      </x:c>
      <x:c r="G541" s="2" t="str">
        <x:v>Online</x:v>
      </x:c>
      <x:c r="H541" s="7" t="n">
        <x:v>1</x:v>
      </x:c>
      <x:c r="I541" s="9" t="n">
        <x:v>28000</x:v>
      </x:c>
      <x:c r="J541" s="9" t="n">
        <x:v>17500</x:v>
      </x:c>
      <x:c r="K541" s="10" t="n">
        <x:v>0</x:v>
      </x:c>
      <x:c r="L541" s="2" t="str">
        <x:v>Completed</x:v>
      </x:c>
      <x:c r="M541" s="12" t="n">
        <x:f>H541*I541</x:f>
        <x:v>28000</x:v>
      </x:c>
      <x:c r="N541" s="12" t="n">
        <x:f>IF(L541="Completed",ROUND(M541*(1-K541),2),0)</x:f>
        <x:v>28000</x:v>
      </x:c>
      <x:c r="O541" s="12" t="n">
        <x:f>IF(L541="Completed",H541*J541,0)</x:f>
        <x:v>17500</x:v>
      </x:c>
      <x:c r="P541" s="12" t="n">
        <x:f>N541-O541</x:f>
        <x:v>10500</x:v>
      </x:c>
    </x:row>
    <x:row r="542" ht="21" customHeight="1">
      <x:c r="A542" s="7" t="n">
        <x:v>537</x:v>
      </x:c>
      <x:c r="B542" s="2" t="str">
        <x:v>TXN-00537</x:v>
      </x:c>
      <x:c r="C542" s="8" t="d">
        <x:v>2025-05-27T00:00:00.000Z</x:v>
      </x:c>
      <x:c r="D542" s="2" t="str">
        <x:v>Abuja</x:v>
      </x:c>
      <x:c r="E542" s="2" t="str">
        <x:v>Electronics</x:v>
      </x:c>
      <x:c r="F542" s="2" t="str">
        <x:v>Bluetooth speaker</x:v>
      </x:c>
      <x:c r="G542" s="2" t="str">
        <x:v>Online</x:v>
      </x:c>
      <x:c r="H542" s="7" t="n">
        <x:v>1</x:v>
      </x:c>
      <x:c r="I542" s="9" t="n">
        <x:v>26000</x:v>
      </x:c>
      <x:c r="J542" s="9" t="n">
        <x:v>17000</x:v>
      </x:c>
      <x:c r="K542" s="10" t="n">
        <x:v>0</x:v>
      </x:c>
      <x:c r="L542" s="2" t="str">
        <x:v>Completed</x:v>
      </x:c>
      <x:c r="M542" s="12" t="n">
        <x:f>H542*I542</x:f>
        <x:v>26000</x:v>
      </x:c>
      <x:c r="N542" s="12" t="n">
        <x:f>IF(L542="Completed",ROUND(M542*(1-K542),2),0)</x:f>
        <x:v>26000</x:v>
      </x:c>
      <x:c r="O542" s="12" t="n">
        <x:f>IF(L542="Completed",H542*J542,0)</x:f>
        <x:v>17000</x:v>
      </x:c>
      <x:c r="P542" s="12" t="n">
        <x:f>N542-O542</x:f>
        <x:v>9000</x:v>
      </x:c>
    </x:row>
    <x:row r="543" ht="21" customHeight="1">
      <x:c r="A543" s="7" t="n">
        <x:v>538</x:v>
      </x:c>
      <x:c r="B543" s="2" t="str">
        <x:v>TXN-00538</x:v>
      </x:c>
      <x:c r="C543" s="8" t="d">
        <x:v>2025-06-06T00:00:00.000Z</x:v>
      </x:c>
      <x:c r="D543" s="2" t="str">
        <x:v>Kano</x:v>
      </x:c>
      <x:c r="E543" s="2" t="str">
        <x:v>Home</x:v>
      </x:c>
      <x:c r="F543" s="2" t="str">
        <x:v>Cookware set</x:v>
      </x:c>
      <x:c r="G543" s="2" t="str">
        <x:v>Online</x:v>
      </x:c>
      <x:c r="H543" s="7" t="n">
        <x:v>1</x:v>
      </x:c>
      <x:c r="I543" s="9" t="n">
        <x:v>35000</x:v>
      </x:c>
      <x:c r="J543" s="9" t="n">
        <x:v>22500</x:v>
      </x:c>
      <x:c r="K543" s="10" t="n">
        <x:v>0.05</x:v>
      </x:c>
      <x:c r="L543" s="2" t="str">
        <x:v>Completed</x:v>
      </x:c>
      <x:c r="M543" s="12" t="n">
        <x:f>H543*I543</x:f>
        <x:v>35000</x:v>
      </x:c>
      <x:c r="N543" s="12" t="n">
        <x:f>IF(L543="Completed",ROUND(M543*(1-K543),2),0)</x:f>
        <x:v>33250</x:v>
      </x:c>
      <x:c r="O543" s="12" t="n">
        <x:f>IF(L543="Completed",H543*J543,0)</x:f>
        <x:v>22500</x:v>
      </x:c>
      <x:c r="P543" s="12" t="n">
        <x:f>N543-O543</x:f>
        <x:v>10750</x:v>
      </x:c>
    </x:row>
    <x:row r="544" ht="21" customHeight="1">
      <x:c r="A544" s="7" t="n">
        <x:v>539</x:v>
      </x:c>
      <x:c r="B544" s="2" t="str">
        <x:v>TXN-00539</x:v>
      </x:c>
      <x:c r="C544" s="8" t="d">
        <x:v>2025-06-21T00:00:00.000Z</x:v>
      </x:c>
      <x:c r="D544" s="2" t="str">
        <x:v>Kano</x:v>
      </x:c>
      <x:c r="E544" s="2" t="str">
        <x:v>Beauty</x:v>
      </x:c>
      <x:c r="F544" s="2" t="str">
        <x:v>Moisturizer</x:v>
      </x:c>
      <x:c r="G544" s="2" t="str">
        <x:v>Online</x:v>
      </x:c>
      <x:c r="H544" s="7" t="n">
        <x:v>1</x:v>
      </x:c>
      <x:c r="I544" s="9" t="n">
        <x:v>6500</x:v>
      </x:c>
      <x:c r="J544" s="9" t="n">
        <x:v>3500</x:v>
      </x:c>
      <x:c r="K544" s="10" t="n">
        <x:v>0</x:v>
      </x:c>
      <x:c r="L544" s="2" t="str">
        <x:v>Completed</x:v>
      </x:c>
      <x:c r="M544" s="12" t="n">
        <x:f>H544*I544</x:f>
        <x:v>6500</x:v>
      </x:c>
      <x:c r="N544" s="12" t="n">
        <x:f>IF(L544="Completed",ROUND(M544*(1-K544),2),0)</x:f>
        <x:v>6500</x:v>
      </x:c>
      <x:c r="O544" s="12" t="n">
        <x:f>IF(L544="Completed",H544*J544,0)</x:f>
        <x:v>3500</x:v>
      </x:c>
      <x:c r="P544" s="12" t="n">
        <x:f>N544-O544</x:f>
        <x:v>3000</x:v>
      </x:c>
    </x:row>
    <x:row r="545" ht="21" customHeight="1">
      <x:c r="A545" s="7" t="n">
        <x:v>540</x:v>
      </x:c>
      <x:c r="B545" s="2" t="str">
        <x:v>TXN-00540</x:v>
      </x:c>
      <x:c r="C545" s="8" t="d">
        <x:v>2025-06-13T00:00:00.000Z</x:v>
      </x:c>
      <x:c r="D545" s="2" t="str">
        <x:v>Port Harcourt</x:v>
      </x:c>
      <x:c r="E545" s="2" t="str">
        <x:v>Home</x:v>
      </x:c>
      <x:c r="F545" s="2" t="str">
        <x:v>Desk lamp</x:v>
      </x:c>
      <x:c r="G545" s="2" t="str">
        <x:v>In-store</x:v>
      </x:c>
      <x:c r="H545" s="7" t="n">
        <x:v>1</x:v>
      </x:c>
      <x:c r="I545" s="9" t="n">
        <x:v>12000</x:v>
      </x:c>
      <x:c r="J545" s="9" t="n">
        <x:v>7200</x:v>
      </x:c>
      <x:c r="K545" s="10" t="n">
        <x:v>0</x:v>
      </x:c>
      <x:c r="L545" s="2" t="str">
        <x:v>Completed</x:v>
      </x:c>
      <x:c r="M545" s="12" t="n">
        <x:f>H545*I545</x:f>
        <x:v>12000</x:v>
      </x:c>
      <x:c r="N545" s="12" t="n">
        <x:f>IF(L545="Completed",ROUND(M545*(1-K545),2),0)</x:f>
        <x:v>12000</x:v>
      </x:c>
      <x:c r="O545" s="12" t="n">
        <x:f>IF(L545="Completed",H545*J545,0)</x:f>
        <x:v>7200</x:v>
      </x:c>
      <x:c r="P545" s="12" t="n">
        <x:f>N545-O545</x:f>
        <x:v>4800</x:v>
      </x:c>
    </x:row>
    <x:row r="546" ht="21" customHeight="1">
      <x:c r="A546" s="7" t="n">
        <x:v>541</x:v>
      </x:c>
      <x:c r="B546" s="2" t="str">
        <x:v>TXN-00541</x:v>
      </x:c>
      <x:c r="C546" s="8" t="d">
        <x:v>2025-06-05T00:00:00.000Z</x:v>
      </x:c>
      <x:c r="D546" s="2" t="str">
        <x:v>Port Harcourt</x:v>
      </x:c>
      <x:c r="E546" s="2" t="str">
        <x:v>Fashion</x:v>
      </x:c>
      <x:c r="F546" s="2" t="str">
        <x:v>Handbag</x:v>
      </x:c>
      <x:c r="G546" s="2" t="str">
        <x:v>Online</x:v>
      </x:c>
      <x:c r="H546" s="7" t="n">
        <x:v>2</x:v>
      </x:c>
      <x:c r="I546" s="9" t="n">
        <x:v>22000</x:v>
      </x:c>
      <x:c r="J546" s="9" t="n">
        <x:v>13500</x:v>
      </x:c>
      <x:c r="K546" s="10" t="n">
        <x:v>0.05</x:v>
      </x:c>
      <x:c r="L546" s="2" t="str">
        <x:v>Completed</x:v>
      </x:c>
      <x:c r="M546" s="12" t="n">
        <x:f>H546*I546</x:f>
        <x:v>44000</x:v>
      </x:c>
      <x:c r="N546" s="12" t="n">
        <x:f>IF(L546="Completed",ROUND(M546*(1-K546),2),0)</x:f>
        <x:v>41800</x:v>
      </x:c>
      <x:c r="O546" s="12" t="n">
        <x:f>IF(L546="Completed",H546*J546,0)</x:f>
        <x:v>27000</x:v>
      </x:c>
      <x:c r="P546" s="12" t="n">
        <x:f>N546-O546</x:f>
        <x:v>14800</x:v>
      </x:c>
    </x:row>
    <x:row r="547" ht="21" customHeight="1">
      <x:c r="A547" s="7" t="n">
        <x:v>542</x:v>
      </x:c>
      <x:c r="B547" s="2" t="str">
        <x:v>TXN-00542</x:v>
      </x:c>
      <x:c r="C547" s="8" t="d">
        <x:v>2025-06-13T00:00:00.000Z</x:v>
      </x:c>
      <x:c r="D547" s="2" t="str">
        <x:v>Lagos</x:v>
      </x:c>
      <x:c r="E547" s="2" t="str">
        <x:v>Fashion</x:v>
      </x:c>
      <x:c r="F547" s="2" t="str">
        <x:v>Handbag</x:v>
      </x:c>
      <x:c r="G547" s="2" t="str">
        <x:v>Online</x:v>
      </x:c>
      <x:c r="H547" s="7" t="n">
        <x:v>3</x:v>
      </x:c>
      <x:c r="I547" s="9" t="n">
        <x:v>22000</x:v>
      </x:c>
      <x:c r="J547" s="9" t="n">
        <x:v>13500</x:v>
      </x:c>
      <x:c r="K547" s="10" t="n">
        <x:v>0</x:v>
      </x:c>
      <x:c r="L547" s="2" t="str">
        <x:v>Completed</x:v>
      </x:c>
      <x:c r="M547" s="12" t="n">
        <x:f>H547*I547</x:f>
        <x:v>66000</x:v>
      </x:c>
      <x:c r="N547" s="12" t="n">
        <x:f>IF(L547="Completed",ROUND(M547*(1-K547),2),0)</x:f>
        <x:v>66000</x:v>
      </x:c>
      <x:c r="O547" s="12" t="n">
        <x:f>IF(L547="Completed",H547*J547,0)</x:f>
        <x:v>40500</x:v>
      </x:c>
      <x:c r="P547" s="12" t="n">
        <x:f>N547-O547</x:f>
        <x:v>25500</x:v>
      </x:c>
    </x:row>
    <x:row r="548" ht="21" customHeight="1">
      <x:c r="A548" s="7" t="n">
        <x:v>543</x:v>
      </x:c>
      <x:c r="B548" s="2" t="str">
        <x:v>TXN-00543</x:v>
      </x:c>
      <x:c r="C548" s="8" t="d">
        <x:v>2025-06-13T00:00:00.000Z</x:v>
      </x:c>
      <x:c r="D548" s="2" t="str">
        <x:v>Abuja</x:v>
      </x:c>
      <x:c r="E548" s="2" t="str">
        <x:v>Electronics</x:v>
      </x:c>
      <x:c r="F548" s="2" t="str">
        <x:v>Power bank</x:v>
      </x:c>
      <x:c r="G548" s="2" t="str">
        <x:v>Online</x:v>
      </x:c>
      <x:c r="H548" s="7" t="n">
        <x:v>1</x:v>
      </x:c>
      <x:c r="I548" s="9" t="n">
        <x:v>15000</x:v>
      </x:c>
      <x:c r="J548" s="9" t="n">
        <x:v>9500</x:v>
      </x:c>
      <x:c r="K548" s="10" t="n">
        <x:v>0</x:v>
      </x:c>
      <x:c r="L548" s="2" t="str">
        <x:v>Completed</x:v>
      </x:c>
      <x:c r="M548" s="12" t="n">
        <x:f>H548*I548</x:f>
        <x:v>15000</x:v>
      </x:c>
      <x:c r="N548" s="12" t="n">
        <x:f>IF(L548="Completed",ROUND(M548*(1-K548),2),0)</x:f>
        <x:v>15000</x:v>
      </x:c>
      <x:c r="O548" s="12" t="n">
        <x:f>IF(L548="Completed",H548*J548,0)</x:f>
        <x:v>9500</x:v>
      </x:c>
      <x:c r="P548" s="12" t="n">
        <x:f>N548-O548</x:f>
        <x:v>5500</x:v>
      </x:c>
    </x:row>
    <x:row r="549" ht="21" customHeight="1">
      <x:c r="A549" s="7" t="n">
        <x:v>544</x:v>
      </x:c>
      <x:c r="B549" s="2" t="str">
        <x:v>TXN-00544</x:v>
      </x:c>
      <x:c r="C549" s="8" t="d">
        <x:v>2025-06-17T00:00:00.000Z</x:v>
      </x:c>
      <x:c r="D549" s="2" t="str">
        <x:v>Abuja</x:v>
      </x:c>
      <x:c r="E549" s="2" t="str">
        <x:v>Beauty</x:v>
      </x:c>
      <x:c r="F549" s="2" t="str">
        <x:v>Body wash</x:v>
      </x:c>
      <x:c r="G549" s="2" t="str">
        <x:v>In-store</x:v>
      </x:c>
      <x:c r="H549" s="7" t="n">
        <x:v>2</x:v>
      </x:c>
      <x:c r="I549" s="9" t="n">
        <x:v>4500</x:v>
      </x:c>
      <x:c r="J549" s="9" t="n">
        <x:v>2300</x:v>
      </x:c>
      <x:c r="K549" s="10" t="n">
        <x:v>0</x:v>
      </x:c>
      <x:c r="L549" s="2" t="str">
        <x:v>Completed</x:v>
      </x:c>
      <x:c r="M549" s="12" t="n">
        <x:f>H549*I549</x:f>
        <x:v>9000</x:v>
      </x:c>
      <x:c r="N549" s="12" t="n">
        <x:f>IF(L549="Completed",ROUND(M549*(1-K549),2),0)</x:f>
        <x:v>9000</x:v>
      </x:c>
      <x:c r="O549" s="12" t="n">
        <x:f>IF(L549="Completed",H549*J549,0)</x:f>
        <x:v>4600</x:v>
      </x:c>
      <x:c r="P549" s="12" t="n">
        <x:f>N549-O549</x:f>
        <x:v>4400</x:v>
      </x:c>
    </x:row>
    <x:row r="550" ht="21" customHeight="1">
      <x:c r="A550" s="7" t="n">
        <x:v>545</x:v>
      </x:c>
      <x:c r="B550" s="2" t="str">
        <x:v>TXN-00545</x:v>
      </x:c>
      <x:c r="C550" s="8" t="d">
        <x:v>2025-06-03T00:00:00.000Z</x:v>
      </x:c>
      <x:c r="D550" s="2" t="str">
        <x:v>Lagos</x:v>
      </x:c>
      <x:c r="E550" s="2" t="str">
        <x:v>Fashion</x:v>
      </x:c>
      <x:c r="F550" s="2" t="str">
        <x:v>Handbag</x:v>
      </x:c>
      <x:c r="G550" s="2" t="str">
        <x:v>In-store</x:v>
      </x:c>
      <x:c r="H550" s="7" t="n">
        <x:v>1</x:v>
      </x:c>
      <x:c r="I550" s="9" t="n">
        <x:v>22000</x:v>
      </x:c>
      <x:c r="J550" s="9" t="n">
        <x:v>13500</x:v>
      </x:c>
      <x:c r="K550" s="10" t="n">
        <x:v>0</x:v>
      </x:c>
      <x:c r="L550" s="2" t="str">
        <x:v>Completed</x:v>
      </x:c>
      <x:c r="M550" s="12" t="n">
        <x:f>H550*I550</x:f>
        <x:v>22000</x:v>
      </x:c>
      <x:c r="N550" s="12" t="n">
        <x:f>IF(L550="Completed",ROUND(M550*(1-K550),2),0)</x:f>
        <x:v>22000</x:v>
      </x:c>
      <x:c r="O550" s="12" t="n">
        <x:f>IF(L550="Completed",H550*J550,0)</x:f>
        <x:v>13500</x:v>
      </x:c>
      <x:c r="P550" s="12" t="n">
        <x:f>N550-O550</x:f>
        <x:v>8500</x:v>
      </x:c>
    </x:row>
    <x:row r="551" ht="21" customHeight="1">
      <x:c r="A551" s="7" t="n">
        <x:v>546</x:v>
      </x:c>
      <x:c r="B551" s="2" t="str">
        <x:v>TXN-00546</x:v>
      </x:c>
      <x:c r="C551" s="8" t="d">
        <x:v>2025-06-04T00:00:00.000Z</x:v>
      </x:c>
      <x:c r="D551" s="2" t="str">
        <x:v>Port Harcourt</x:v>
      </x:c>
      <x:c r="E551" s="2" t="str">
        <x:v>Fashion</x:v>
      </x:c>
      <x:c r="F551" s="2" t="str">
        <x:v>T-shirt</x:v>
      </x:c>
      <x:c r="G551" s="2" t="str">
        <x:v>Online</x:v>
      </x:c>
      <x:c r="H551" s="7" t="n">
        <x:v>1</x:v>
      </x:c>
      <x:c r="I551" s="9" t="n">
        <x:v>9000</x:v>
      </x:c>
      <x:c r="J551" s="9" t="n">
        <x:v>5000</x:v>
      </x:c>
      <x:c r="K551" s="10" t="n">
        <x:v>0</x:v>
      </x:c>
      <x:c r="L551" s="2" t="str">
        <x:v>Completed</x:v>
      </x:c>
      <x:c r="M551" s="12" t="n">
        <x:f>H551*I551</x:f>
        <x:v>9000</x:v>
      </x:c>
      <x:c r="N551" s="12" t="n">
        <x:f>IF(L551="Completed",ROUND(M551*(1-K551),2),0)</x:f>
        <x:v>9000</x:v>
      </x:c>
      <x:c r="O551" s="12" t="n">
        <x:f>IF(L551="Completed",H551*J551,0)</x:f>
        <x:v>5000</x:v>
      </x:c>
      <x:c r="P551" s="12" t="n">
        <x:f>N551-O551</x:f>
        <x:v>4000</x:v>
      </x:c>
    </x:row>
    <x:row r="552" ht="21" customHeight="1">
      <x:c r="A552" s="7" t="n">
        <x:v>547</x:v>
      </x:c>
      <x:c r="B552" s="2" t="str">
        <x:v>TXN-00547</x:v>
      </x:c>
      <x:c r="C552" s="8" t="d">
        <x:v>2025-06-08T00:00:00.000Z</x:v>
      </x:c>
      <x:c r="D552" s="2" t="str">
        <x:v>Port Harcourt</x:v>
      </x:c>
      <x:c r="E552" s="2" t="str">
        <x:v>Fashion</x:v>
      </x:c>
      <x:c r="F552" s="2" t="str">
        <x:v>Sneakers</x:v>
      </x:c>
      <x:c r="G552" s="2" t="str">
        <x:v>In-store</x:v>
      </x:c>
      <x:c r="H552" s="7" t="n">
        <x:v>1</x:v>
      </x:c>
      <x:c r="I552" s="9" t="n">
        <x:v>28000</x:v>
      </x:c>
      <x:c r="J552" s="9" t="n">
        <x:v>17500</x:v>
      </x:c>
      <x:c r="K552" s="10" t="n">
        <x:v>0.15</x:v>
      </x:c>
      <x:c r="L552" s="2" t="str">
        <x:v>Completed</x:v>
      </x:c>
      <x:c r="M552" s="12" t="n">
        <x:f>H552*I552</x:f>
        <x:v>28000</x:v>
      </x:c>
      <x:c r="N552" s="12" t="n">
        <x:f>IF(L552="Completed",ROUND(M552*(1-K552),2),0)</x:f>
        <x:v>23800</x:v>
      </x:c>
      <x:c r="O552" s="12" t="n">
        <x:f>IF(L552="Completed",H552*J552,0)</x:f>
        <x:v>17500</x:v>
      </x:c>
      <x:c r="P552" s="12" t="n">
        <x:f>N552-O552</x:f>
        <x:v>6300</x:v>
      </x:c>
    </x:row>
    <x:row r="553" ht="21" customHeight="1">
      <x:c r="A553" s="7" t="n">
        <x:v>548</x:v>
      </x:c>
      <x:c r="B553" s="2" t="str">
        <x:v>TXN-00548</x:v>
      </x:c>
      <x:c r="C553" s="8" t="d">
        <x:v>2025-06-12T00:00:00.000Z</x:v>
      </x:c>
      <x:c r="D553" s="2" t="str">
        <x:v>Kano</x:v>
      </x:c>
      <x:c r="E553" s="2" t="str">
        <x:v>Fashion</x:v>
      </x:c>
      <x:c r="F553" s="2" t="str">
        <x:v>T-shirt</x:v>
      </x:c>
      <x:c r="G553" s="2" t="str">
        <x:v>Online</x:v>
      </x:c>
      <x:c r="H553" s="7" t="n">
        <x:v>1</x:v>
      </x:c>
      <x:c r="I553" s="9" t="n">
        <x:v>9000</x:v>
      </x:c>
      <x:c r="J553" s="9" t="n">
        <x:v>5000</x:v>
      </x:c>
      <x:c r="K553" s="10" t="n">
        <x:v>0</x:v>
      </x:c>
      <x:c r="L553" s="2" t="str">
        <x:v>Completed</x:v>
      </x:c>
      <x:c r="M553" s="12" t="n">
        <x:f>H553*I553</x:f>
        <x:v>9000</x:v>
      </x:c>
      <x:c r="N553" s="12" t="n">
        <x:f>IF(L553="Completed",ROUND(M553*(1-K553),2),0)</x:f>
        <x:v>9000</x:v>
      </x:c>
      <x:c r="O553" s="12" t="n">
        <x:f>IF(L553="Completed",H553*J553,0)</x:f>
        <x:v>5000</x:v>
      </x:c>
      <x:c r="P553" s="12" t="n">
        <x:f>N553-O553</x:f>
        <x:v>4000</x:v>
      </x:c>
    </x:row>
    <x:row r="554" ht="21" customHeight="1">
      <x:c r="A554" s="7" t="n">
        <x:v>549</x:v>
      </x:c>
      <x:c r="B554" s="2" t="str">
        <x:v>TXN-00549</x:v>
      </x:c>
      <x:c r="C554" s="8" t="d">
        <x:v>2025-06-28T00:00:00.000Z</x:v>
      </x:c>
      <x:c r="D554" s="2" t="str">
        <x:v>Abuja</x:v>
      </x:c>
      <x:c r="E554" s="2" t="str">
        <x:v>Beauty</x:v>
      </x:c>
      <x:c r="F554" s="2" t="str">
        <x:v>Perfume</x:v>
      </x:c>
      <x:c r="G554" s="2" t="str">
        <x:v>In-store</x:v>
      </x:c>
      <x:c r="H554" s="7" t="n">
        <x:v>1</x:v>
      </x:c>
      <x:c r="I554" s="9" t="n">
        <x:v>17000</x:v>
      </x:c>
      <x:c r="J554" s="9" t="n">
        <x:v>9000</x:v>
      </x:c>
      <x:c r="K554" s="10" t="n">
        <x:v>0</x:v>
      </x:c>
      <x:c r="L554" s="2" t="str">
        <x:v>Completed</x:v>
      </x:c>
      <x:c r="M554" s="12" t="n">
        <x:f>H554*I554</x:f>
        <x:v>17000</x:v>
      </x:c>
      <x:c r="N554" s="12" t="n">
        <x:f>IF(L554="Completed",ROUND(M554*(1-K554),2),0)</x:f>
        <x:v>17000</x:v>
      </x:c>
      <x:c r="O554" s="12" t="n">
        <x:f>IF(L554="Completed",H554*J554,0)</x:f>
        <x:v>9000</x:v>
      </x:c>
      <x:c r="P554" s="12" t="n">
        <x:f>N554-O554</x:f>
        <x:v>8000</x:v>
      </x:c>
    </x:row>
    <x:row r="555" ht="21" customHeight="1">
      <x:c r="A555" s="7" t="n">
        <x:v>550</x:v>
      </x:c>
      <x:c r="B555" s="2" t="str">
        <x:v>TXN-00550</x:v>
      </x:c>
      <x:c r="C555" s="8" t="d">
        <x:v>2025-06-14T00:00:00.000Z</x:v>
      </x:c>
      <x:c r="D555" s="2" t="str">
        <x:v>Lagos</x:v>
      </x:c>
      <x:c r="E555" s="2" t="str">
        <x:v>Fashion</x:v>
      </x:c>
      <x:c r="F555" s="2" t="str">
        <x:v>Handbag</x:v>
      </x:c>
      <x:c r="G555" s="2" t="str">
        <x:v>In-store</x:v>
      </x:c>
      <x:c r="H555" s="7" t="n">
        <x:v>2</x:v>
      </x:c>
      <x:c r="I555" s="9" t="n">
        <x:v>22000</x:v>
      </x:c>
      <x:c r="J555" s="9" t="n">
        <x:v>13500</x:v>
      </x:c>
      <x:c r="K555" s="10" t="n">
        <x:v>0.15</x:v>
      </x:c>
      <x:c r="L555" s="2" t="str">
        <x:v>Returned</x:v>
      </x:c>
      <x:c r="M555" s="12" t="n">
        <x:f>H555*I555</x:f>
        <x:v>44000</x:v>
      </x:c>
      <x:c r="N555" s="12" t="n">
        <x:f>IF(L555="Completed",ROUND(M555*(1-K555),2),0)</x:f>
        <x:v>0</x:v>
      </x:c>
      <x:c r="O555" s="12" t="n">
        <x:f>IF(L555="Completed",H555*J555,0)</x:f>
        <x:v>0</x:v>
      </x:c>
      <x:c r="P555" s="12" t="n">
        <x:f>N555-O555</x:f>
        <x:v>0</x:v>
      </x:c>
    </x:row>
    <x:row r="556" ht="21" customHeight="1">
      <x:c r="A556" s="7" t="n">
        <x:v>551</x:v>
      </x:c>
      <x:c r="B556" s="2" t="str">
        <x:v>TXN-00551</x:v>
      </x:c>
      <x:c r="C556" s="8" t="d">
        <x:v>2025-06-26T00:00:00.000Z</x:v>
      </x:c>
      <x:c r="D556" s="2" t="str">
        <x:v>Lagos</x:v>
      </x:c>
      <x:c r="E556" s="2" t="str">
        <x:v>Beauty</x:v>
      </x:c>
      <x:c r="F556" s="2" t="str">
        <x:v>Perfume</x:v>
      </x:c>
      <x:c r="G556" s="2" t="str">
        <x:v>In-store</x:v>
      </x:c>
      <x:c r="H556" s="7" t="n">
        <x:v>4</x:v>
      </x:c>
      <x:c r="I556" s="9" t="n">
        <x:v>17000</x:v>
      </x:c>
      <x:c r="J556" s="9" t="n">
        <x:v>9000</x:v>
      </x:c>
      <x:c r="K556" s="10" t="n">
        <x:v>0</x:v>
      </x:c>
      <x:c r="L556" s="2" t="str">
        <x:v>Completed</x:v>
      </x:c>
      <x:c r="M556" s="12" t="n">
        <x:f>H556*I556</x:f>
        <x:v>68000</x:v>
      </x:c>
      <x:c r="N556" s="12" t="n">
        <x:f>IF(L556="Completed",ROUND(M556*(1-K556),2),0)</x:f>
        <x:v>68000</x:v>
      </x:c>
      <x:c r="O556" s="12" t="n">
        <x:f>IF(L556="Completed",H556*J556,0)</x:f>
        <x:v>36000</x:v>
      </x:c>
      <x:c r="P556" s="12" t="n">
        <x:f>N556-O556</x:f>
        <x:v>32000</x:v>
      </x:c>
    </x:row>
    <x:row r="557" ht="21" customHeight="1">
      <x:c r="A557" s="7" t="n">
        <x:v>552</x:v>
      </x:c>
      <x:c r="B557" s="2" t="str">
        <x:v>TXN-00552</x:v>
      </x:c>
      <x:c r="C557" s="8" t="d">
        <x:v>2025-06-27T00:00:00.000Z</x:v>
      </x:c>
      <x:c r="D557" s="2" t="str">
        <x:v>Lagos</x:v>
      </x:c>
      <x:c r="E557" s="2" t="str">
        <x:v>Fashion</x:v>
      </x:c>
      <x:c r="F557" s="2" t="str">
        <x:v>Handbag</x:v>
      </x:c>
      <x:c r="G557" s="2" t="str">
        <x:v>Online</x:v>
      </x:c>
      <x:c r="H557" s="7" t="n">
        <x:v>3</x:v>
      </x:c>
      <x:c r="I557" s="9" t="n">
        <x:v>22000</x:v>
      </x:c>
      <x:c r="J557" s="9" t="n">
        <x:v>13500</x:v>
      </x:c>
      <x:c r="K557" s="10" t="n">
        <x:v>0.1</x:v>
      </x:c>
      <x:c r="L557" s="2" t="str">
        <x:v>Completed</x:v>
      </x:c>
      <x:c r="M557" s="12" t="n">
        <x:f>H557*I557</x:f>
        <x:v>66000</x:v>
      </x:c>
      <x:c r="N557" s="12" t="n">
        <x:f>IF(L557="Completed",ROUND(M557*(1-K557),2),0)</x:f>
        <x:v>59400</x:v>
      </x:c>
      <x:c r="O557" s="12" t="n">
        <x:f>IF(L557="Completed",H557*J557,0)</x:f>
        <x:v>40500</x:v>
      </x:c>
      <x:c r="P557" s="12" t="n">
        <x:f>N557-O557</x:f>
        <x:v>18900</x:v>
      </x:c>
    </x:row>
    <x:row r="558" ht="21" customHeight="1">
      <x:c r="A558" s="7" t="n">
        <x:v>553</x:v>
      </x:c>
      <x:c r="B558" s="2" t="str">
        <x:v>TXN-00553</x:v>
      </x:c>
      <x:c r="C558" s="8" t="d">
        <x:v>2025-06-19T00:00:00.000Z</x:v>
      </x:c>
      <x:c r="D558" s="2" t="str">
        <x:v>Lagos</x:v>
      </x:c>
      <x:c r="E558" s="2" t="str">
        <x:v>Beauty</x:v>
      </x:c>
      <x:c r="F558" s="2" t="str">
        <x:v>Body wash</x:v>
      </x:c>
      <x:c r="G558" s="2" t="str">
        <x:v>In-store</x:v>
      </x:c>
      <x:c r="H558" s="7" t="n">
        <x:v>1</x:v>
      </x:c>
      <x:c r="I558" s="9" t="n">
        <x:v>4500</x:v>
      </x:c>
      <x:c r="J558" s="9" t="n">
        <x:v>2300</x:v>
      </x:c>
      <x:c r="K558" s="10" t="n">
        <x:v>0.05</x:v>
      </x:c>
      <x:c r="L558" s="2" t="str">
        <x:v>Completed</x:v>
      </x:c>
      <x:c r="M558" s="12" t="n">
        <x:f>H558*I558</x:f>
        <x:v>4500</x:v>
      </x:c>
      <x:c r="N558" s="12" t="n">
        <x:f>IF(L558="Completed",ROUND(M558*(1-K558),2),0)</x:f>
        <x:v>4275</x:v>
      </x:c>
      <x:c r="O558" s="12" t="n">
        <x:f>IF(L558="Completed",H558*J558,0)</x:f>
        <x:v>2300</x:v>
      </x:c>
      <x:c r="P558" s="12" t="n">
        <x:f>N558-O558</x:f>
        <x:v>1975</x:v>
      </x:c>
    </x:row>
    <x:row r="559" ht="21" customHeight="1">
      <x:c r="A559" s="7" t="n">
        <x:v>554</x:v>
      </x:c>
      <x:c r="B559" s="2" t="str">
        <x:v>TXN-00554</x:v>
      </x:c>
      <x:c r="C559" s="8" t="d">
        <x:v>2025-06-01T00:00:00.000Z</x:v>
      </x:c>
      <x:c r="D559" s="2" t="str">
        <x:v>Port Harcourt</x:v>
      </x:c>
      <x:c r="E559" s="2" t="str">
        <x:v>Beauty</x:v>
      </x:c>
      <x:c r="F559" s="2" t="str">
        <x:v>Moisturizer</x:v>
      </x:c>
      <x:c r="G559" s="2" t="str">
        <x:v>Online</x:v>
      </x:c>
      <x:c r="H559" s="7" t="n">
        <x:v>1</x:v>
      </x:c>
      <x:c r="I559" s="9" t="n">
        <x:v>6500</x:v>
      </x:c>
      <x:c r="J559" s="9" t="n">
        <x:v>3500</x:v>
      </x:c>
      <x:c r="K559" s="10" t="n">
        <x:v>0.1</x:v>
      </x:c>
      <x:c r="L559" s="2" t="str">
        <x:v>Completed</x:v>
      </x:c>
      <x:c r="M559" s="12" t="n">
        <x:f>H559*I559</x:f>
        <x:v>6500</x:v>
      </x:c>
      <x:c r="N559" s="12" t="n">
        <x:f>IF(L559="Completed",ROUND(M559*(1-K559),2),0)</x:f>
        <x:v>5850</x:v>
      </x:c>
      <x:c r="O559" s="12" t="n">
        <x:f>IF(L559="Completed",H559*J559,0)</x:f>
        <x:v>3500</x:v>
      </x:c>
      <x:c r="P559" s="12" t="n">
        <x:f>N559-O559</x:f>
        <x:v>2350</x:v>
      </x:c>
    </x:row>
    <x:row r="560" ht="21" customHeight="1">
      <x:c r="A560" s="7" t="n">
        <x:v>555</x:v>
      </x:c>
      <x:c r="B560" s="2" t="str">
        <x:v>TXN-00555</x:v>
      </x:c>
      <x:c r="C560" s="8" t="d">
        <x:v>2025-06-27T00:00:00.000Z</x:v>
      </x:c>
      <x:c r="D560" s="2" t="str">
        <x:v>Port Harcourt</x:v>
      </x:c>
      <x:c r="E560" s="2" t="str">
        <x:v>Beauty</x:v>
      </x:c>
      <x:c r="F560" s="2" t="str">
        <x:v>Perfume</x:v>
      </x:c>
      <x:c r="G560" s="2" t="str">
        <x:v>In-store</x:v>
      </x:c>
      <x:c r="H560" s="7" t="n">
        <x:v>4</x:v>
      </x:c>
      <x:c r="I560" s="9" t="n">
        <x:v>17000</x:v>
      </x:c>
      <x:c r="J560" s="9" t="n">
        <x:v>9000</x:v>
      </x:c>
      <x:c r="K560" s="10" t="n">
        <x:v>0.15</x:v>
      </x:c>
      <x:c r="L560" s="2" t="str">
        <x:v>Completed</x:v>
      </x:c>
      <x:c r="M560" s="12" t="n">
        <x:f>H560*I560</x:f>
        <x:v>68000</x:v>
      </x:c>
      <x:c r="N560" s="12" t="n">
        <x:f>IF(L560="Completed",ROUND(M560*(1-K560),2),0)</x:f>
        <x:v>57800</x:v>
      </x:c>
      <x:c r="O560" s="12" t="n">
        <x:f>IF(L560="Completed",H560*J560,0)</x:f>
        <x:v>36000</x:v>
      </x:c>
      <x:c r="P560" s="12" t="n">
        <x:f>N560-O560</x:f>
        <x:v>21800</x:v>
      </x:c>
    </x:row>
    <x:row r="561" ht="21" customHeight="1">
      <x:c r="A561" s="7" t="n">
        <x:v>556</x:v>
      </x:c>
      <x:c r="B561" s="2" t="str">
        <x:v>TXN-00556</x:v>
      </x:c>
      <x:c r="C561" s="8" t="d">
        <x:v>2025-06-30T00:00:00.000Z</x:v>
      </x:c>
      <x:c r="D561" s="2" t="str">
        <x:v>Unknown</x:v>
      </x:c>
      <x:c r="E561" s="2" t="str">
        <x:v>Beauty</x:v>
      </x:c>
      <x:c r="F561" s="2" t="str">
        <x:v>Perfume</x:v>
      </x:c>
      <x:c r="G561" s="2" t="str">
        <x:v>In-store</x:v>
      </x:c>
      <x:c r="H561" s="7" t="n">
        <x:v>1</x:v>
      </x:c>
      <x:c r="I561" s="9" t="n">
        <x:v>17000</x:v>
      </x:c>
      <x:c r="J561" s="9" t="n">
        <x:v>9000</x:v>
      </x:c>
      <x:c r="K561" s="10" t="n">
        <x:v>0</x:v>
      </x:c>
      <x:c r="L561" s="2" t="str">
        <x:v>Completed</x:v>
      </x:c>
      <x:c r="M561" s="12" t="n">
        <x:f>H561*I561</x:f>
        <x:v>17000</x:v>
      </x:c>
      <x:c r="N561" s="12" t="n">
        <x:f>IF(L561="Completed",ROUND(M561*(1-K561),2),0)</x:f>
        <x:v>17000</x:v>
      </x:c>
      <x:c r="O561" s="12" t="n">
        <x:f>IF(L561="Completed",H561*J561,0)</x:f>
        <x:v>9000</x:v>
      </x:c>
      <x:c r="P561" s="12" t="n">
        <x:f>N561-O561</x:f>
        <x:v>8000</x:v>
      </x:c>
    </x:row>
    <x:row r="562" ht="21" customHeight="1">
      <x:c r="A562" s="7" t="n">
        <x:v>557</x:v>
      </x:c>
      <x:c r="B562" s="2" t="str">
        <x:v>TXN-00557</x:v>
      </x:c>
      <x:c r="C562" s="8" t="d">
        <x:v>2025-06-02T00:00:00.000Z</x:v>
      </x:c>
      <x:c r="D562" s="2" t="str">
        <x:v>Abuja</x:v>
      </x:c>
      <x:c r="E562" s="2" t="str">
        <x:v>Electronics</x:v>
      </x:c>
      <x:c r="F562" s="2" t="str">
        <x:v>Headphones</x:v>
      </x:c>
      <x:c r="G562" s="2" t="str">
        <x:v>Online</x:v>
      </x:c>
      <x:c r="H562" s="7" t="n">
        <x:v>1</x:v>
      </x:c>
      <x:c r="I562" s="9" t="n">
        <x:v>18000</x:v>
      </x:c>
      <x:c r="J562" s="9" t="n">
        <x:v>10500</x:v>
      </x:c>
      <x:c r="K562" s="10" t="n">
        <x:v>0.05</x:v>
      </x:c>
      <x:c r="L562" s="2" t="str">
        <x:v>Completed</x:v>
      </x:c>
      <x:c r="M562" s="12" t="n">
        <x:f>H562*I562</x:f>
        <x:v>18000</x:v>
      </x:c>
      <x:c r="N562" s="12" t="n">
        <x:f>IF(L562="Completed",ROUND(M562*(1-K562),2),0)</x:f>
        <x:v>17100</x:v>
      </x:c>
      <x:c r="O562" s="12" t="n">
        <x:f>IF(L562="Completed",H562*J562,0)</x:f>
        <x:v>10500</x:v>
      </x:c>
      <x:c r="P562" s="12" t="n">
        <x:f>N562-O562</x:f>
        <x:v>6600</x:v>
      </x:c>
    </x:row>
    <x:row r="563" ht="21" customHeight="1">
      <x:c r="A563" s="7" t="n">
        <x:v>558</x:v>
      </x:c>
      <x:c r="B563" s="2" t="str">
        <x:v>TXN-00558</x:v>
      </x:c>
      <x:c r="C563" s="8" t="d">
        <x:v>2025-06-10T00:00:00.000Z</x:v>
      </x:c>
      <x:c r="D563" s="2" t="str">
        <x:v>Unknown</x:v>
      </x:c>
      <x:c r="E563" s="2" t="str">
        <x:v>Home</x:v>
      </x:c>
      <x:c r="F563" s="2" t="str">
        <x:v>Desk lamp</x:v>
      </x:c>
      <x:c r="G563" s="2" t="str">
        <x:v>In-store</x:v>
      </x:c>
      <x:c r="H563" s="7" t="n">
        <x:v>1</x:v>
      </x:c>
      <x:c r="I563" s="9" t="n">
        <x:v>12000</x:v>
      </x:c>
      <x:c r="J563" s="9" t="n">
        <x:v>7200</x:v>
      </x:c>
      <x:c r="K563" s="10" t="n">
        <x:v>0</x:v>
      </x:c>
      <x:c r="L563" s="2" t="str">
        <x:v>Completed</x:v>
      </x:c>
      <x:c r="M563" s="12" t="n">
        <x:f>H563*I563</x:f>
        <x:v>12000</x:v>
      </x:c>
      <x:c r="N563" s="12" t="n">
        <x:f>IF(L563="Completed",ROUND(M563*(1-K563),2),0)</x:f>
        <x:v>12000</x:v>
      </x:c>
      <x:c r="O563" s="12" t="n">
        <x:f>IF(L563="Completed",H563*J563,0)</x:f>
        <x:v>7200</x:v>
      </x:c>
      <x:c r="P563" s="12" t="n">
        <x:f>N563-O563</x:f>
        <x:v>4800</x:v>
      </x:c>
    </x:row>
    <x:row r="564" ht="21" customHeight="1">
      <x:c r="A564" s="7" t="n">
        <x:v>559</x:v>
      </x:c>
      <x:c r="B564" s="2" t="str">
        <x:v>TXN-00559</x:v>
      </x:c>
      <x:c r="C564" s="8" t="d">
        <x:v>2025-06-28T00:00:00.000Z</x:v>
      </x:c>
      <x:c r="D564" s="2" t="str">
        <x:v>Port Harcourt</x:v>
      </x:c>
      <x:c r="E564" s="2" t="str">
        <x:v>Beauty</x:v>
      </x:c>
      <x:c r="F564" s="2" t="str">
        <x:v>Body wash</x:v>
      </x:c>
      <x:c r="G564" s="2" t="str">
        <x:v>In-store</x:v>
      </x:c>
      <x:c r="H564" s="7" t="n">
        <x:v>2</x:v>
      </x:c>
      <x:c r="I564" s="9" t="n">
        <x:v>4500</x:v>
      </x:c>
      <x:c r="J564" s="9" t="n">
        <x:v>2300</x:v>
      </x:c>
      <x:c r="K564" s="10" t="n">
        <x:v>0</x:v>
      </x:c>
      <x:c r="L564" s="2" t="str">
        <x:v>Returned</x:v>
      </x:c>
      <x:c r="M564" s="12" t="n">
        <x:f>H564*I564</x:f>
        <x:v>9000</x:v>
      </x:c>
      <x:c r="N564" s="12" t="n">
        <x:f>IF(L564="Completed",ROUND(M564*(1-K564),2),0)</x:f>
        <x:v>0</x:v>
      </x:c>
      <x:c r="O564" s="12" t="n">
        <x:f>IF(L564="Completed",H564*J564,0)</x:f>
        <x:v>0</x:v>
      </x:c>
      <x:c r="P564" s="12" t="n">
        <x:f>N564-O564</x:f>
        <x:v>0</x:v>
      </x:c>
    </x:row>
    <x:row r="565" ht="21" customHeight="1">
      <x:c r="A565" s="7" t="n">
        <x:v>560</x:v>
      </x:c>
      <x:c r="B565" s="2" t="str">
        <x:v>TXN-00560</x:v>
      </x:c>
      <x:c r="C565" s="8" t="d">
        <x:v>2025-06-08T00:00:00.000Z</x:v>
      </x:c>
      <x:c r="D565" s="2" t="str">
        <x:v>Port Harcourt</x:v>
      </x:c>
      <x:c r="E565" s="2" t="str">
        <x:v>Beauty</x:v>
      </x:c>
      <x:c r="F565" s="2" t="str">
        <x:v>Moisturizer</x:v>
      </x:c>
      <x:c r="G565" s="2" t="str">
        <x:v>Online</x:v>
      </x:c>
      <x:c r="H565" s="7" t="n">
        <x:v>2</x:v>
      </x:c>
      <x:c r="I565" s="9" t="n">
        <x:v>6500</x:v>
      </x:c>
      <x:c r="J565" s="9" t="n">
        <x:v>3500</x:v>
      </x:c>
      <x:c r="K565" s="10" t="n">
        <x:v>0.05</x:v>
      </x:c>
      <x:c r="L565" s="2" t="str">
        <x:v>Completed</x:v>
      </x:c>
      <x:c r="M565" s="12" t="n">
        <x:f>H565*I565</x:f>
        <x:v>13000</x:v>
      </x:c>
      <x:c r="N565" s="12" t="n">
        <x:f>IF(L565="Completed",ROUND(M565*(1-K565),2),0)</x:f>
        <x:v>12350</x:v>
      </x:c>
      <x:c r="O565" s="12" t="n">
        <x:f>IF(L565="Completed",H565*J565,0)</x:f>
        <x:v>7000</x:v>
      </x:c>
      <x:c r="P565" s="12" t="n">
        <x:f>N565-O565</x:f>
        <x:v>5350</x:v>
      </x:c>
    </x:row>
    <x:row r="566" ht="21" customHeight="1">
      <x:c r="A566" s="7" t="n">
        <x:v>561</x:v>
      </x:c>
      <x:c r="B566" s="2" t="str">
        <x:v>TXN-00561</x:v>
      </x:c>
      <x:c r="C566" s="8" t="d">
        <x:v>2025-06-21T00:00:00.000Z</x:v>
      </x:c>
      <x:c r="D566" s="2" t="str">
        <x:v>Lagos</x:v>
      </x:c>
      <x:c r="E566" s="2" t="str">
        <x:v>Home</x:v>
      </x:c>
      <x:c r="F566" s="2" t="str">
        <x:v>Desk lamp</x:v>
      </x:c>
      <x:c r="G566" s="2" t="str">
        <x:v>Online</x:v>
      </x:c>
      <x:c r="H566" s="7" t="n">
        <x:v>1</x:v>
      </x:c>
      <x:c r="I566" s="9" t="n">
        <x:v>12000</x:v>
      </x:c>
      <x:c r="J566" s="9" t="n">
        <x:v>7200</x:v>
      </x:c>
      <x:c r="K566" s="10" t="n">
        <x:v>0</x:v>
      </x:c>
      <x:c r="L566" s="2" t="str">
        <x:v>Completed</x:v>
      </x:c>
      <x:c r="M566" s="12" t="n">
        <x:f>H566*I566</x:f>
        <x:v>12000</x:v>
      </x:c>
      <x:c r="N566" s="12" t="n">
        <x:f>IF(L566="Completed",ROUND(M566*(1-K566),2),0)</x:f>
        <x:v>12000</x:v>
      </x:c>
      <x:c r="O566" s="12" t="n">
        <x:f>IF(L566="Completed",H566*J566,0)</x:f>
        <x:v>7200</x:v>
      </x:c>
      <x:c r="P566" s="12" t="n">
        <x:f>N566-O566</x:f>
        <x:v>4800</x:v>
      </x:c>
    </x:row>
    <x:row r="567" ht="21" customHeight="1">
      <x:c r="A567" s="7" t="n">
        <x:v>562</x:v>
      </x:c>
      <x:c r="B567" s="2" t="str">
        <x:v>TXN-00562</x:v>
      </x:c>
      <x:c r="C567" s="8" t="d">
        <x:v>2025-06-13T00:00:00.000Z</x:v>
      </x:c>
      <x:c r="D567" s="2" t="str">
        <x:v>Kano</x:v>
      </x:c>
      <x:c r="E567" s="2" t="str">
        <x:v>Home</x:v>
      </x:c>
      <x:c r="F567" s="2" t="str">
        <x:v>Desk lamp</x:v>
      </x:c>
      <x:c r="G567" s="2" t="str">
        <x:v>Online</x:v>
      </x:c>
      <x:c r="H567" s="7" t="n">
        <x:v>1</x:v>
      </x:c>
      <x:c r="I567" s="9" t="n">
        <x:v>12000</x:v>
      </x:c>
      <x:c r="J567" s="9" t="n">
        <x:v>7200</x:v>
      </x:c>
      <x:c r="K567" s="10" t="n">
        <x:v>0</x:v>
      </x:c>
      <x:c r="L567" s="2" t="str">
        <x:v>Completed</x:v>
      </x:c>
      <x:c r="M567" s="12" t="n">
        <x:f>H567*I567</x:f>
        <x:v>12000</x:v>
      </x:c>
      <x:c r="N567" s="12" t="n">
        <x:f>IF(L567="Completed",ROUND(M567*(1-K567),2),0)</x:f>
        <x:v>12000</x:v>
      </x:c>
      <x:c r="O567" s="12" t="n">
        <x:f>IF(L567="Completed",H567*J567,0)</x:f>
        <x:v>7200</x:v>
      </x:c>
      <x:c r="P567" s="12" t="n">
        <x:f>N567-O567</x:f>
        <x:v>4800</x:v>
      </x:c>
    </x:row>
    <x:row r="568" ht="21" customHeight="1">
      <x:c r="A568" s="7" t="n">
        <x:v>563</x:v>
      </x:c>
      <x:c r="B568" s="2" t="str">
        <x:v>TXN-00563</x:v>
      </x:c>
      <x:c r="C568" s="8" t="d">
        <x:v>2025-06-22T00:00:00.000Z</x:v>
      </x:c>
      <x:c r="D568" s="2" t="str">
        <x:v>Lagos</x:v>
      </x:c>
      <x:c r="E568" s="2" t="str">
        <x:v>Electronics</x:v>
      </x:c>
      <x:c r="F568" s="2" t="str">
        <x:v>Bluetooth speaker</x:v>
      </x:c>
      <x:c r="G568" s="2" t="str">
        <x:v>In-store</x:v>
      </x:c>
      <x:c r="H568" s="7" t="n">
        <x:v>2</x:v>
      </x:c>
      <x:c r="I568" s="9" t="n">
        <x:v>26000</x:v>
      </x:c>
      <x:c r="J568" s="9" t="n">
        <x:v>17000</x:v>
      </x:c>
      <x:c r="K568" s="10" t="n">
        <x:v>0.1</x:v>
      </x:c>
      <x:c r="L568" s="2" t="str">
        <x:v>Completed</x:v>
      </x:c>
      <x:c r="M568" s="12" t="n">
        <x:f>H568*I568</x:f>
        <x:v>52000</x:v>
      </x:c>
      <x:c r="N568" s="12" t="n">
        <x:f>IF(L568="Completed",ROUND(M568*(1-K568),2),0)</x:f>
        <x:v>46800</x:v>
      </x:c>
      <x:c r="O568" s="12" t="n">
        <x:f>IF(L568="Completed",H568*J568,0)</x:f>
        <x:v>34000</x:v>
      </x:c>
      <x:c r="P568" s="12" t="n">
        <x:f>N568-O568</x:f>
        <x:v>12800</x:v>
      </x:c>
    </x:row>
    <x:row r="569" ht="21" customHeight="1">
      <x:c r="A569" s="7" t="n">
        <x:v>564</x:v>
      </x:c>
      <x:c r="B569" s="2" t="str">
        <x:v>TXN-00564</x:v>
      </x:c>
      <x:c r="C569" s="8" t="d">
        <x:v>2025-06-08T00:00:00.000Z</x:v>
      </x:c>
      <x:c r="D569" s="2" t="str">
        <x:v>Port Harcourt</x:v>
      </x:c>
      <x:c r="E569" s="2" t="str">
        <x:v>Beauty</x:v>
      </x:c>
      <x:c r="F569" s="2" t="str">
        <x:v>Perfume</x:v>
      </x:c>
      <x:c r="G569" s="2" t="str">
        <x:v>Online</x:v>
      </x:c>
      <x:c r="H569" s="7" t="n">
        <x:v>2</x:v>
      </x:c>
      <x:c r="I569" s="9" t="n">
        <x:v>17000</x:v>
      </x:c>
      <x:c r="J569" s="9" t="n">
        <x:v>9000</x:v>
      </x:c>
      <x:c r="K569" s="10" t="n">
        <x:v>0.05</x:v>
      </x:c>
      <x:c r="L569" s="2" t="str">
        <x:v>Completed</x:v>
      </x:c>
      <x:c r="M569" s="12" t="n">
        <x:f>H569*I569</x:f>
        <x:v>34000</x:v>
      </x:c>
      <x:c r="N569" s="12" t="n">
        <x:f>IF(L569="Completed",ROUND(M569*(1-K569),2),0)</x:f>
        <x:v>32300</x:v>
      </x:c>
      <x:c r="O569" s="12" t="n">
        <x:f>IF(L569="Completed",H569*J569,0)</x:f>
        <x:v>18000</x:v>
      </x:c>
      <x:c r="P569" s="12" t="n">
        <x:f>N569-O569</x:f>
        <x:v>14300</x:v>
      </x:c>
    </x:row>
    <x:row r="570" ht="21" customHeight="1">
      <x:c r="A570" s="7" t="n">
        <x:v>565</x:v>
      </x:c>
      <x:c r="B570" s="2" t="str">
        <x:v>TXN-00565</x:v>
      </x:c>
      <x:c r="C570" s="8" t="d">
        <x:v>2025-06-17T00:00:00.000Z</x:v>
      </x:c>
      <x:c r="D570" s="2" t="str">
        <x:v>Abuja</x:v>
      </x:c>
      <x:c r="E570" s="2" t="str">
        <x:v>Electronics</x:v>
      </x:c>
      <x:c r="F570" s="2" t="str">
        <x:v>Bluetooth speaker</x:v>
      </x:c>
      <x:c r="G570" s="2" t="str">
        <x:v>Online</x:v>
      </x:c>
      <x:c r="H570" s="7" t="n">
        <x:v>1</x:v>
      </x:c>
      <x:c r="I570" s="9" t="n">
        <x:v>26000</x:v>
      </x:c>
      <x:c r="J570" s="9" t="n">
        <x:v>17000</x:v>
      </x:c>
      <x:c r="K570" s="10" t="n">
        <x:v>0.15</x:v>
      </x:c>
      <x:c r="L570" s="2" t="str">
        <x:v>Completed</x:v>
      </x:c>
      <x:c r="M570" s="12" t="n">
        <x:f>H570*I570</x:f>
        <x:v>26000</x:v>
      </x:c>
      <x:c r="N570" s="12" t="n">
        <x:f>IF(L570="Completed",ROUND(M570*(1-K570),2),0)</x:f>
        <x:v>22100</x:v>
      </x:c>
      <x:c r="O570" s="12" t="n">
        <x:f>IF(L570="Completed",H570*J570,0)</x:f>
        <x:v>17000</x:v>
      </x:c>
      <x:c r="P570" s="12" t="n">
        <x:f>N570-O570</x:f>
        <x:v>5100</x:v>
      </x:c>
    </x:row>
    <x:row r="571" ht="21" customHeight="1">
      <x:c r="A571" s="7" t="n">
        <x:v>566</x:v>
      </x:c>
      <x:c r="B571" s="2" t="str">
        <x:v>TXN-00566</x:v>
      </x:c>
      <x:c r="C571" s="8" t="d">
        <x:v>2025-06-29T00:00:00.000Z</x:v>
      </x:c>
      <x:c r="D571" s="2" t="str">
        <x:v>Kano</x:v>
      </x:c>
      <x:c r="E571" s="2" t="str">
        <x:v>Home</x:v>
      </x:c>
      <x:c r="F571" s="2" t="str">
        <x:v>Desk lamp</x:v>
      </x:c>
      <x:c r="G571" s="2" t="str">
        <x:v>Online</x:v>
      </x:c>
      <x:c r="H571" s="7" t="n">
        <x:v>1</x:v>
      </x:c>
      <x:c r="I571" s="9" t="n">
        <x:v>12000</x:v>
      </x:c>
      <x:c r="J571" s="9" t="n">
        <x:v>7200</x:v>
      </x:c>
      <x:c r="K571" s="10" t="n">
        <x:v>0</x:v>
      </x:c>
      <x:c r="L571" s="2" t="str">
        <x:v>Completed</x:v>
      </x:c>
      <x:c r="M571" s="12" t="n">
        <x:f>H571*I571</x:f>
        <x:v>12000</x:v>
      </x:c>
      <x:c r="N571" s="12" t="n">
        <x:f>IF(L571="Completed",ROUND(M571*(1-K571),2),0)</x:f>
        <x:v>12000</x:v>
      </x:c>
      <x:c r="O571" s="12" t="n">
        <x:f>IF(L571="Completed",H571*J571,0)</x:f>
        <x:v>7200</x:v>
      </x:c>
      <x:c r="P571" s="12" t="n">
        <x:f>N571-O571</x:f>
        <x:v>4800</x:v>
      </x:c>
    </x:row>
    <x:row r="572" ht="21" customHeight="1">
      <x:c r="A572" s="7" t="n">
        <x:v>567</x:v>
      </x:c>
      <x:c r="B572" s="2" t="str">
        <x:v>TXN-00567</x:v>
      </x:c>
      <x:c r="C572" s="8" t="d">
        <x:v>2025-06-04T00:00:00.000Z</x:v>
      </x:c>
      <x:c r="D572" s="2" t="str">
        <x:v>Abuja</x:v>
      </x:c>
      <x:c r="E572" s="2" t="str">
        <x:v>Fashion</x:v>
      </x:c>
      <x:c r="F572" s="2" t="str">
        <x:v>Sneakers</x:v>
      </x:c>
      <x:c r="G572" s="2" t="str">
        <x:v>Online</x:v>
      </x:c>
      <x:c r="H572" s="7" t="n">
        <x:v>3</x:v>
      </x:c>
      <x:c r="I572" s="9" t="n">
        <x:v>28000</x:v>
      </x:c>
      <x:c r="J572" s="9" t="n">
        <x:v>17500</x:v>
      </x:c>
      <x:c r="K572" s="10" t="n">
        <x:v>0.1</x:v>
      </x:c>
      <x:c r="L572" s="2" t="str">
        <x:v>Returned</x:v>
      </x:c>
      <x:c r="M572" s="12" t="n">
        <x:f>H572*I572</x:f>
        <x:v>84000</x:v>
      </x:c>
      <x:c r="N572" s="12" t="n">
        <x:f>IF(L572="Completed",ROUND(M572*(1-K572),2),0)</x:f>
        <x:v>0</x:v>
      </x:c>
      <x:c r="O572" s="12" t="n">
        <x:f>IF(L572="Completed",H572*J572,0)</x:f>
        <x:v>0</x:v>
      </x:c>
      <x:c r="P572" s="12" t="n">
        <x:f>N572-O572</x:f>
        <x:v>0</x:v>
      </x:c>
    </x:row>
    <x:row r="573" ht="21" customHeight="1">
      <x:c r="A573" s="7" t="n">
        <x:v>568</x:v>
      </x:c>
      <x:c r="B573" s="2" t="str">
        <x:v>TXN-00568</x:v>
      </x:c>
      <x:c r="C573" s="8" t="d">
        <x:v>2025-06-12T00:00:00.000Z</x:v>
      </x:c>
      <x:c r="D573" s="2" t="str">
        <x:v>Port Harcourt</x:v>
      </x:c>
      <x:c r="E573" s="2" t="str">
        <x:v>Electronics</x:v>
      </x:c>
      <x:c r="F573" s="2" t="str">
        <x:v>Bluetooth speaker</x:v>
      </x:c>
      <x:c r="G573" s="2" t="str">
        <x:v>Online</x:v>
      </x:c>
      <x:c r="H573" s="7" t="n">
        <x:v>2</x:v>
      </x:c>
      <x:c r="I573" s="9" t="n">
        <x:v>26000</x:v>
      </x:c>
      <x:c r="J573" s="9" t="n">
        <x:v>17000</x:v>
      </x:c>
      <x:c r="K573" s="10" t="n">
        <x:v>0</x:v>
      </x:c>
      <x:c r="L573" s="2" t="str">
        <x:v>Returned</x:v>
      </x:c>
      <x:c r="M573" s="12" t="n">
        <x:f>H573*I573</x:f>
        <x:v>52000</x:v>
      </x:c>
      <x:c r="N573" s="12" t="n">
        <x:f>IF(L573="Completed",ROUND(M573*(1-K573),2),0)</x:f>
        <x:v>0</x:v>
      </x:c>
      <x:c r="O573" s="12" t="n">
        <x:f>IF(L573="Completed",H573*J573,0)</x:f>
        <x:v>0</x:v>
      </x:c>
      <x:c r="P573" s="12" t="n">
        <x:f>N573-O573</x:f>
        <x:v>0</x:v>
      </x:c>
    </x:row>
    <x:row r="574" ht="21" customHeight="1">
      <x:c r="A574" s="7" t="n">
        <x:v>569</x:v>
      </x:c>
      <x:c r="B574" s="2" t="str">
        <x:v>TXN-00569</x:v>
      </x:c>
      <x:c r="C574" s="8" t="d">
        <x:v>2025-06-28T00:00:00.000Z</x:v>
      </x:c>
      <x:c r="D574" s="2" t="str">
        <x:v>Abuja</x:v>
      </x:c>
      <x:c r="E574" s="2" t="str">
        <x:v>Electronics</x:v>
      </x:c>
      <x:c r="F574" s="2" t="str">
        <x:v>Bluetooth speaker</x:v>
      </x:c>
      <x:c r="G574" s="2" t="str">
        <x:v>In-store</x:v>
      </x:c>
      <x:c r="H574" s="7" t="n">
        <x:v>2</x:v>
      </x:c>
      <x:c r="I574" s="9" t="n">
        <x:v>26000</x:v>
      </x:c>
      <x:c r="J574" s="9" t="n">
        <x:v>17000</x:v>
      </x:c>
      <x:c r="K574" s="10" t="n">
        <x:v>0.05</x:v>
      </x:c>
      <x:c r="L574" s="2" t="str">
        <x:v>Completed</x:v>
      </x:c>
      <x:c r="M574" s="12" t="n">
        <x:f>H574*I574</x:f>
        <x:v>52000</x:v>
      </x:c>
      <x:c r="N574" s="12" t="n">
        <x:f>IF(L574="Completed",ROUND(M574*(1-K574),2),0)</x:f>
        <x:v>49400</x:v>
      </x:c>
      <x:c r="O574" s="12" t="n">
        <x:f>IF(L574="Completed",H574*J574,0)</x:f>
        <x:v>34000</x:v>
      </x:c>
      <x:c r="P574" s="12" t="n">
        <x:f>N574-O574</x:f>
        <x:v>15400</x:v>
      </x:c>
    </x:row>
    <x:row r="575" ht="21" customHeight="1">
      <x:c r="A575" s="7" t="n">
        <x:v>570</x:v>
      </x:c>
      <x:c r="B575" s="2" t="str">
        <x:v>TXN-00570</x:v>
      </x:c>
      <x:c r="C575" s="8" t="d">
        <x:v>2025-06-26T00:00:00.000Z</x:v>
      </x:c>
      <x:c r="D575" s="2" t="str">
        <x:v>Lagos</x:v>
      </x:c>
      <x:c r="E575" s="2" t="str">
        <x:v>Fashion</x:v>
      </x:c>
      <x:c r="F575" s="2" t="str">
        <x:v>Sneakers</x:v>
      </x:c>
      <x:c r="G575" s="2" t="str">
        <x:v>In-store</x:v>
      </x:c>
      <x:c r="H575" s="7" t="n">
        <x:v>2</x:v>
      </x:c>
      <x:c r="I575" s="9" t="n">
        <x:v>28000</x:v>
      </x:c>
      <x:c r="J575" s="9" t="n">
        <x:v>17500</x:v>
      </x:c>
      <x:c r="K575" s="10" t="n">
        <x:v>0.1</x:v>
      </x:c>
      <x:c r="L575" s="2" t="str">
        <x:v>Completed</x:v>
      </x:c>
      <x:c r="M575" s="12" t="n">
        <x:f>H575*I575</x:f>
        <x:v>56000</x:v>
      </x:c>
      <x:c r="N575" s="12" t="n">
        <x:f>IF(L575="Completed",ROUND(M575*(1-K575),2),0)</x:f>
        <x:v>50400</x:v>
      </x:c>
      <x:c r="O575" s="12" t="n">
        <x:f>IF(L575="Completed",H575*J575,0)</x:f>
        <x:v>35000</x:v>
      </x:c>
      <x:c r="P575" s="12" t="n">
        <x:f>N575-O575</x:f>
        <x:v>15400</x:v>
      </x:c>
    </x:row>
    <x:row r="576" ht="21" customHeight="1">
      <x:c r="A576" s="7" t="n">
        <x:v>571</x:v>
      </x:c>
      <x:c r="B576" s="2" t="str">
        <x:v>TXN-00571</x:v>
      </x:c>
      <x:c r="C576" s="8" t="d">
        <x:v>2025-06-21T00:00:00.000Z</x:v>
      </x:c>
      <x:c r="D576" s="2" t="str">
        <x:v>Lagos</x:v>
      </x:c>
      <x:c r="E576" s="2" t="str">
        <x:v>Electronics</x:v>
      </x:c>
      <x:c r="F576" s="2" t="str">
        <x:v>Power bank</x:v>
      </x:c>
      <x:c r="G576" s="2" t="str">
        <x:v>In-store</x:v>
      </x:c>
      <x:c r="H576" s="7" t="n">
        <x:v>2</x:v>
      </x:c>
      <x:c r="I576" s="9" t="n">
        <x:v>15000</x:v>
      </x:c>
      <x:c r="J576" s="9" t="n">
        <x:v>9500</x:v>
      </x:c>
      <x:c r="K576" s="10" t="n">
        <x:v>0</x:v>
      </x:c>
      <x:c r="L576" s="2" t="str">
        <x:v>Completed</x:v>
      </x:c>
      <x:c r="M576" s="12" t="n">
        <x:f>H576*I576</x:f>
        <x:v>30000</x:v>
      </x:c>
      <x:c r="N576" s="12" t="n">
        <x:f>IF(L576="Completed",ROUND(M576*(1-K576),2),0)</x:f>
        <x:v>30000</x:v>
      </x:c>
      <x:c r="O576" s="12" t="n">
        <x:f>IF(L576="Completed",H576*J576,0)</x:f>
        <x:v>19000</x:v>
      </x:c>
      <x:c r="P576" s="12" t="n">
        <x:f>N576-O576</x:f>
        <x:v>11000</x:v>
      </x:c>
    </x:row>
    <x:row r="577" ht="21" customHeight="1">
      <x:c r="A577" s="7" t="n">
        <x:v>572</x:v>
      </x:c>
      <x:c r="B577" s="2" t="str">
        <x:v>TXN-00572</x:v>
      </x:c>
      <x:c r="C577" s="8" t="d">
        <x:v>2025-06-13T00:00:00.000Z</x:v>
      </x:c>
      <x:c r="D577" s="2" t="str">
        <x:v>Port Harcourt</x:v>
      </x:c>
      <x:c r="E577" s="2" t="str">
        <x:v>Beauty</x:v>
      </x:c>
      <x:c r="F577" s="2" t="str">
        <x:v>Body wash</x:v>
      </x:c>
      <x:c r="G577" s="2" t="str">
        <x:v>Online</x:v>
      </x:c>
      <x:c r="H577" s="7" t="n">
        <x:v>1</x:v>
      </x:c>
      <x:c r="I577" s="9" t="n">
        <x:v>4500</x:v>
      </x:c>
      <x:c r="J577" s="9" t="n">
        <x:v>2300</x:v>
      </x:c>
      <x:c r="K577" s="10" t="n">
        <x:v>0.15</x:v>
      </x:c>
      <x:c r="L577" s="2" t="str">
        <x:v>Completed</x:v>
      </x:c>
      <x:c r="M577" s="12" t="n">
        <x:f>H577*I577</x:f>
        <x:v>4500</x:v>
      </x:c>
      <x:c r="N577" s="12" t="n">
        <x:f>IF(L577="Completed",ROUND(M577*(1-K577),2),0)</x:f>
        <x:v>3825</x:v>
      </x:c>
      <x:c r="O577" s="12" t="n">
        <x:f>IF(L577="Completed",H577*J577,0)</x:f>
        <x:v>2300</x:v>
      </x:c>
      <x:c r="P577" s="12" t="n">
        <x:f>N577-O577</x:f>
        <x:v>1525</x:v>
      </x:c>
    </x:row>
    <x:row r="578" ht="21" customHeight="1">
      <x:c r="A578" s="7" t="n">
        <x:v>573</x:v>
      </x:c>
      <x:c r="B578" s="2" t="str">
        <x:v>TXN-00573</x:v>
      </x:c>
      <x:c r="C578" s="8" t="d">
        <x:v>2025-06-29T00:00:00.000Z</x:v>
      </x:c>
      <x:c r="D578" s="2" t="str">
        <x:v>Kano</x:v>
      </x:c>
      <x:c r="E578" s="2" t="str">
        <x:v>Beauty</x:v>
      </x:c>
      <x:c r="F578" s="2" t="str">
        <x:v>Perfume</x:v>
      </x:c>
      <x:c r="G578" s="2" t="str">
        <x:v>Online</x:v>
      </x:c>
      <x:c r="H578" s="7" t="n">
        <x:v>2</x:v>
      </x:c>
      <x:c r="I578" s="9" t="n">
        <x:v>17000</x:v>
      </x:c>
      <x:c r="J578" s="9" t="n">
        <x:v>9000</x:v>
      </x:c>
      <x:c r="K578" s="10" t="n">
        <x:v>0</x:v>
      </x:c>
      <x:c r="L578" s="2" t="str">
        <x:v>Completed</x:v>
      </x:c>
      <x:c r="M578" s="12" t="n">
        <x:f>H578*I578</x:f>
        <x:v>34000</x:v>
      </x:c>
      <x:c r="N578" s="12" t="n">
        <x:f>IF(L578="Completed",ROUND(M578*(1-K578),2),0)</x:f>
        <x:v>34000</x:v>
      </x:c>
      <x:c r="O578" s="12" t="n">
        <x:f>IF(L578="Completed",H578*J578,0)</x:f>
        <x:v>18000</x:v>
      </x:c>
      <x:c r="P578" s="12" t="n">
        <x:f>N578-O578</x:f>
        <x:v>16000</x:v>
      </x:c>
    </x:row>
    <x:row r="579" ht="21" customHeight="1">
      <x:c r="A579" s="7" t="n">
        <x:v>574</x:v>
      </x:c>
      <x:c r="B579" s="2" t="str">
        <x:v>TXN-00574</x:v>
      </x:c>
      <x:c r="C579" s="8" t="d">
        <x:v>2025-06-29T00:00:00.000Z</x:v>
      </x:c>
      <x:c r="D579" s="2" t="str">
        <x:v>Kano</x:v>
      </x:c>
      <x:c r="E579" s="2" t="str">
        <x:v>Electronics</x:v>
      </x:c>
      <x:c r="F579" s="2" t="str">
        <x:v>Headphones</x:v>
      </x:c>
      <x:c r="G579" s="2" t="str">
        <x:v>Online</x:v>
      </x:c>
      <x:c r="H579" s="7" t="n">
        <x:v>1</x:v>
      </x:c>
      <x:c r="I579" s="9" t="n">
        <x:v>18000</x:v>
      </x:c>
      <x:c r="J579" s="9" t="n">
        <x:v>10500</x:v>
      </x:c>
      <x:c r="K579" s="10" t="n">
        <x:v>0</x:v>
      </x:c>
      <x:c r="L579" s="2" t="str">
        <x:v>Completed</x:v>
      </x:c>
      <x:c r="M579" s="12" t="n">
        <x:f>H579*I579</x:f>
        <x:v>18000</x:v>
      </x:c>
      <x:c r="N579" s="12" t="n">
        <x:f>IF(L579="Completed",ROUND(M579*(1-K579),2),0)</x:f>
        <x:v>18000</x:v>
      </x:c>
      <x:c r="O579" s="12" t="n">
        <x:f>IF(L579="Completed",H579*J579,0)</x:f>
        <x:v>10500</x:v>
      </x:c>
      <x:c r="P579" s="12" t="n">
        <x:f>N579-O579</x:f>
        <x:v>7500</x:v>
      </x:c>
    </x:row>
    <x:row r="580" ht="21" customHeight="1">
      <x:c r="A580" s="7" t="n">
        <x:v>575</x:v>
      </x:c>
      <x:c r="B580" s="2" t="str">
        <x:v>TXN-00575</x:v>
      </x:c>
      <x:c r="C580" s="8" t="d">
        <x:v>2025-06-25T00:00:00.000Z</x:v>
      </x:c>
      <x:c r="D580" s="2" t="str">
        <x:v>Lagos</x:v>
      </x:c>
      <x:c r="E580" s="2" t="str">
        <x:v>Fashion</x:v>
      </x:c>
      <x:c r="F580" s="2" t="str">
        <x:v>Handbag</x:v>
      </x:c>
      <x:c r="G580" s="2" t="str">
        <x:v>In-store</x:v>
      </x:c>
      <x:c r="H580" s="7" t="n">
        <x:v>2</x:v>
      </x:c>
      <x:c r="I580" s="9" t="n">
        <x:v>22000</x:v>
      </x:c>
      <x:c r="J580" s="9" t="n">
        <x:v>13500</x:v>
      </x:c>
      <x:c r="K580" s="10" t="n">
        <x:v>0</x:v>
      </x:c>
      <x:c r="L580" s="2" t="str">
        <x:v>Completed</x:v>
      </x:c>
      <x:c r="M580" s="12" t="n">
        <x:f>H580*I580</x:f>
        <x:v>44000</x:v>
      </x:c>
      <x:c r="N580" s="12" t="n">
        <x:f>IF(L580="Completed",ROUND(M580*(1-K580),2),0)</x:f>
        <x:v>44000</x:v>
      </x:c>
      <x:c r="O580" s="12" t="n">
        <x:f>IF(L580="Completed",H580*J580,0)</x:f>
        <x:v>27000</x:v>
      </x:c>
      <x:c r="P580" s="12" t="n">
        <x:f>N580-O580</x:f>
        <x:v>17000</x:v>
      </x:c>
    </x:row>
    <x:row r="581" ht="21" customHeight="1">
      <x:c r="A581" s="7" t="n">
        <x:v>576</x:v>
      </x:c>
      <x:c r="B581" s="2" t="str">
        <x:v>TXN-00576</x:v>
      </x:c>
      <x:c r="C581" s="8" t="d">
        <x:v>2025-06-19T00:00:00.000Z</x:v>
      </x:c>
      <x:c r="D581" s="2" t="str">
        <x:v>Lagos</x:v>
      </x:c>
      <x:c r="E581" s="2" t="str">
        <x:v>Electronics</x:v>
      </x:c>
      <x:c r="F581" s="2" t="str">
        <x:v>Bluetooth speaker</x:v>
      </x:c>
      <x:c r="G581" s="2" t="str">
        <x:v>Online</x:v>
      </x:c>
      <x:c r="H581" s="7" t="n">
        <x:v>1</x:v>
      </x:c>
      <x:c r="I581" s="9" t="n">
        <x:v>26000</x:v>
      </x:c>
      <x:c r="J581" s="9" t="n">
        <x:v>17000</x:v>
      </x:c>
      <x:c r="K581" s="10" t="n">
        <x:v>0</x:v>
      </x:c>
      <x:c r="L581" s="2" t="str">
        <x:v>Completed</x:v>
      </x:c>
      <x:c r="M581" s="12" t="n">
        <x:f>H581*I581</x:f>
        <x:v>26000</x:v>
      </x:c>
      <x:c r="N581" s="12" t="n">
        <x:f>IF(L581="Completed",ROUND(M581*(1-K581),2),0)</x:f>
        <x:v>26000</x:v>
      </x:c>
      <x:c r="O581" s="12" t="n">
        <x:f>IF(L581="Completed",H581*J581,0)</x:f>
        <x:v>17000</x:v>
      </x:c>
      <x:c r="P581" s="12" t="n">
        <x:f>N581-O581</x:f>
        <x:v>9000</x:v>
      </x:c>
    </x:row>
    <x:row r="582" ht="21" customHeight="1">
      <x:c r="A582" s="7" t="n">
        <x:v>577</x:v>
      </x:c>
      <x:c r="B582" s="2" t="str">
        <x:v>TXN-00577</x:v>
      </x:c>
      <x:c r="C582" s="8" t="d">
        <x:v>2025-06-02T00:00:00.000Z</x:v>
      </x:c>
      <x:c r="D582" s="2" t="str">
        <x:v>Port Harcourt</x:v>
      </x:c>
      <x:c r="E582" s="2" t="str">
        <x:v>Fashion</x:v>
      </x:c>
      <x:c r="F582" s="2" t="str">
        <x:v>T-shirt</x:v>
      </x:c>
      <x:c r="G582" s="2" t="str">
        <x:v>Online</x:v>
      </x:c>
      <x:c r="H582" s="7" t="n">
        <x:v>1</x:v>
      </x:c>
      <x:c r="I582" s="9" t="n">
        <x:v>9000</x:v>
      </x:c>
      <x:c r="J582" s="9" t="n">
        <x:v>5000</x:v>
      </x:c>
      <x:c r="K582" s="10" t="n">
        <x:v>0.15</x:v>
      </x:c>
      <x:c r="L582" s="2" t="str">
        <x:v>Completed</x:v>
      </x:c>
      <x:c r="M582" s="12" t="n">
        <x:f>H582*I582</x:f>
        <x:v>9000</x:v>
      </x:c>
      <x:c r="N582" s="12" t="n">
        <x:f>IF(L582="Completed",ROUND(M582*(1-K582),2),0)</x:f>
        <x:v>7650</x:v>
      </x:c>
      <x:c r="O582" s="12" t="n">
        <x:f>IF(L582="Completed",H582*J582,0)</x:f>
        <x:v>5000</x:v>
      </x:c>
      <x:c r="P582" s="12" t="n">
        <x:f>N582-O582</x:f>
        <x:v>2650</x:v>
      </x:c>
    </x:row>
    <x:row r="583" ht="21" customHeight="1">
      <x:c r="A583" s="7" t="n">
        <x:v>578</x:v>
      </x:c>
      <x:c r="B583" s="2" t="str">
        <x:v>TXN-00578</x:v>
      </x:c>
      <x:c r="C583" s="8" t="d">
        <x:v>2025-06-18T00:00:00.000Z</x:v>
      </x:c>
      <x:c r="D583" s="2" t="str">
        <x:v>Kano</x:v>
      </x:c>
      <x:c r="E583" s="2" t="str">
        <x:v>Fashion</x:v>
      </x:c>
      <x:c r="F583" s="2" t="str">
        <x:v>Handbag</x:v>
      </x:c>
      <x:c r="G583" s="2" t="str">
        <x:v>In-store</x:v>
      </x:c>
      <x:c r="H583" s="7" t="n">
        <x:v>2</x:v>
      </x:c>
      <x:c r="I583" s="9" t="n">
        <x:v>22000</x:v>
      </x:c>
      <x:c r="J583" s="9" t="n">
        <x:v>13500</x:v>
      </x:c>
      <x:c r="K583" s="10" t="n">
        <x:v>0</x:v>
      </x:c>
      <x:c r="L583" s="2" t="str">
        <x:v>Completed</x:v>
      </x:c>
      <x:c r="M583" s="12" t="n">
        <x:f>H583*I583</x:f>
        <x:v>44000</x:v>
      </x:c>
      <x:c r="N583" s="12" t="n">
        <x:f>IF(L583="Completed",ROUND(M583*(1-K583),2),0)</x:f>
        <x:v>44000</x:v>
      </x:c>
      <x:c r="O583" s="12" t="n">
        <x:f>IF(L583="Completed",H583*J583,0)</x:f>
        <x:v>27000</x:v>
      </x:c>
      <x:c r="P583" s="12" t="n">
        <x:f>N583-O583</x:f>
        <x:v>17000</x:v>
      </x:c>
    </x:row>
    <x:row r="584" ht="21" customHeight="1">
      <x:c r="A584" s="7" t="n">
        <x:v>579</x:v>
      </x:c>
      <x:c r="B584" s="2" t="str">
        <x:v>TXN-00579</x:v>
      </x:c>
      <x:c r="C584" s="8" t="d">
        <x:v>2025-06-11T00:00:00.000Z</x:v>
      </x:c>
      <x:c r="D584" s="2" t="str">
        <x:v>Kano</x:v>
      </x:c>
      <x:c r="E584" s="2" t="str">
        <x:v>Electronics</x:v>
      </x:c>
      <x:c r="F584" s="2" t="str">
        <x:v>Bluetooth speaker</x:v>
      </x:c>
      <x:c r="G584" s="2" t="str">
        <x:v>Online</x:v>
      </x:c>
      <x:c r="H584" s="7" t="n">
        <x:v>1</x:v>
      </x:c>
      <x:c r="I584" s="9" t="n">
        <x:v>26000</x:v>
      </x:c>
      <x:c r="J584" s="9" t="n">
        <x:v>17000</x:v>
      </x:c>
      <x:c r="K584" s="10" t="n">
        <x:v>0</x:v>
      </x:c>
      <x:c r="L584" s="2" t="str">
        <x:v>Completed</x:v>
      </x:c>
      <x:c r="M584" s="12" t="n">
        <x:f>H584*I584</x:f>
        <x:v>26000</x:v>
      </x:c>
      <x:c r="N584" s="12" t="n">
        <x:f>IF(L584="Completed",ROUND(M584*(1-K584),2),0)</x:f>
        <x:v>26000</x:v>
      </x:c>
      <x:c r="O584" s="12" t="n">
        <x:f>IF(L584="Completed",H584*J584,0)</x:f>
        <x:v>17000</x:v>
      </x:c>
      <x:c r="P584" s="12" t="n">
        <x:f>N584-O584</x:f>
        <x:v>9000</x:v>
      </x:c>
    </x:row>
    <x:row r="585" ht="21" customHeight="1">
      <x:c r="A585" s="7" t="n">
        <x:v>580</x:v>
      </x:c>
      <x:c r="B585" s="2" t="str">
        <x:v>TXN-00580</x:v>
      </x:c>
      <x:c r="C585" s="8" t="d">
        <x:v>2025-06-20T00:00:00.000Z</x:v>
      </x:c>
      <x:c r="D585" s="2" t="str">
        <x:v>Abuja</x:v>
      </x:c>
      <x:c r="E585" s="2" t="str">
        <x:v>Electronics</x:v>
      </x:c>
      <x:c r="F585" s="2" t="str">
        <x:v>Headphones</x:v>
      </x:c>
      <x:c r="G585" s="2" t="str">
        <x:v>Online</x:v>
      </x:c>
      <x:c r="H585" s="7" t="n">
        <x:v>2</x:v>
      </x:c>
      <x:c r="I585" s="9" t="n">
        <x:v>18000</x:v>
      </x:c>
      <x:c r="J585" s="9" t="n">
        <x:v>10500</x:v>
      </x:c>
      <x:c r="K585" s="10" t="n">
        <x:v>0</x:v>
      </x:c>
      <x:c r="L585" s="2" t="str">
        <x:v>Completed</x:v>
      </x:c>
      <x:c r="M585" s="12" t="n">
        <x:f>H585*I585</x:f>
        <x:v>36000</x:v>
      </x:c>
      <x:c r="N585" s="12" t="n">
        <x:f>IF(L585="Completed",ROUND(M585*(1-K585),2),0)</x:f>
        <x:v>36000</x:v>
      </x:c>
      <x:c r="O585" s="12" t="n">
        <x:f>IF(L585="Completed",H585*J585,0)</x:f>
        <x:v>21000</x:v>
      </x:c>
      <x:c r="P585" s="12" t="n">
        <x:f>N585-O585</x:f>
        <x:v>15000</x:v>
      </x:c>
    </x:row>
    <x:row r="586" ht="21" customHeight="1">
      <x:c r="A586" s="7" t="n">
        <x:v>581</x:v>
      </x:c>
      <x:c r="B586" s="2" t="str">
        <x:v>TXN-00581</x:v>
      </x:c>
      <x:c r="C586" s="8" t="d">
        <x:v>2025-06-02T00:00:00.000Z</x:v>
      </x:c>
      <x:c r="D586" s="2" t="str">
        <x:v>Lagos</x:v>
      </x:c>
      <x:c r="E586" s="2" t="str">
        <x:v>Home</x:v>
      </x:c>
      <x:c r="F586" s="2" t="str">
        <x:v>Desk lamp</x:v>
      </x:c>
      <x:c r="G586" s="2" t="str">
        <x:v>In-store</x:v>
      </x:c>
      <x:c r="H586" s="7" t="n">
        <x:v>1</x:v>
      </x:c>
      <x:c r="I586" s="9" t="n">
        <x:v>12000</x:v>
      </x:c>
      <x:c r="J586" s="9" t="n">
        <x:v>7200</x:v>
      </x:c>
      <x:c r="K586" s="10" t="n">
        <x:v>0</x:v>
      </x:c>
      <x:c r="L586" s="2" t="str">
        <x:v>Completed</x:v>
      </x:c>
      <x:c r="M586" s="12" t="n">
        <x:f>H586*I586</x:f>
        <x:v>12000</x:v>
      </x:c>
      <x:c r="N586" s="12" t="n">
        <x:f>IF(L586="Completed",ROUND(M586*(1-K586),2),0)</x:f>
        <x:v>12000</x:v>
      </x:c>
      <x:c r="O586" s="12" t="n">
        <x:f>IF(L586="Completed",H586*J586,0)</x:f>
        <x:v>7200</x:v>
      </x:c>
      <x:c r="P586" s="12" t="n">
        <x:f>N586-O586</x:f>
        <x:v>4800</x:v>
      </x:c>
    </x:row>
    <x:row r="587" ht="21" customHeight="1">
      <x:c r="A587" s="7" t="n">
        <x:v>582</x:v>
      </x:c>
      <x:c r="B587" s="2" t="str">
        <x:v>TXN-00582</x:v>
      </x:c>
      <x:c r="C587" s="8" t="d">
        <x:v>2025-06-29T00:00:00.000Z</x:v>
      </x:c>
      <x:c r="D587" s="2" t="str">
        <x:v>Port Harcourt</x:v>
      </x:c>
      <x:c r="E587" s="2" t="str">
        <x:v>Home</x:v>
      </x:c>
      <x:c r="F587" s="2" t="str">
        <x:v>Cookware set</x:v>
      </x:c>
      <x:c r="G587" s="2" t="str">
        <x:v>Online</x:v>
      </x:c>
      <x:c r="H587" s="7" t="n">
        <x:v>1</x:v>
      </x:c>
      <x:c r="I587" s="9" t="n">
        <x:v>35000</x:v>
      </x:c>
      <x:c r="J587" s="9" t="n">
        <x:v>22500</x:v>
      </x:c>
      <x:c r="K587" s="10" t="n">
        <x:v>0.05</x:v>
      </x:c>
      <x:c r="L587" s="2" t="str">
        <x:v>Completed</x:v>
      </x:c>
      <x:c r="M587" s="12" t="n">
        <x:f>H587*I587</x:f>
        <x:v>35000</x:v>
      </x:c>
      <x:c r="N587" s="12" t="n">
        <x:f>IF(L587="Completed",ROUND(M587*(1-K587),2),0)</x:f>
        <x:v>33250</x:v>
      </x:c>
      <x:c r="O587" s="12" t="n">
        <x:f>IF(L587="Completed",H587*J587,0)</x:f>
        <x:v>22500</x:v>
      </x:c>
      <x:c r="P587" s="12" t="n">
        <x:f>N587-O587</x:f>
        <x:v>10750</x:v>
      </x:c>
    </x:row>
    <x:row r="588" ht="21" customHeight="1">
      <x:c r="A588" s="7" t="n">
        <x:v>583</x:v>
      </x:c>
      <x:c r="B588" s="2" t="str">
        <x:v>TXN-00583</x:v>
      </x:c>
      <x:c r="C588" s="8" t="d">
        <x:v>2025-06-01T00:00:00.000Z</x:v>
      </x:c>
      <x:c r="D588" s="2" t="str">
        <x:v>Port Harcourt</x:v>
      </x:c>
      <x:c r="E588" s="2" t="str">
        <x:v>Electronics</x:v>
      </x:c>
      <x:c r="F588" s="2" t="str">
        <x:v>Headphones</x:v>
      </x:c>
      <x:c r="G588" s="2" t="str">
        <x:v>Online</x:v>
      </x:c>
      <x:c r="H588" s="7" t="n">
        <x:v>1</x:v>
      </x:c>
      <x:c r="I588" s="9" t="n">
        <x:v>18000</x:v>
      </x:c>
      <x:c r="J588" s="9" t="n">
        <x:v>10500</x:v>
      </x:c>
      <x:c r="K588" s="10" t="n">
        <x:v>0.05</x:v>
      </x:c>
      <x:c r="L588" s="2" t="str">
        <x:v>Completed</x:v>
      </x:c>
      <x:c r="M588" s="12" t="n">
        <x:f>H588*I588</x:f>
        <x:v>18000</x:v>
      </x:c>
      <x:c r="N588" s="12" t="n">
        <x:f>IF(L588="Completed",ROUND(M588*(1-K588),2),0)</x:f>
        <x:v>17100</x:v>
      </x:c>
      <x:c r="O588" s="12" t="n">
        <x:f>IF(L588="Completed",H588*J588,0)</x:f>
        <x:v>10500</x:v>
      </x:c>
      <x:c r="P588" s="12" t="n">
        <x:f>N588-O588</x:f>
        <x:v>6600</x:v>
      </x:c>
    </x:row>
    <x:row r="589" ht="21" customHeight="1">
      <x:c r="A589" s="7" t="n">
        <x:v>584</x:v>
      </x:c>
      <x:c r="B589" s="2" t="str">
        <x:v>TXN-00584</x:v>
      </x:c>
      <x:c r="C589" s="8" t="d">
        <x:v>2025-06-03T00:00:00.000Z</x:v>
      </x:c>
      <x:c r="D589" s="2" t="str">
        <x:v>Port Harcourt</x:v>
      </x:c>
      <x:c r="E589" s="2" t="str">
        <x:v>Beauty</x:v>
      </x:c>
      <x:c r="F589" s="2" t="str">
        <x:v>Moisturizer</x:v>
      </x:c>
      <x:c r="G589" s="2" t="str">
        <x:v>Online</x:v>
      </x:c>
      <x:c r="H589" s="7" t="n">
        <x:v>3</x:v>
      </x:c>
      <x:c r="I589" s="9" t="n">
        <x:v>6500</x:v>
      </x:c>
      <x:c r="J589" s="9" t="n">
        <x:v>3500</x:v>
      </x:c>
      <x:c r="K589" s="10" t="n">
        <x:v>0</x:v>
      </x:c>
      <x:c r="L589" s="2" t="str">
        <x:v>Completed</x:v>
      </x:c>
      <x:c r="M589" s="12" t="n">
        <x:f>H589*I589</x:f>
        <x:v>19500</x:v>
      </x:c>
      <x:c r="N589" s="12" t="n">
        <x:f>IF(L589="Completed",ROUND(M589*(1-K589),2),0)</x:f>
        <x:v>19500</x:v>
      </x:c>
      <x:c r="O589" s="12" t="n">
        <x:f>IF(L589="Completed",H589*J589,0)</x:f>
        <x:v>10500</x:v>
      </x:c>
      <x:c r="P589" s="12" t="n">
        <x:f>N589-O589</x:f>
        <x:v>9000</x:v>
      </x:c>
    </x:row>
    <x:row r="590" ht="21" customHeight="1">
      <x:c r="A590" s="7" t="n">
        <x:v>585</x:v>
      </x:c>
      <x:c r="B590" s="2" t="str">
        <x:v>TXN-00585</x:v>
      </x:c>
      <x:c r="C590" s="8" t="d">
        <x:v>2025-06-16T00:00:00.000Z</x:v>
      </x:c>
      <x:c r="D590" s="2" t="str">
        <x:v>Lagos</x:v>
      </x:c>
      <x:c r="E590" s="2" t="str">
        <x:v>Fashion</x:v>
      </x:c>
      <x:c r="F590" s="2" t="str">
        <x:v>Sneakers</x:v>
      </x:c>
      <x:c r="G590" s="2" t="str">
        <x:v>In-store</x:v>
      </x:c>
      <x:c r="H590" s="7" t="n">
        <x:v>1</x:v>
      </x:c>
      <x:c r="I590" s="9" t="n">
        <x:v>28000</x:v>
      </x:c>
      <x:c r="J590" s="9" t="n">
        <x:v>17500</x:v>
      </x:c>
      <x:c r="K590" s="10" t="n">
        <x:v>0.1</x:v>
      </x:c>
      <x:c r="L590" s="2" t="str">
        <x:v>Completed</x:v>
      </x:c>
      <x:c r="M590" s="12" t="n">
        <x:f>H590*I590</x:f>
        <x:v>28000</x:v>
      </x:c>
      <x:c r="N590" s="12" t="n">
        <x:f>IF(L590="Completed",ROUND(M590*(1-K590),2),0)</x:f>
        <x:v>25200</x:v>
      </x:c>
      <x:c r="O590" s="12" t="n">
        <x:f>IF(L590="Completed",H590*J590,0)</x:f>
        <x:v>17500</x:v>
      </x:c>
      <x:c r="P590" s="12" t="n">
        <x:f>N590-O590</x:f>
        <x:v>7700</x:v>
      </x:c>
    </x:row>
    <x:row r="591" ht="21" customHeight="1">
      <x:c r="A591" s="7" t="n">
        <x:v>586</x:v>
      </x:c>
      <x:c r="B591" s="2" t="str">
        <x:v>TXN-00586</x:v>
      </x:c>
      <x:c r="C591" s="8" t="d">
        <x:v>2025-06-05T00:00:00.000Z</x:v>
      </x:c>
      <x:c r="D591" s="2" t="str">
        <x:v>Lagos</x:v>
      </x:c>
      <x:c r="E591" s="2" t="str">
        <x:v>Electronics</x:v>
      </x:c>
      <x:c r="F591" s="2" t="str">
        <x:v>Bluetooth speaker</x:v>
      </x:c>
      <x:c r="G591" s="2" t="str">
        <x:v>In-store</x:v>
      </x:c>
      <x:c r="H591" s="7" t="n">
        <x:v>2</x:v>
      </x:c>
      <x:c r="I591" s="9" t="n">
        <x:v>26000</x:v>
      </x:c>
      <x:c r="J591" s="9" t="n">
        <x:v>17000</x:v>
      </x:c>
      <x:c r="K591" s="10" t="n">
        <x:v>0.05</x:v>
      </x:c>
      <x:c r="L591" s="2" t="str">
        <x:v>Completed</x:v>
      </x:c>
      <x:c r="M591" s="12" t="n">
        <x:f>H591*I591</x:f>
        <x:v>52000</x:v>
      </x:c>
      <x:c r="N591" s="12" t="n">
        <x:f>IF(L591="Completed",ROUND(M591*(1-K591),2),0)</x:f>
        <x:v>49400</x:v>
      </x:c>
      <x:c r="O591" s="12" t="n">
        <x:f>IF(L591="Completed",H591*J591,0)</x:f>
        <x:v>34000</x:v>
      </x:c>
      <x:c r="P591" s="12" t="n">
        <x:f>N591-O591</x:f>
        <x:v>15400</x:v>
      </x:c>
    </x:row>
    <x:row r="592" ht="21" customHeight="1">
      <x:c r="A592" s="7" t="n">
        <x:v>587</x:v>
      </x:c>
      <x:c r="B592" s="2" t="str">
        <x:v>TXN-00587</x:v>
      </x:c>
      <x:c r="C592" s="8" t="d">
        <x:v>2025-06-12T00:00:00.000Z</x:v>
      </x:c>
      <x:c r="D592" s="2" t="str">
        <x:v>Port Harcourt</x:v>
      </x:c>
      <x:c r="E592" s="2" t="str">
        <x:v>Beauty</x:v>
      </x:c>
      <x:c r="F592" s="2" t="str">
        <x:v>Perfume</x:v>
      </x:c>
      <x:c r="G592" s="2" t="str">
        <x:v>Online</x:v>
      </x:c>
      <x:c r="H592" s="7" t="n">
        <x:v>2</x:v>
      </x:c>
      <x:c r="I592" s="9" t="n">
        <x:v>17000</x:v>
      </x:c>
      <x:c r="J592" s="9" t="n">
        <x:v>9000</x:v>
      </x:c>
      <x:c r="K592" s="10" t="n">
        <x:v>0</x:v>
      </x:c>
      <x:c r="L592" s="2" t="str">
        <x:v>Completed</x:v>
      </x:c>
      <x:c r="M592" s="12" t="n">
        <x:f>H592*I592</x:f>
        <x:v>34000</x:v>
      </x:c>
      <x:c r="N592" s="12" t="n">
        <x:f>IF(L592="Completed",ROUND(M592*(1-K592),2),0)</x:f>
        <x:v>34000</x:v>
      </x:c>
      <x:c r="O592" s="12" t="n">
        <x:f>IF(L592="Completed",H592*J592,0)</x:f>
        <x:v>18000</x:v>
      </x:c>
      <x:c r="P592" s="12" t="n">
        <x:f>N592-O592</x:f>
        <x:v>16000</x:v>
      </x:c>
    </x:row>
    <x:row r="593" ht="21" customHeight="1">
      <x:c r="A593" s="7" t="n">
        <x:v>588</x:v>
      </x:c>
      <x:c r="B593" s="2" t="str">
        <x:v>TXN-00588</x:v>
      </x:c>
      <x:c r="C593" s="8" t="d">
        <x:v>2025-06-29T00:00:00.000Z</x:v>
      </x:c>
      <x:c r="D593" s="2" t="str">
        <x:v>Port Harcourt</x:v>
      </x:c>
      <x:c r="E593" s="2" t="str">
        <x:v>Fashion</x:v>
      </x:c>
      <x:c r="F593" s="2" t="str">
        <x:v>Handbag</x:v>
      </x:c>
      <x:c r="G593" s="2" t="str">
        <x:v>In-store</x:v>
      </x:c>
      <x:c r="H593" s="7" t="n">
        <x:v>1</x:v>
      </x:c>
      <x:c r="I593" s="9" t="n">
        <x:v>22000</x:v>
      </x:c>
      <x:c r="J593" s="9" t="n">
        <x:v>13500</x:v>
      </x:c>
      <x:c r="K593" s="10" t="n">
        <x:v>0</x:v>
      </x:c>
      <x:c r="L593" s="2" t="str">
        <x:v>Completed</x:v>
      </x:c>
      <x:c r="M593" s="12" t="n">
        <x:f>H593*I593</x:f>
        <x:v>22000</x:v>
      </x:c>
      <x:c r="N593" s="12" t="n">
        <x:f>IF(L593="Completed",ROUND(M593*(1-K593),2),0)</x:f>
        <x:v>22000</x:v>
      </x:c>
      <x:c r="O593" s="12" t="n">
        <x:f>IF(L593="Completed",H593*J593,0)</x:f>
        <x:v>13500</x:v>
      </x:c>
      <x:c r="P593" s="12" t="n">
        <x:f>N593-O593</x:f>
        <x:v>8500</x:v>
      </x:c>
    </x:row>
    <x:row r="594" ht="21" customHeight="1">
      <x:c r="A594" s="7" t="n">
        <x:v>589</x:v>
      </x:c>
      <x:c r="B594" s="2" t="str">
        <x:v>TXN-00589</x:v>
      </x:c>
      <x:c r="C594" s="8" t="d">
        <x:v>2025-06-28T00:00:00.000Z</x:v>
      </x:c>
      <x:c r="D594" s="2" t="str">
        <x:v>Abuja</x:v>
      </x:c>
      <x:c r="E594" s="2" t="str">
        <x:v>Beauty</x:v>
      </x:c>
      <x:c r="F594" s="2" t="str">
        <x:v>Body wash</x:v>
      </x:c>
      <x:c r="G594" s="2" t="str">
        <x:v>In-store</x:v>
      </x:c>
      <x:c r="H594" s="7" t="n">
        <x:v>1</x:v>
      </x:c>
      <x:c r="I594" s="9" t="n">
        <x:v>4500</x:v>
      </x:c>
      <x:c r="J594" s="9" t="n">
        <x:v>2300</x:v>
      </x:c>
      <x:c r="K594" s="10" t="n">
        <x:v>0</x:v>
      </x:c>
      <x:c r="L594" s="2" t="str">
        <x:v>Completed</x:v>
      </x:c>
      <x:c r="M594" s="12" t="n">
        <x:f>H594*I594</x:f>
        <x:v>4500</x:v>
      </x:c>
      <x:c r="N594" s="12" t="n">
        <x:f>IF(L594="Completed",ROUND(M594*(1-K594),2),0)</x:f>
        <x:v>4500</x:v>
      </x:c>
      <x:c r="O594" s="12" t="n">
        <x:f>IF(L594="Completed",H594*J594,0)</x:f>
        <x:v>2300</x:v>
      </x:c>
      <x:c r="P594" s="12" t="n">
        <x:f>N594-O594</x:f>
        <x:v>2200</x:v>
      </x:c>
    </x:row>
    <x:row r="595" ht="21" customHeight="1">
      <x:c r="A595" s="7" t="n">
        <x:v>590</x:v>
      </x:c>
      <x:c r="B595" s="2" t="str">
        <x:v>TXN-00590</x:v>
      </x:c>
      <x:c r="C595" s="8" t="d">
        <x:v>2025-06-18T00:00:00.000Z</x:v>
      </x:c>
      <x:c r="D595" s="2" t="str">
        <x:v>Kano</x:v>
      </x:c>
      <x:c r="E595" s="2" t="str">
        <x:v>Electronics</x:v>
      </x:c>
      <x:c r="F595" s="2" t="str">
        <x:v>Headphones</x:v>
      </x:c>
      <x:c r="G595" s="2" t="str">
        <x:v>Online</x:v>
      </x:c>
      <x:c r="H595" s="7" t="n">
        <x:v>1</x:v>
      </x:c>
      <x:c r="I595" s="9" t="n">
        <x:v>18000</x:v>
      </x:c>
      <x:c r="J595" s="9" t="n">
        <x:v>10500</x:v>
      </x:c>
      <x:c r="K595" s="10" t="n">
        <x:v>0.1</x:v>
      </x:c>
      <x:c r="L595" s="2" t="str">
        <x:v>Completed</x:v>
      </x:c>
      <x:c r="M595" s="12" t="n">
        <x:f>H595*I595</x:f>
        <x:v>18000</x:v>
      </x:c>
      <x:c r="N595" s="12" t="n">
        <x:f>IF(L595="Completed",ROUND(M595*(1-K595),2),0)</x:f>
        <x:v>16200</x:v>
      </x:c>
      <x:c r="O595" s="12" t="n">
        <x:f>IF(L595="Completed",H595*J595,0)</x:f>
        <x:v>10500</x:v>
      </x:c>
      <x:c r="P595" s="12" t="n">
        <x:f>N595-O595</x:f>
        <x:v>5700</x:v>
      </x:c>
    </x:row>
    <x:row r="596" ht="21" customHeight="1">
      <x:c r="A596" s="7" t="n">
        <x:v>591</x:v>
      </x:c>
      <x:c r="B596" s="2" t="str">
        <x:v>TXN-00591</x:v>
      </x:c>
      <x:c r="C596" s="8" t="d">
        <x:v>2025-06-28T00:00:00.000Z</x:v>
      </x:c>
      <x:c r="D596" s="2" t="str">
        <x:v>Port Harcourt</x:v>
      </x:c>
      <x:c r="E596" s="2" t="str">
        <x:v>Electronics</x:v>
      </x:c>
      <x:c r="F596" s="2" t="str">
        <x:v>Bluetooth speaker</x:v>
      </x:c>
      <x:c r="G596" s="2" t="str">
        <x:v>Online</x:v>
      </x:c>
      <x:c r="H596" s="7" t="n">
        <x:v>1</x:v>
      </x:c>
      <x:c r="I596" s="9" t="n">
        <x:v>26000</x:v>
      </x:c>
      <x:c r="J596" s="9" t="n">
        <x:v>17000</x:v>
      </x:c>
      <x:c r="K596" s="10" t="n">
        <x:v>0.05</x:v>
      </x:c>
      <x:c r="L596" s="2" t="str">
        <x:v>Completed</x:v>
      </x:c>
      <x:c r="M596" s="12" t="n">
        <x:f>H596*I596</x:f>
        <x:v>26000</x:v>
      </x:c>
      <x:c r="N596" s="12" t="n">
        <x:f>IF(L596="Completed",ROUND(M596*(1-K596),2),0)</x:f>
        <x:v>24700</x:v>
      </x:c>
      <x:c r="O596" s="12" t="n">
        <x:f>IF(L596="Completed",H596*J596,0)</x:f>
        <x:v>17000</x:v>
      </x:c>
      <x:c r="P596" s="12" t="n">
        <x:f>N596-O596</x:f>
        <x:v>7700</x:v>
      </x:c>
    </x:row>
    <x:row r="597" ht="21" customHeight="1">
      <x:c r="A597" s="7" t="n">
        <x:v>592</x:v>
      </x:c>
      <x:c r="B597" s="2" t="str">
        <x:v>TXN-00592</x:v>
      </x:c>
      <x:c r="C597" s="8" t="d">
        <x:v>2025-06-05T00:00:00.000Z</x:v>
      </x:c>
      <x:c r="D597" s="2" t="str">
        <x:v>Lagos</x:v>
      </x:c>
      <x:c r="E597" s="2" t="str">
        <x:v>Electronics</x:v>
      </x:c>
      <x:c r="F597" s="2" t="str">
        <x:v>Headphones</x:v>
      </x:c>
      <x:c r="G597" s="2" t="str">
        <x:v>Online</x:v>
      </x:c>
      <x:c r="H597" s="7" t="n">
        <x:v>1</x:v>
      </x:c>
      <x:c r="I597" s="9" t="n">
        <x:v>18000</x:v>
      </x:c>
      <x:c r="J597" s="9" t="n">
        <x:v>10500</x:v>
      </x:c>
      <x:c r="K597" s="10" t="n">
        <x:v>0</x:v>
      </x:c>
      <x:c r="L597" s="2" t="str">
        <x:v>Completed</x:v>
      </x:c>
      <x:c r="M597" s="12" t="n">
        <x:f>H597*I597</x:f>
        <x:v>18000</x:v>
      </x:c>
      <x:c r="N597" s="12" t="n">
        <x:f>IF(L597="Completed",ROUND(M597*(1-K597),2),0)</x:f>
        <x:v>18000</x:v>
      </x:c>
      <x:c r="O597" s="12" t="n">
        <x:f>IF(L597="Completed",H597*J597,0)</x:f>
        <x:v>10500</x:v>
      </x:c>
      <x:c r="P597" s="12" t="n">
        <x:f>N597-O597</x:f>
        <x:v>7500</x:v>
      </x:c>
    </x:row>
    <x:row r="598" ht="21" customHeight="1">
      <x:c r="A598" s="7" t="n">
        <x:v>593</x:v>
      </x:c>
      <x:c r="B598" s="2" t="str">
        <x:v>TXN-00593</x:v>
      </x:c>
      <x:c r="C598" s="8" t="d">
        <x:v>2025-06-18T00:00:00.000Z</x:v>
      </x:c>
      <x:c r="D598" s="2" t="str">
        <x:v>Kano</x:v>
      </x:c>
      <x:c r="E598" s="2" t="str">
        <x:v>Electronics</x:v>
      </x:c>
      <x:c r="F598" s="2" t="str">
        <x:v>Bluetooth speaker</x:v>
      </x:c>
      <x:c r="G598" s="2" t="str">
        <x:v>In-store</x:v>
      </x:c>
      <x:c r="H598" s="7" t="n">
        <x:v>2</x:v>
      </x:c>
      <x:c r="I598" s="9" t="n">
        <x:v>26000</x:v>
      </x:c>
      <x:c r="J598" s="9" t="n">
        <x:v>17000</x:v>
      </x:c>
      <x:c r="K598" s="10" t="n">
        <x:v>0.05</x:v>
      </x:c>
      <x:c r="L598" s="2" t="str">
        <x:v>Completed</x:v>
      </x:c>
      <x:c r="M598" s="12" t="n">
        <x:f>H598*I598</x:f>
        <x:v>52000</x:v>
      </x:c>
      <x:c r="N598" s="12" t="n">
        <x:f>IF(L598="Completed",ROUND(M598*(1-K598),2),0)</x:f>
        <x:v>49400</x:v>
      </x:c>
      <x:c r="O598" s="12" t="n">
        <x:f>IF(L598="Completed",H598*J598,0)</x:f>
        <x:v>34000</x:v>
      </x:c>
      <x:c r="P598" s="12" t="n">
        <x:f>N598-O598</x:f>
        <x:v>15400</x:v>
      </x:c>
    </x:row>
    <x:row r="599" ht="21" customHeight="1">
      <x:c r="A599" s="7" t="n">
        <x:v>594</x:v>
      </x:c>
      <x:c r="B599" s="2" t="str">
        <x:v>TXN-00594</x:v>
      </x:c>
      <x:c r="C599" s="8" t="d">
        <x:v>2025-06-30T00:00:00.000Z</x:v>
      </x:c>
      <x:c r="D599" s="2" t="str">
        <x:v>Kano</x:v>
      </x:c>
      <x:c r="E599" s="2" t="str">
        <x:v>Home</x:v>
      </x:c>
      <x:c r="F599" s="2" t="str">
        <x:v>Cookware set</x:v>
      </x:c>
      <x:c r="G599" s="2" t="str">
        <x:v>Online</x:v>
      </x:c>
      <x:c r="H599" s="7" t="n">
        <x:v>3</x:v>
      </x:c>
      <x:c r="I599" s="9" t="n">
        <x:v>35000</x:v>
      </x:c>
      <x:c r="J599" s="9" t="n">
        <x:v>22500</x:v>
      </x:c>
      <x:c r="K599" s="10" t="n">
        <x:v>0</x:v>
      </x:c>
      <x:c r="L599" s="2" t="str">
        <x:v>Completed</x:v>
      </x:c>
      <x:c r="M599" s="12" t="n">
        <x:f>H599*I599</x:f>
        <x:v>105000</x:v>
      </x:c>
      <x:c r="N599" s="12" t="n">
        <x:f>IF(L599="Completed",ROUND(M599*(1-K599),2),0)</x:f>
        <x:v>105000</x:v>
      </x:c>
      <x:c r="O599" s="12" t="n">
        <x:f>IF(L599="Completed",H599*J599,0)</x:f>
        <x:v>67500</x:v>
      </x:c>
      <x:c r="P599" s="12" t="n">
        <x:f>N599-O599</x:f>
        <x:v>37500</x:v>
      </x:c>
    </x:row>
    <x:row r="600" ht="21" customHeight="1">
      <x:c r="A600" s="7" t="n">
        <x:v>595</x:v>
      </x:c>
      <x:c r="B600" s="2" t="str">
        <x:v>TXN-00595</x:v>
      </x:c>
      <x:c r="C600" s="8" t="d">
        <x:v>2025-06-13T00:00:00.000Z</x:v>
      </x:c>
      <x:c r="D600" s="2" t="str">
        <x:v>Lagos</x:v>
      </x:c>
      <x:c r="E600" s="2" t="str">
        <x:v>Home</x:v>
      </x:c>
      <x:c r="F600" s="2" t="str">
        <x:v>Bedsheet</x:v>
      </x:c>
      <x:c r="G600" s="2" t="str">
        <x:v>Online</x:v>
      </x:c>
      <x:c r="H600" s="7" t="n">
        <x:v>1</x:v>
      </x:c>
      <x:c r="I600" s="9" t="n">
        <x:v>14000</x:v>
      </x:c>
      <x:c r="J600" s="9" t="n">
        <x:v>8500</x:v>
      </x:c>
      <x:c r="K600" s="10" t="n">
        <x:v>0.05</x:v>
      </x:c>
      <x:c r="L600" s="2" t="str">
        <x:v>Completed</x:v>
      </x:c>
      <x:c r="M600" s="12" t="n">
        <x:f>H600*I600</x:f>
        <x:v>14000</x:v>
      </x:c>
      <x:c r="N600" s="12" t="n">
        <x:f>IF(L600="Completed",ROUND(M600*(1-K600),2),0)</x:f>
        <x:v>13300</x:v>
      </x:c>
      <x:c r="O600" s="12" t="n">
        <x:f>IF(L600="Completed",H600*J600,0)</x:f>
        <x:v>8500</x:v>
      </x:c>
      <x:c r="P600" s="12" t="n">
        <x:f>N600-O600</x:f>
        <x:v>4800</x:v>
      </x:c>
    </x:row>
    <x:row r="601" ht="21" customHeight="1">
      <x:c r="A601" s="7" t="n">
        <x:v>596</x:v>
      </x:c>
      <x:c r="B601" s="2" t="str">
        <x:v>TXN-00596</x:v>
      </x:c>
      <x:c r="C601" s="8" t="d">
        <x:v>2025-06-12T00:00:00.000Z</x:v>
      </x:c>
      <x:c r="D601" s="2" t="str">
        <x:v>Kano</x:v>
      </x:c>
      <x:c r="E601" s="2" t="str">
        <x:v>Home</x:v>
      </x:c>
      <x:c r="F601" s="2" t="str">
        <x:v>Bedsheet</x:v>
      </x:c>
      <x:c r="G601" s="2" t="str">
        <x:v>In-store</x:v>
      </x:c>
      <x:c r="H601" s="7" t="n">
        <x:v>3</x:v>
      </x:c>
      <x:c r="I601" s="9" t="n">
        <x:v>14000</x:v>
      </x:c>
      <x:c r="J601" s="9" t="n">
        <x:v>8500</x:v>
      </x:c>
      <x:c r="K601" s="10" t="n">
        <x:v>0</x:v>
      </x:c>
      <x:c r="L601" s="2" t="str">
        <x:v>Completed</x:v>
      </x:c>
      <x:c r="M601" s="12" t="n">
        <x:f>H601*I601</x:f>
        <x:v>42000</x:v>
      </x:c>
      <x:c r="N601" s="12" t="n">
        <x:f>IF(L601="Completed",ROUND(M601*(1-K601),2),0)</x:f>
        <x:v>42000</x:v>
      </x:c>
      <x:c r="O601" s="12" t="n">
        <x:f>IF(L601="Completed",H601*J601,0)</x:f>
        <x:v>25500</x:v>
      </x:c>
      <x:c r="P601" s="12" t="n">
        <x:f>N601-O601</x:f>
        <x:v>16500</x:v>
      </x:c>
    </x:row>
    <x:row r="602" ht="21" customHeight="1">
      <x:c r="A602" s="7" t="n">
        <x:v>597</x:v>
      </x:c>
      <x:c r="B602" s="2" t="str">
        <x:v>TXN-00597</x:v>
      </x:c>
      <x:c r="C602" s="8" t="d">
        <x:v>2025-06-16T00:00:00.000Z</x:v>
      </x:c>
      <x:c r="D602" s="2" t="str">
        <x:v>Port Harcourt</x:v>
      </x:c>
      <x:c r="E602" s="2" t="str">
        <x:v>Fashion</x:v>
      </x:c>
      <x:c r="F602" s="2" t="str">
        <x:v>Sneakers</x:v>
      </x:c>
      <x:c r="G602" s="2" t="str">
        <x:v>Online</x:v>
      </x:c>
      <x:c r="H602" s="7" t="n">
        <x:v>1</x:v>
      </x:c>
      <x:c r="I602" s="9" t="n">
        <x:v>28000</x:v>
      </x:c>
      <x:c r="J602" s="9" t="n">
        <x:v>17500</x:v>
      </x:c>
      <x:c r="K602" s="10" t="n">
        <x:v>0</x:v>
      </x:c>
      <x:c r="L602" s="2" t="str">
        <x:v>Completed</x:v>
      </x:c>
      <x:c r="M602" s="12" t="n">
        <x:f>H602*I602</x:f>
        <x:v>28000</x:v>
      </x:c>
      <x:c r="N602" s="12" t="n">
        <x:f>IF(L602="Completed",ROUND(M602*(1-K602),2),0)</x:f>
        <x:v>28000</x:v>
      </x:c>
      <x:c r="O602" s="12" t="n">
        <x:f>IF(L602="Completed",H602*J602,0)</x:f>
        <x:v>17500</x:v>
      </x:c>
      <x:c r="P602" s="12" t="n">
        <x:f>N602-O602</x:f>
        <x:v>10500</x:v>
      </x:c>
    </x:row>
    <x:row r="603" ht="21" customHeight="1">
      <x:c r="A603" s="7" t="n">
        <x:v>598</x:v>
      </x:c>
      <x:c r="B603" s="2" t="str">
        <x:v>TXN-00598</x:v>
      </x:c>
      <x:c r="C603" s="8" t="d">
        <x:v>2025-06-26T00:00:00.000Z</x:v>
      </x:c>
      <x:c r="D603" s="2" t="str">
        <x:v>Lagos</x:v>
      </x:c>
      <x:c r="E603" s="2" t="str">
        <x:v>Electronics</x:v>
      </x:c>
      <x:c r="F603" s="2" t="str">
        <x:v>Bluetooth speaker</x:v>
      </x:c>
      <x:c r="G603" s="2" t="str">
        <x:v>Online</x:v>
      </x:c>
      <x:c r="H603" s="7" t="n">
        <x:v>1</x:v>
      </x:c>
      <x:c r="I603" s="9" t="n">
        <x:v>26000</x:v>
      </x:c>
      <x:c r="J603" s="9" t="n">
        <x:v>17000</x:v>
      </x:c>
      <x:c r="K603" s="10" t="n">
        <x:v>0</x:v>
      </x:c>
      <x:c r="L603" s="2" t="str">
        <x:v>Completed</x:v>
      </x:c>
      <x:c r="M603" s="12" t="n">
        <x:f>H603*I603</x:f>
        <x:v>26000</x:v>
      </x:c>
      <x:c r="N603" s="12" t="n">
        <x:f>IF(L603="Completed",ROUND(M603*(1-K603),2),0)</x:f>
        <x:v>26000</x:v>
      </x:c>
      <x:c r="O603" s="12" t="n">
        <x:f>IF(L603="Completed",H603*J603,0)</x:f>
        <x:v>17000</x:v>
      </x:c>
      <x:c r="P603" s="12" t="n">
        <x:f>N603-O603</x:f>
        <x:v>9000</x:v>
      </x:c>
    </x:row>
    <x:row r="604" ht="21" customHeight="1">
      <x:c r="A604" s="7" t="n">
        <x:v>599</x:v>
      </x:c>
      <x:c r="B604" s="2" t="str">
        <x:v>TXN-00599</x:v>
      </x:c>
      <x:c r="C604" s="8" t="d">
        <x:v>2025-06-05T00:00:00.000Z</x:v>
      </x:c>
      <x:c r="D604" s="2" t="str">
        <x:v>Abuja</x:v>
      </x:c>
      <x:c r="E604" s="2" t="str">
        <x:v>Beauty</x:v>
      </x:c>
      <x:c r="F604" s="2" t="str">
        <x:v>Perfume</x:v>
      </x:c>
      <x:c r="G604" s="2" t="str">
        <x:v>Online</x:v>
      </x:c>
      <x:c r="H604" s="7" t="n">
        <x:v>1</x:v>
      </x:c>
      <x:c r="I604" s="9" t="n">
        <x:v>17000</x:v>
      </x:c>
      <x:c r="J604" s="9" t="n">
        <x:v>9000</x:v>
      </x:c>
      <x:c r="K604" s="10" t="n">
        <x:v>0</x:v>
      </x:c>
      <x:c r="L604" s="2" t="str">
        <x:v>Completed</x:v>
      </x:c>
      <x:c r="M604" s="12" t="n">
        <x:f>H604*I604</x:f>
        <x:v>17000</x:v>
      </x:c>
      <x:c r="N604" s="12" t="n">
        <x:f>IF(L604="Completed",ROUND(M604*(1-K604),2),0)</x:f>
        <x:v>17000</x:v>
      </x:c>
      <x:c r="O604" s="12" t="n">
        <x:f>IF(L604="Completed",H604*J604,0)</x:f>
        <x:v>9000</x:v>
      </x:c>
      <x:c r="P604" s="12" t="n">
        <x:f>N604-O604</x:f>
        <x:v>8000</x:v>
      </x:c>
    </x:row>
    <x:row r="605" ht="21" customHeight="1">
      <x:c r="A605" s="7" t="n">
        <x:v>600</x:v>
      </x:c>
      <x:c r="B605" s="2" t="str">
        <x:v>TXN-00600</x:v>
      </x:c>
      <x:c r="C605" s="8" t="d">
        <x:v>2025-06-01T00:00:00.000Z</x:v>
      </x:c>
      <x:c r="D605" s="2" t="str">
        <x:v>Abuja</x:v>
      </x:c>
      <x:c r="E605" s="2" t="str">
        <x:v>Electronics</x:v>
      </x:c>
      <x:c r="F605" s="2" t="str">
        <x:v>Headphones</x:v>
      </x:c>
      <x:c r="G605" s="2" t="str">
        <x:v>In-store</x:v>
      </x:c>
      <x:c r="H605" s="7" t="n">
        <x:v>1</x:v>
      </x:c>
      <x:c r="I605" s="9" t="n">
        <x:v>18000</x:v>
      </x:c>
      <x:c r="J605" s="9" t="n">
        <x:v>10500</x:v>
      </x:c>
      <x:c r="K605" s="10" t="n">
        <x:v>0.05</x:v>
      </x:c>
      <x:c r="L605" s="2" t="str">
        <x:v>Completed</x:v>
      </x:c>
      <x:c r="M605" s="12" t="n">
        <x:f>H605*I605</x:f>
        <x:v>18000</x:v>
      </x:c>
      <x:c r="N605" s="12" t="n">
        <x:f>IF(L605="Completed",ROUND(M605*(1-K605),2),0)</x:f>
        <x:v>17100</x:v>
      </x:c>
      <x:c r="O605" s="12" t="n">
        <x:f>IF(L605="Completed",H605*J605,0)</x:f>
        <x:v>10500</x:v>
      </x:c>
      <x:c r="P605" s="12" t="n">
        <x:f>N605-O605</x:f>
        <x:v>6600</x:v>
      </x:c>
    </x:row>
    <x:row r="606" ht="21" customHeight="1">
      <x:c r="A606" s="7" t="n">
        <x:v>601</x:v>
      </x:c>
      <x:c r="B606" s="2" t="str">
        <x:v>TXN-00601</x:v>
      </x:c>
      <x:c r="C606" s="8" t="d">
        <x:v>2025-06-07T00:00:00.000Z</x:v>
      </x:c>
      <x:c r="D606" s="2" t="str">
        <x:v>Lagos</x:v>
      </x:c>
      <x:c r="E606" s="2" t="str">
        <x:v>Electronics</x:v>
      </x:c>
      <x:c r="F606" s="2" t="str">
        <x:v>Headphones</x:v>
      </x:c>
      <x:c r="G606" s="2" t="str">
        <x:v>In-store</x:v>
      </x:c>
      <x:c r="H606" s="7" t="n">
        <x:v>2</x:v>
      </x:c>
      <x:c r="I606" s="9" t="n">
        <x:v>18000</x:v>
      </x:c>
      <x:c r="J606" s="9" t="n">
        <x:v>10500</x:v>
      </x:c>
      <x:c r="K606" s="10" t="n">
        <x:v>0.05</x:v>
      </x:c>
      <x:c r="L606" s="2" t="str">
        <x:v>Completed</x:v>
      </x:c>
      <x:c r="M606" s="12" t="n">
        <x:f>H606*I606</x:f>
        <x:v>36000</x:v>
      </x:c>
      <x:c r="N606" s="12" t="n">
        <x:f>IF(L606="Completed",ROUND(M606*(1-K606),2),0)</x:f>
        <x:v>34200</x:v>
      </x:c>
      <x:c r="O606" s="12" t="n">
        <x:f>IF(L606="Completed",H606*J606,0)</x:f>
        <x:v>21000</x:v>
      </x:c>
      <x:c r="P606" s="12" t="n">
        <x:f>N606-O606</x:f>
        <x:v>13200</x:v>
      </x:c>
    </x:row>
    <x:row r="607" ht="21" customHeight="1">
      <x:c r="A607" s="7" t="n">
        <x:v>602</x:v>
      </x:c>
      <x:c r="B607" s="2" t="str">
        <x:v>TXN-00602</x:v>
      </x:c>
      <x:c r="C607" s="8" t="d">
        <x:v>2025-06-03T00:00:00.000Z</x:v>
      </x:c>
      <x:c r="D607" s="2" t="str">
        <x:v>Port Harcourt</x:v>
      </x:c>
      <x:c r="E607" s="2" t="str">
        <x:v>Home</x:v>
      </x:c>
      <x:c r="F607" s="2" t="str">
        <x:v>Desk lamp</x:v>
      </x:c>
      <x:c r="G607" s="2" t="str">
        <x:v>Online</x:v>
      </x:c>
      <x:c r="H607" s="7" t="n">
        <x:v>1</x:v>
      </x:c>
      <x:c r="I607" s="9" t="n">
        <x:v>12000</x:v>
      </x:c>
      <x:c r="J607" s="9" t="n">
        <x:v>7200</x:v>
      </x:c>
      <x:c r="K607" s="10" t="n">
        <x:v>0.05</x:v>
      </x:c>
      <x:c r="L607" s="2" t="str">
        <x:v>Completed</x:v>
      </x:c>
      <x:c r="M607" s="12" t="n">
        <x:f>H607*I607</x:f>
        <x:v>12000</x:v>
      </x:c>
      <x:c r="N607" s="12" t="n">
        <x:f>IF(L607="Completed",ROUND(M607*(1-K607),2),0)</x:f>
        <x:v>11400</x:v>
      </x:c>
      <x:c r="O607" s="12" t="n">
        <x:f>IF(L607="Completed",H607*J607,0)</x:f>
        <x:v>7200</x:v>
      </x:c>
      <x:c r="P607" s="12" t="n">
        <x:f>N607-O607</x:f>
        <x:v>4200</x:v>
      </x:c>
    </x:row>
    <x:row r="608" ht="21" customHeight="1">
      <x:c r="A608" s="7" t="n">
        <x:v>603</x:v>
      </x:c>
      <x:c r="B608" s="2" t="str">
        <x:v>TXN-00603</x:v>
      </x:c>
      <x:c r="C608" s="8" t="d">
        <x:v>2025-06-21T00:00:00.000Z</x:v>
      </x:c>
      <x:c r="D608" s="2" t="str">
        <x:v>Lagos</x:v>
      </x:c>
      <x:c r="E608" s="2" t="str">
        <x:v>Electronics</x:v>
      </x:c>
      <x:c r="F608" s="2" t="str">
        <x:v>Headphones</x:v>
      </x:c>
      <x:c r="G608" s="2" t="str">
        <x:v>Online</x:v>
      </x:c>
      <x:c r="H608" s="7" t="n">
        <x:v>1</x:v>
      </x:c>
      <x:c r="I608" s="9" t="n">
        <x:v>18000</x:v>
      </x:c>
      <x:c r="J608" s="9" t="n">
        <x:v>10500</x:v>
      </x:c>
      <x:c r="K608" s="10" t="n">
        <x:v>0</x:v>
      </x:c>
      <x:c r="L608" s="2" t="str">
        <x:v>Completed</x:v>
      </x:c>
      <x:c r="M608" s="12" t="n">
        <x:f>H608*I608</x:f>
        <x:v>18000</x:v>
      </x:c>
      <x:c r="N608" s="12" t="n">
        <x:f>IF(L608="Completed",ROUND(M608*(1-K608),2),0)</x:f>
        <x:v>18000</x:v>
      </x:c>
      <x:c r="O608" s="12" t="n">
        <x:f>IF(L608="Completed",H608*J608,0)</x:f>
        <x:v>10500</x:v>
      </x:c>
      <x:c r="P608" s="12" t="n">
        <x:f>N608-O608</x:f>
        <x:v>7500</x:v>
      </x:c>
    </x:row>
    <x:row r="609" ht="21" customHeight="1">
      <x:c r="A609" s="7" t="n">
        <x:v>604</x:v>
      </x:c>
      <x:c r="B609" s="2" t="str">
        <x:v>TXN-00604</x:v>
      </x:c>
      <x:c r="C609" s="8" t="d">
        <x:v>2025-06-07T00:00:00.000Z</x:v>
      </x:c>
      <x:c r="D609" s="2" t="str">
        <x:v>Kano</x:v>
      </x:c>
      <x:c r="E609" s="2" t="str">
        <x:v>Home</x:v>
      </x:c>
      <x:c r="F609" s="2" t="str">
        <x:v>Bedsheet</x:v>
      </x:c>
      <x:c r="G609" s="2" t="str">
        <x:v>In-store</x:v>
      </x:c>
      <x:c r="H609" s="7" t="n">
        <x:v>1</x:v>
      </x:c>
      <x:c r="I609" s="9" t="n">
        <x:v>14000</x:v>
      </x:c>
      <x:c r="J609" s="9" t="n">
        <x:v>8500</x:v>
      </x:c>
      <x:c r="K609" s="10" t="n">
        <x:v>0.1</x:v>
      </x:c>
      <x:c r="L609" s="2" t="str">
        <x:v>Completed</x:v>
      </x:c>
      <x:c r="M609" s="12" t="n">
        <x:f>H609*I609</x:f>
        <x:v>14000</x:v>
      </x:c>
      <x:c r="N609" s="12" t="n">
        <x:f>IF(L609="Completed",ROUND(M609*(1-K609),2),0)</x:f>
        <x:v>12600</x:v>
      </x:c>
      <x:c r="O609" s="12" t="n">
        <x:f>IF(L609="Completed",H609*J609,0)</x:f>
        <x:v>8500</x:v>
      </x:c>
      <x:c r="P609" s="12" t="n">
        <x:f>N609-O609</x:f>
        <x:v>4100</x:v>
      </x:c>
    </x:row>
    <x:row r="610" ht="21" customHeight="1">
      <x:c r="A610" s="7" t="n">
        <x:v>605</x:v>
      </x:c>
      <x:c r="B610" s="2" t="str">
        <x:v>TXN-00605</x:v>
      </x:c>
      <x:c r="C610" s="8" t="d">
        <x:v>2025-06-25T00:00:00.000Z</x:v>
      </x:c>
      <x:c r="D610" s="2" t="str">
        <x:v>Unknown</x:v>
      </x:c>
      <x:c r="E610" s="2" t="str">
        <x:v>Electronics</x:v>
      </x:c>
      <x:c r="F610" s="2" t="str">
        <x:v>Bluetooth speaker</x:v>
      </x:c>
      <x:c r="G610" s="2" t="str">
        <x:v>In-store</x:v>
      </x:c>
      <x:c r="H610" s="7" t="n">
        <x:v>2</x:v>
      </x:c>
      <x:c r="I610" s="9" t="n">
        <x:v>26000</x:v>
      </x:c>
      <x:c r="J610" s="9" t="n">
        <x:v>17000</x:v>
      </x:c>
      <x:c r="K610" s="10" t="n">
        <x:v>0.05</x:v>
      </x:c>
      <x:c r="L610" s="2" t="str">
        <x:v>Completed</x:v>
      </x:c>
      <x:c r="M610" s="12" t="n">
        <x:f>H610*I610</x:f>
        <x:v>52000</x:v>
      </x:c>
      <x:c r="N610" s="12" t="n">
        <x:f>IF(L610="Completed",ROUND(M610*(1-K610),2),0)</x:f>
        <x:v>49400</x:v>
      </x:c>
      <x:c r="O610" s="12" t="n">
        <x:f>IF(L610="Completed",H610*J610,0)</x:f>
        <x:v>34000</x:v>
      </x:c>
      <x:c r="P610" s="12" t="n">
        <x:f>N610-O610</x:f>
        <x:v>15400</x:v>
      </x:c>
    </x:row>
    <x:row r="611" ht="21" customHeight="1">
      <x:c r="A611" s="7" t="n">
        <x:v>606</x:v>
      </x:c>
      <x:c r="B611" s="2" t="str">
        <x:v>TXN-00606</x:v>
      </x:c>
      <x:c r="C611" s="8" t="d">
        <x:v>2025-06-17T00:00:00.000Z</x:v>
      </x:c>
      <x:c r="D611" s="2" t="str">
        <x:v>Lagos</x:v>
      </x:c>
      <x:c r="E611" s="2" t="str">
        <x:v>Electronics</x:v>
      </x:c>
      <x:c r="F611" s="2" t="str">
        <x:v>Headphones</x:v>
      </x:c>
      <x:c r="G611" s="2" t="str">
        <x:v>Online</x:v>
      </x:c>
      <x:c r="H611" s="7" t="n">
        <x:v>1</x:v>
      </x:c>
      <x:c r="I611" s="9" t="n">
        <x:v>18000</x:v>
      </x:c>
      <x:c r="J611" s="9" t="n">
        <x:v>10500</x:v>
      </x:c>
      <x:c r="K611" s="10" t="n">
        <x:v>0</x:v>
      </x:c>
      <x:c r="L611" s="2" t="str">
        <x:v>Completed</x:v>
      </x:c>
      <x:c r="M611" s="12" t="n">
        <x:f>H611*I611</x:f>
        <x:v>18000</x:v>
      </x:c>
      <x:c r="N611" s="12" t="n">
        <x:f>IF(L611="Completed",ROUND(M611*(1-K611),2),0)</x:f>
        <x:v>18000</x:v>
      </x:c>
      <x:c r="O611" s="12" t="n">
        <x:f>IF(L611="Completed",H611*J611,0)</x:f>
        <x:v>10500</x:v>
      </x:c>
      <x:c r="P611" s="12" t="n">
        <x:f>N611-O611</x:f>
        <x:v>7500</x:v>
      </x:c>
    </x:row>
    <x:row r="612" ht="21" customHeight="1">
      <x:c r="A612" s="7" t="n">
        <x:v>607</x:v>
      </x:c>
      <x:c r="B612" s="2" t="str">
        <x:v>TXN-00607</x:v>
      </x:c>
      <x:c r="C612" s="8" t="d">
        <x:v>2025-06-03T00:00:00.000Z</x:v>
      </x:c>
      <x:c r="D612" s="2" t="str">
        <x:v>Lagos</x:v>
      </x:c>
      <x:c r="E612" s="2" t="str">
        <x:v>Electronics</x:v>
      </x:c>
      <x:c r="F612" s="2" t="str">
        <x:v>Bluetooth speaker</x:v>
      </x:c>
      <x:c r="G612" s="2" t="str">
        <x:v>In-store</x:v>
      </x:c>
      <x:c r="H612" s="7" t="n">
        <x:v>3</x:v>
      </x:c>
      <x:c r="I612" s="9" t="n">
        <x:v>26000</x:v>
      </x:c>
      <x:c r="J612" s="9" t="n">
        <x:v>17000</x:v>
      </x:c>
      <x:c r="K612" s="10" t="n">
        <x:v>0</x:v>
      </x:c>
      <x:c r="L612" s="2" t="str">
        <x:v>Completed</x:v>
      </x:c>
      <x:c r="M612" s="12" t="n">
        <x:f>H612*I612</x:f>
        <x:v>78000</x:v>
      </x:c>
      <x:c r="N612" s="12" t="n">
        <x:f>IF(L612="Completed",ROUND(M612*(1-K612),2),0)</x:f>
        <x:v>78000</x:v>
      </x:c>
      <x:c r="O612" s="12" t="n">
        <x:f>IF(L612="Completed",H612*J612,0)</x:f>
        <x:v>51000</x:v>
      </x:c>
      <x:c r="P612" s="12" t="n">
        <x:f>N612-O612</x:f>
        <x:v>27000</x:v>
      </x:c>
    </x:row>
    <x:row r="613" ht="21" customHeight="1">
      <x:c r="A613" s="7" t="n">
        <x:v>608</x:v>
      </x:c>
      <x:c r="B613" s="2" t="str">
        <x:v>TXN-00608</x:v>
      </x:c>
      <x:c r="C613" s="8" t="d">
        <x:v>2025-06-17T00:00:00.000Z</x:v>
      </x:c>
      <x:c r="D613" s="2" t="str">
        <x:v>Kano</x:v>
      </x:c>
      <x:c r="E613" s="2" t="str">
        <x:v>Home</x:v>
      </x:c>
      <x:c r="F613" s="2" t="str">
        <x:v>Cookware set</x:v>
      </x:c>
      <x:c r="G613" s="2" t="str">
        <x:v>Online</x:v>
      </x:c>
      <x:c r="H613" s="7" t="n">
        <x:v>1</x:v>
      </x:c>
      <x:c r="I613" s="9" t="n">
        <x:v>35000</x:v>
      </x:c>
      <x:c r="J613" s="9" t="n">
        <x:v>22500</x:v>
      </x:c>
      <x:c r="K613" s="10" t="n">
        <x:v>0</x:v>
      </x:c>
      <x:c r="L613" s="2" t="str">
        <x:v>Completed</x:v>
      </x:c>
      <x:c r="M613" s="12" t="n">
        <x:f>H613*I613</x:f>
        <x:v>35000</x:v>
      </x:c>
      <x:c r="N613" s="12" t="n">
        <x:f>IF(L613="Completed",ROUND(M613*(1-K613),2),0)</x:f>
        <x:v>35000</x:v>
      </x:c>
      <x:c r="O613" s="12" t="n">
        <x:f>IF(L613="Completed",H613*J613,0)</x:f>
        <x:v>22500</x:v>
      </x:c>
      <x:c r="P613" s="12" t="n">
        <x:f>N613-O613</x:f>
        <x:v>12500</x:v>
      </x:c>
    </x:row>
    <x:row r="614" ht="21" customHeight="1">
      <x:c r="A614" s="7" t="n">
        <x:v>609</x:v>
      </x:c>
      <x:c r="B614" s="2" t="str">
        <x:v>TXN-00609</x:v>
      </x:c>
      <x:c r="C614" s="8" t="d">
        <x:v>2025-06-07T00:00:00.000Z</x:v>
      </x:c>
      <x:c r="D614" s="2" t="str">
        <x:v>Lagos</x:v>
      </x:c>
      <x:c r="E614" s="2" t="str">
        <x:v>Electronics</x:v>
      </x:c>
      <x:c r="F614" s="2" t="str">
        <x:v>Headphones</x:v>
      </x:c>
      <x:c r="G614" s="2" t="str">
        <x:v>Online</x:v>
      </x:c>
      <x:c r="H614" s="7" t="n">
        <x:v>1</x:v>
      </x:c>
      <x:c r="I614" s="9" t="n">
        <x:v>18000</x:v>
      </x:c>
      <x:c r="J614" s="9" t="n">
        <x:v>10500</x:v>
      </x:c>
      <x:c r="K614" s="10" t="n">
        <x:v>0.05</x:v>
      </x:c>
      <x:c r="L614" s="2" t="str">
        <x:v>Completed</x:v>
      </x:c>
      <x:c r="M614" s="12" t="n">
        <x:f>H614*I614</x:f>
        <x:v>18000</x:v>
      </x:c>
      <x:c r="N614" s="12" t="n">
        <x:f>IF(L614="Completed",ROUND(M614*(1-K614),2),0)</x:f>
        <x:v>17100</x:v>
      </x:c>
      <x:c r="O614" s="12" t="n">
        <x:f>IF(L614="Completed",H614*J614,0)</x:f>
        <x:v>10500</x:v>
      </x:c>
      <x:c r="P614" s="12" t="n">
        <x:f>N614-O614</x:f>
        <x:v>6600</x:v>
      </x:c>
    </x:row>
    <x:row r="615" ht="21" customHeight="1">
      <x:c r="A615" s="7" t="n">
        <x:v>610</x:v>
      </x:c>
      <x:c r="B615" s="2" t="str">
        <x:v>TXN-00610</x:v>
      </x:c>
      <x:c r="C615" s="8" t="d">
        <x:v>2025-06-08T00:00:00.000Z</x:v>
      </x:c>
      <x:c r="D615" s="2" t="str">
        <x:v>Unknown</x:v>
      </x:c>
      <x:c r="E615" s="2" t="str">
        <x:v>Electronics</x:v>
      </x:c>
      <x:c r="F615" s="2" t="str">
        <x:v>Headphones</x:v>
      </x:c>
      <x:c r="G615" s="2" t="str">
        <x:v>Online</x:v>
      </x:c>
      <x:c r="H615" s="7" t="n">
        <x:v>1</x:v>
      </x:c>
      <x:c r="I615" s="9" t="n">
        <x:v>18000</x:v>
      </x:c>
      <x:c r="J615" s="9" t="n">
        <x:v>10500</x:v>
      </x:c>
      <x:c r="K615" s="10" t="n">
        <x:v>0.1</x:v>
      </x:c>
      <x:c r="L615" s="2" t="str">
        <x:v>Completed</x:v>
      </x:c>
      <x:c r="M615" s="12" t="n">
        <x:f>H615*I615</x:f>
        <x:v>18000</x:v>
      </x:c>
      <x:c r="N615" s="12" t="n">
        <x:f>IF(L615="Completed",ROUND(M615*(1-K615),2),0)</x:f>
        <x:v>16200</x:v>
      </x:c>
      <x:c r="O615" s="12" t="n">
        <x:f>IF(L615="Completed",H615*J615,0)</x:f>
        <x:v>10500</x:v>
      </x:c>
      <x:c r="P615" s="12" t="n">
        <x:f>N615-O615</x:f>
        <x:v>5700</x:v>
      </x:c>
    </x:row>
    <x:row r="616" ht="21" customHeight="1">
      <x:c r="A616" s="7" t="n">
        <x:v>611</x:v>
      </x:c>
      <x:c r="B616" s="2" t="str">
        <x:v>TXN-00611</x:v>
      </x:c>
      <x:c r="C616" s="8" t="d">
        <x:v>2025-06-06T00:00:00.000Z</x:v>
      </x:c>
      <x:c r="D616" s="2" t="str">
        <x:v>Lagos</x:v>
      </x:c>
      <x:c r="E616" s="2" t="str">
        <x:v>Home</x:v>
      </x:c>
      <x:c r="F616" s="2" t="str">
        <x:v>Cookware set</x:v>
      </x:c>
      <x:c r="G616" s="2" t="str">
        <x:v>Online</x:v>
      </x:c>
      <x:c r="H616" s="7" t="n">
        <x:v>1</x:v>
      </x:c>
      <x:c r="I616" s="9" t="n">
        <x:v>35000</x:v>
      </x:c>
      <x:c r="J616" s="9" t="n">
        <x:v>22500</x:v>
      </x:c>
      <x:c r="K616" s="10" t="n">
        <x:v>0.05</x:v>
      </x:c>
      <x:c r="L616" s="2" t="str">
        <x:v>Completed</x:v>
      </x:c>
      <x:c r="M616" s="12" t="n">
        <x:f>H616*I616</x:f>
        <x:v>35000</x:v>
      </x:c>
      <x:c r="N616" s="12" t="n">
        <x:f>IF(L616="Completed",ROUND(M616*(1-K616),2),0)</x:f>
        <x:v>33250</x:v>
      </x:c>
      <x:c r="O616" s="12" t="n">
        <x:f>IF(L616="Completed",H616*J616,0)</x:f>
        <x:v>22500</x:v>
      </x:c>
      <x:c r="P616" s="12" t="n">
        <x:f>N616-O616</x:f>
        <x:v>10750</x:v>
      </x:c>
    </x:row>
    <x:row r="617" ht="21" customHeight="1">
      <x:c r="A617" s="7" t="n">
        <x:v>612</x:v>
      </x:c>
      <x:c r="B617" s="2" t="str">
        <x:v>TXN-00612</x:v>
      </x:c>
      <x:c r="C617" s="8" t="d">
        <x:v>2025-06-08T00:00:00.000Z</x:v>
      </x:c>
      <x:c r="D617" s="2" t="str">
        <x:v>Abuja</x:v>
      </x:c>
      <x:c r="E617" s="2" t="str">
        <x:v>Beauty</x:v>
      </x:c>
      <x:c r="F617" s="2" t="str">
        <x:v>Moisturizer</x:v>
      </x:c>
      <x:c r="G617" s="2" t="str">
        <x:v>In-store</x:v>
      </x:c>
      <x:c r="H617" s="7" t="n">
        <x:v>1</x:v>
      </x:c>
      <x:c r="I617" s="9" t="n">
        <x:v>6500</x:v>
      </x:c>
      <x:c r="J617" s="9" t="n">
        <x:v>3500</x:v>
      </x:c>
      <x:c r="K617" s="10" t="n">
        <x:v>0</x:v>
      </x:c>
      <x:c r="L617" s="2" t="str">
        <x:v>Completed</x:v>
      </x:c>
      <x:c r="M617" s="12" t="n">
        <x:f>H617*I617</x:f>
        <x:v>6500</x:v>
      </x:c>
      <x:c r="N617" s="12" t="n">
        <x:f>IF(L617="Completed",ROUND(M617*(1-K617),2),0)</x:f>
        <x:v>6500</x:v>
      </x:c>
      <x:c r="O617" s="12" t="n">
        <x:f>IF(L617="Completed",H617*J617,0)</x:f>
        <x:v>3500</x:v>
      </x:c>
      <x:c r="P617" s="12" t="n">
        <x:f>N617-O617</x:f>
        <x:v>3000</x:v>
      </x:c>
    </x:row>
    <x:row r="618" ht="21" customHeight="1">
      <x:c r="A618" s="7" t="n">
        <x:v>613</x:v>
      </x:c>
      <x:c r="B618" s="2" t="str">
        <x:v>TXN-00613</x:v>
      </x:c>
      <x:c r="C618" s="8" t="d">
        <x:v>2025-06-18T00:00:00.000Z</x:v>
      </x:c>
      <x:c r="D618" s="2" t="str">
        <x:v>Port Harcourt</x:v>
      </x:c>
      <x:c r="E618" s="2" t="str">
        <x:v>Electronics</x:v>
      </x:c>
      <x:c r="F618" s="2" t="str">
        <x:v>Power bank</x:v>
      </x:c>
      <x:c r="G618" s="2" t="str">
        <x:v>Online</x:v>
      </x:c>
      <x:c r="H618" s="7" t="n">
        <x:v>1</x:v>
      </x:c>
      <x:c r="I618" s="9" t="n">
        <x:v>15000</x:v>
      </x:c>
      <x:c r="J618" s="9" t="n">
        <x:v>9500</x:v>
      </x:c>
      <x:c r="K618" s="10" t="n">
        <x:v>0.05</x:v>
      </x:c>
      <x:c r="L618" s="2" t="str">
        <x:v>Completed</x:v>
      </x:c>
      <x:c r="M618" s="12" t="n">
        <x:f>H618*I618</x:f>
        <x:v>15000</x:v>
      </x:c>
      <x:c r="N618" s="12" t="n">
        <x:f>IF(L618="Completed",ROUND(M618*(1-K618),2),0)</x:f>
        <x:v>14250</x:v>
      </x:c>
      <x:c r="O618" s="12" t="n">
        <x:f>IF(L618="Completed",H618*J618,0)</x:f>
        <x:v>9500</x:v>
      </x:c>
      <x:c r="P618" s="12" t="n">
        <x:f>N618-O618</x:f>
        <x:v>4750</x:v>
      </x:c>
    </x:row>
    <x:row r="619" ht="21" customHeight="1">
      <x:c r="A619" s="7" t="n">
        <x:v>614</x:v>
      </x:c>
      <x:c r="B619" s="2" t="str">
        <x:v>TXN-00614</x:v>
      </x:c>
      <x:c r="C619" s="8" t="d">
        <x:v>2025-06-17T00:00:00.000Z</x:v>
      </x:c>
      <x:c r="D619" s="2" t="str">
        <x:v>Lagos</x:v>
      </x:c>
      <x:c r="E619" s="2" t="str">
        <x:v>Home</x:v>
      </x:c>
      <x:c r="F619" s="2" t="str">
        <x:v>Bedsheet</x:v>
      </x:c>
      <x:c r="G619" s="2" t="str">
        <x:v>Online</x:v>
      </x:c>
      <x:c r="H619" s="7" t="n">
        <x:v>2</x:v>
      </x:c>
      <x:c r="I619" s="9" t="n">
        <x:v>14000</x:v>
      </x:c>
      <x:c r="J619" s="9" t="n">
        <x:v>8500</x:v>
      </x:c>
      <x:c r="K619" s="10" t="n">
        <x:v>0.15</x:v>
      </x:c>
      <x:c r="L619" s="2" t="str">
        <x:v>Completed</x:v>
      </x:c>
      <x:c r="M619" s="12" t="n">
        <x:f>H619*I619</x:f>
        <x:v>28000</x:v>
      </x:c>
      <x:c r="N619" s="12" t="n">
        <x:f>IF(L619="Completed",ROUND(M619*(1-K619),2),0)</x:f>
        <x:v>23800</x:v>
      </x:c>
      <x:c r="O619" s="12" t="n">
        <x:f>IF(L619="Completed",H619*J619,0)</x:f>
        <x:v>17000</x:v>
      </x:c>
      <x:c r="P619" s="12" t="n">
        <x:f>N619-O619</x:f>
        <x:v>6800</x:v>
      </x:c>
    </x:row>
    <x:row r="620" ht="21" customHeight="1">
      <x:c r="A620" s="7" t="n">
        <x:v>615</x:v>
      </x:c>
      <x:c r="B620" s="2" t="str">
        <x:v>TXN-00615</x:v>
      </x:c>
      <x:c r="C620" s="8" t="d">
        <x:v>2025-06-15T00:00:00.000Z</x:v>
      </x:c>
      <x:c r="D620" s="2" t="str">
        <x:v>Abuja</x:v>
      </x:c>
      <x:c r="E620" s="2" t="str">
        <x:v>Fashion</x:v>
      </x:c>
      <x:c r="F620" s="2" t="str">
        <x:v>Handbag</x:v>
      </x:c>
      <x:c r="G620" s="2" t="str">
        <x:v>Online</x:v>
      </x:c>
      <x:c r="H620" s="7" t="n">
        <x:v>2</x:v>
      </x:c>
      <x:c r="I620" s="9" t="n">
        <x:v>22000</x:v>
      </x:c>
      <x:c r="J620" s="9" t="n">
        <x:v>13500</x:v>
      </x:c>
      <x:c r="K620" s="10" t="n">
        <x:v>0</x:v>
      </x:c>
      <x:c r="L620" s="2" t="str">
        <x:v>Completed</x:v>
      </x:c>
      <x:c r="M620" s="12" t="n">
        <x:f>H620*I620</x:f>
        <x:v>44000</x:v>
      </x:c>
      <x:c r="N620" s="12" t="n">
        <x:f>IF(L620="Completed",ROUND(M620*(1-K620),2),0)</x:f>
        <x:v>44000</x:v>
      </x:c>
      <x:c r="O620" s="12" t="n">
        <x:f>IF(L620="Completed",H620*J620,0)</x:f>
        <x:v>27000</x:v>
      </x:c>
      <x:c r="P620" s="12" t="n">
        <x:f>N620-O620</x:f>
        <x:v>17000</x:v>
      </x:c>
    </x:row>
    <x:row r="621" ht="21" customHeight="1">
      <x:c r="A621" s="7" t="n">
        <x:v>616</x:v>
      </x:c>
      <x:c r="B621" s="2" t="str">
        <x:v>TXN-00616</x:v>
      </x:c>
      <x:c r="C621" s="8" t="d">
        <x:v>2025-06-10T00:00:00.000Z</x:v>
      </x:c>
      <x:c r="D621" s="2" t="str">
        <x:v>Abuja</x:v>
      </x:c>
      <x:c r="E621" s="2" t="str">
        <x:v>Fashion</x:v>
      </x:c>
      <x:c r="F621" s="2" t="str">
        <x:v>T-shirt</x:v>
      </x:c>
      <x:c r="G621" s="2" t="str">
        <x:v>Online</x:v>
      </x:c>
      <x:c r="H621" s="7" t="n">
        <x:v>1</x:v>
      </x:c>
      <x:c r="I621" s="9" t="n">
        <x:v>9000</x:v>
      </x:c>
      <x:c r="J621" s="9" t="n">
        <x:v>5000</x:v>
      </x:c>
      <x:c r="K621" s="10" t="n">
        <x:v>0</x:v>
      </x:c>
      <x:c r="L621" s="2" t="str">
        <x:v>Completed</x:v>
      </x:c>
      <x:c r="M621" s="12" t="n">
        <x:f>H621*I621</x:f>
        <x:v>9000</x:v>
      </x:c>
      <x:c r="N621" s="12" t="n">
        <x:f>IF(L621="Completed",ROUND(M621*(1-K621),2),0)</x:f>
        <x:v>9000</x:v>
      </x:c>
      <x:c r="O621" s="12" t="n">
        <x:f>IF(L621="Completed",H621*J621,0)</x:f>
        <x:v>5000</x:v>
      </x:c>
      <x:c r="P621" s="12" t="n">
        <x:f>N621-O621</x:f>
        <x:v>4000</x:v>
      </x:c>
    </x:row>
    <x:row r="622" ht="21" customHeight="1">
      <x:c r="A622" s="7" t="n">
        <x:v>617</x:v>
      </x:c>
      <x:c r="B622" s="2" t="str">
        <x:v>TXN-00617</x:v>
      </x:c>
      <x:c r="C622" s="8" t="d">
        <x:v>2025-06-05T00:00:00.000Z</x:v>
      </x:c>
      <x:c r="D622" s="2" t="str">
        <x:v>Abuja</x:v>
      </x:c>
      <x:c r="E622" s="2" t="str">
        <x:v>Beauty</x:v>
      </x:c>
      <x:c r="F622" s="2" t="str">
        <x:v>Moisturizer</x:v>
      </x:c>
      <x:c r="G622" s="2" t="str">
        <x:v>Online</x:v>
      </x:c>
      <x:c r="H622" s="7" t="n">
        <x:v>1</x:v>
      </x:c>
      <x:c r="I622" s="9" t="n">
        <x:v>6500</x:v>
      </x:c>
      <x:c r="J622" s="9" t="n">
        <x:v>3500</x:v>
      </x:c>
      <x:c r="K622" s="10" t="n">
        <x:v>0</x:v>
      </x:c>
      <x:c r="L622" s="2" t="str">
        <x:v>Completed</x:v>
      </x:c>
      <x:c r="M622" s="12" t="n">
        <x:f>H622*I622</x:f>
        <x:v>6500</x:v>
      </x:c>
      <x:c r="N622" s="12" t="n">
        <x:f>IF(L622="Completed",ROUND(M622*(1-K622),2),0)</x:f>
        <x:v>6500</x:v>
      </x:c>
      <x:c r="O622" s="12" t="n">
        <x:f>IF(L622="Completed",H622*J622,0)</x:f>
        <x:v>3500</x:v>
      </x:c>
      <x:c r="P622" s="12" t="n">
        <x:f>N622-O622</x:f>
        <x:v>3000</x:v>
      </x:c>
    </x:row>
    <x:row r="623" ht="21" customHeight="1">
      <x:c r="A623" s="7" t="n">
        <x:v>618</x:v>
      </x:c>
      <x:c r="B623" s="2" t="str">
        <x:v>TXN-00618</x:v>
      </x:c>
      <x:c r="C623" s="8" t="d">
        <x:v>2025-06-16T00:00:00.000Z</x:v>
      </x:c>
      <x:c r="D623" s="2" t="str">
        <x:v>Kano</x:v>
      </x:c>
      <x:c r="E623" s="2" t="str">
        <x:v>Beauty</x:v>
      </x:c>
      <x:c r="F623" s="2" t="str">
        <x:v>Body wash</x:v>
      </x:c>
      <x:c r="G623" s="2" t="str">
        <x:v>In-store</x:v>
      </x:c>
      <x:c r="H623" s="7" t="n">
        <x:v>1</x:v>
      </x:c>
      <x:c r="I623" s="9" t="n">
        <x:v>4500</x:v>
      </x:c>
      <x:c r="J623" s="9" t="n">
        <x:v>2300</x:v>
      </x:c>
      <x:c r="K623" s="10" t="n">
        <x:v>0</x:v>
      </x:c>
      <x:c r="L623" s="2" t="str">
        <x:v>Completed</x:v>
      </x:c>
      <x:c r="M623" s="12" t="n">
        <x:f>H623*I623</x:f>
        <x:v>4500</x:v>
      </x:c>
      <x:c r="N623" s="12" t="n">
        <x:f>IF(L623="Completed",ROUND(M623*(1-K623),2),0)</x:f>
        <x:v>4500</x:v>
      </x:c>
      <x:c r="O623" s="12" t="n">
        <x:f>IF(L623="Completed",H623*J623,0)</x:f>
        <x:v>2300</x:v>
      </x:c>
      <x:c r="P623" s="12" t="n">
        <x:f>N623-O623</x:f>
        <x:v>2200</x:v>
      </x:c>
    </x:row>
    <x:row r="624" ht="21" customHeight="1">
      <x:c r="A624" s="7" t="n">
        <x:v>619</x:v>
      </x:c>
      <x:c r="B624" s="2" t="str">
        <x:v>TXN-00619</x:v>
      </x:c>
      <x:c r="C624" s="8" t="d">
        <x:v>2025-06-03T00:00:00.000Z</x:v>
      </x:c>
      <x:c r="D624" s="2" t="str">
        <x:v>Kano</x:v>
      </x:c>
      <x:c r="E624" s="2" t="str">
        <x:v>Beauty</x:v>
      </x:c>
      <x:c r="F624" s="2" t="str">
        <x:v>Moisturizer</x:v>
      </x:c>
      <x:c r="G624" s="2" t="str">
        <x:v>Online</x:v>
      </x:c>
      <x:c r="H624" s="7" t="n">
        <x:v>2</x:v>
      </x:c>
      <x:c r="I624" s="9" t="n">
        <x:v>6500</x:v>
      </x:c>
      <x:c r="J624" s="9" t="n">
        <x:v>3500</x:v>
      </x:c>
      <x:c r="K624" s="10" t="n">
        <x:v>0</x:v>
      </x:c>
      <x:c r="L624" s="2" t="str">
        <x:v>Completed</x:v>
      </x:c>
      <x:c r="M624" s="12" t="n">
        <x:f>H624*I624</x:f>
        <x:v>13000</x:v>
      </x:c>
      <x:c r="N624" s="12" t="n">
        <x:f>IF(L624="Completed",ROUND(M624*(1-K624),2),0)</x:f>
        <x:v>13000</x:v>
      </x:c>
      <x:c r="O624" s="12" t="n">
        <x:f>IF(L624="Completed",H624*J624,0)</x:f>
        <x:v>7000</x:v>
      </x:c>
      <x:c r="P624" s="12" t="n">
        <x:f>N624-O624</x:f>
        <x:v>6000</x:v>
      </x:c>
    </x:row>
    <x:row r="625" ht="21" customHeight="1">
      <x:c r="A625" s="7" t="n">
        <x:v>620</x:v>
      </x:c>
      <x:c r="B625" s="2" t="str">
        <x:v>TXN-00620</x:v>
      </x:c>
      <x:c r="C625" s="8" t="d">
        <x:v>2025-06-17T00:00:00.000Z</x:v>
      </x:c>
      <x:c r="D625" s="2" t="str">
        <x:v>Port Harcourt</x:v>
      </x:c>
      <x:c r="E625" s="2" t="str">
        <x:v>Electronics</x:v>
      </x:c>
      <x:c r="F625" s="2" t="str">
        <x:v>Power bank</x:v>
      </x:c>
      <x:c r="G625" s="2" t="str">
        <x:v>Online</x:v>
      </x:c>
      <x:c r="H625" s="7" t="n">
        <x:v>2</x:v>
      </x:c>
      <x:c r="I625" s="9" t="n">
        <x:v>15000</x:v>
      </x:c>
      <x:c r="J625" s="9" t="n">
        <x:v>9500</x:v>
      </x:c>
      <x:c r="K625" s="10" t="n">
        <x:v>0</x:v>
      </x:c>
      <x:c r="L625" s="2" t="str">
        <x:v>Completed</x:v>
      </x:c>
      <x:c r="M625" s="12" t="n">
        <x:f>H625*I625</x:f>
        <x:v>30000</x:v>
      </x:c>
      <x:c r="N625" s="12" t="n">
        <x:f>IF(L625="Completed",ROUND(M625*(1-K625),2),0)</x:f>
        <x:v>30000</x:v>
      </x:c>
      <x:c r="O625" s="12" t="n">
        <x:f>IF(L625="Completed",H625*J625,0)</x:f>
        <x:v>19000</x:v>
      </x:c>
      <x:c r="P625" s="12" t="n">
        <x:f>N625-O625</x:f>
        <x:v>11000</x:v>
      </x:c>
    </x:row>
    <x:row r="626" ht="21" customHeight="1">
      <x:c r="A626" s="7" t="n">
        <x:v>621</x:v>
      </x:c>
      <x:c r="B626" s="2" t="str">
        <x:v>TXN-00621</x:v>
      </x:c>
      <x:c r="C626" s="8" t="d">
        <x:v>2025-06-24T00:00:00.000Z</x:v>
      </x:c>
      <x:c r="D626" s="2" t="str">
        <x:v>Lagos</x:v>
      </x:c>
      <x:c r="E626" s="2" t="str">
        <x:v>Fashion</x:v>
      </x:c>
      <x:c r="F626" s="2" t="str">
        <x:v>Sneakers</x:v>
      </x:c>
      <x:c r="G626" s="2" t="str">
        <x:v>In-store</x:v>
      </x:c>
      <x:c r="H626" s="7" t="n">
        <x:v>1</x:v>
      </x:c>
      <x:c r="I626" s="9" t="n">
        <x:v>28000</x:v>
      </x:c>
      <x:c r="J626" s="9" t="n">
        <x:v>17500</x:v>
      </x:c>
      <x:c r="K626" s="10" t="n">
        <x:v>0</x:v>
      </x:c>
      <x:c r="L626" s="2" t="str">
        <x:v>Completed</x:v>
      </x:c>
      <x:c r="M626" s="12" t="n">
        <x:f>H626*I626</x:f>
        <x:v>28000</x:v>
      </x:c>
      <x:c r="N626" s="12" t="n">
        <x:f>IF(L626="Completed",ROUND(M626*(1-K626),2),0)</x:f>
        <x:v>28000</x:v>
      </x:c>
      <x:c r="O626" s="12" t="n">
        <x:f>IF(L626="Completed",H626*J626,0)</x:f>
        <x:v>17500</x:v>
      </x:c>
      <x:c r="P626" s="12" t="n">
        <x:f>N626-O626</x:f>
        <x:v>10500</x:v>
      </x:c>
    </x:row>
    <x:row r="627" ht="21" customHeight="1">
      <x:c r="A627" s="7" t="n">
        <x:v>622</x:v>
      </x:c>
      <x:c r="B627" s="2" t="str">
        <x:v>TXN-00622</x:v>
      </x:c>
      <x:c r="C627" s="8" t="d">
        <x:v>2025-06-23T00:00:00.000Z</x:v>
      </x:c>
      <x:c r="D627" s="2" t="str">
        <x:v>Abuja</x:v>
      </x:c>
      <x:c r="E627" s="2" t="str">
        <x:v>Beauty</x:v>
      </x:c>
      <x:c r="F627" s="2" t="str">
        <x:v>Moisturizer</x:v>
      </x:c>
      <x:c r="G627" s="2" t="str">
        <x:v>Online</x:v>
      </x:c>
      <x:c r="H627" s="7" t="n">
        <x:v>1</x:v>
      </x:c>
      <x:c r="I627" s="9" t="n">
        <x:v>6500</x:v>
      </x:c>
      <x:c r="J627" s="9" t="n">
        <x:v>3500</x:v>
      </x:c>
      <x:c r="K627" s="10" t="n">
        <x:v>0.05</x:v>
      </x:c>
      <x:c r="L627" s="2" t="str">
        <x:v>Completed</x:v>
      </x:c>
      <x:c r="M627" s="12" t="n">
        <x:f>H627*I627</x:f>
        <x:v>6500</x:v>
      </x:c>
      <x:c r="N627" s="12" t="n">
        <x:f>IF(L627="Completed",ROUND(M627*(1-K627),2),0)</x:f>
        <x:v>6175</x:v>
      </x:c>
      <x:c r="O627" s="12" t="n">
        <x:f>IF(L627="Completed",H627*J627,0)</x:f>
        <x:v>3500</x:v>
      </x:c>
      <x:c r="P627" s="12" t="n">
        <x:f>N627-O627</x:f>
        <x:v>2675</x:v>
      </x:c>
    </x:row>
    <x:row r="628" ht="21" customHeight="1">
      <x:c r="A628" s="7" t="n">
        <x:v>623</x:v>
      </x:c>
      <x:c r="B628" s="2" t="str">
        <x:v>TXN-00623</x:v>
      </x:c>
      <x:c r="C628" s="8" t="d">
        <x:v>2025-06-30T00:00:00.000Z</x:v>
      </x:c>
      <x:c r="D628" s="2" t="str">
        <x:v>Port Harcourt</x:v>
      </x:c>
      <x:c r="E628" s="2" t="str">
        <x:v>Fashion</x:v>
      </x:c>
      <x:c r="F628" s="2" t="str">
        <x:v>T-shirt</x:v>
      </x:c>
      <x:c r="G628" s="2" t="str">
        <x:v>Online</x:v>
      </x:c>
      <x:c r="H628" s="7" t="n">
        <x:v>2</x:v>
      </x:c>
      <x:c r="I628" s="9" t="n">
        <x:v>9000</x:v>
      </x:c>
      <x:c r="J628" s="9" t="n">
        <x:v>5000</x:v>
      </x:c>
      <x:c r="K628" s="10" t="n">
        <x:v>0.15</x:v>
      </x:c>
      <x:c r="L628" s="2" t="str">
        <x:v>Completed</x:v>
      </x:c>
      <x:c r="M628" s="12" t="n">
        <x:f>H628*I628</x:f>
        <x:v>18000</x:v>
      </x:c>
      <x:c r="N628" s="12" t="n">
        <x:f>IF(L628="Completed",ROUND(M628*(1-K628),2),0)</x:f>
        <x:v>15300</x:v>
      </x:c>
      <x:c r="O628" s="12" t="n">
        <x:f>IF(L628="Completed",H628*J628,0)</x:f>
        <x:v>10000</x:v>
      </x:c>
      <x:c r="P628" s="12" t="n">
        <x:f>N628-O628</x:f>
        <x:v>5300</x:v>
      </x:c>
    </x:row>
    <x:row r="629" ht="21" customHeight="1">
      <x:c r="A629" s="7" t="n">
        <x:v>624</x:v>
      </x:c>
      <x:c r="B629" s="2" t="str">
        <x:v>TXN-00624</x:v>
      </x:c>
      <x:c r="C629" s="8" t="d">
        <x:v>2025-06-30T00:00:00.000Z</x:v>
      </x:c>
      <x:c r="D629" s="2" t="str">
        <x:v>Lagos</x:v>
      </x:c>
      <x:c r="E629" s="2" t="str">
        <x:v>Electronics</x:v>
      </x:c>
      <x:c r="F629" s="2" t="str">
        <x:v>Bluetooth speaker</x:v>
      </x:c>
      <x:c r="G629" s="2" t="str">
        <x:v>Online</x:v>
      </x:c>
      <x:c r="H629" s="7" t="n">
        <x:v>2</x:v>
      </x:c>
      <x:c r="I629" s="9" t="n">
        <x:v>26000</x:v>
      </x:c>
      <x:c r="J629" s="9" t="n">
        <x:v>17000</x:v>
      </x:c>
      <x:c r="K629" s="10" t="n">
        <x:v>0.05</x:v>
      </x:c>
      <x:c r="L629" s="2" t="str">
        <x:v>Completed</x:v>
      </x:c>
      <x:c r="M629" s="12" t="n">
        <x:f>H629*I629</x:f>
        <x:v>52000</x:v>
      </x:c>
      <x:c r="N629" s="12" t="n">
        <x:f>IF(L629="Completed",ROUND(M629*(1-K629),2),0)</x:f>
        <x:v>49400</x:v>
      </x:c>
      <x:c r="O629" s="12" t="n">
        <x:f>IF(L629="Completed",H629*J629,0)</x:f>
        <x:v>34000</x:v>
      </x:c>
      <x:c r="P629" s="12" t="n">
        <x:f>N629-O629</x:f>
        <x:v>15400</x:v>
      </x:c>
    </x:row>
    <x:row r="630" ht="21" customHeight="1">
      <x:c r="A630" s="7" t="n">
        <x:v>625</x:v>
      </x:c>
      <x:c r="B630" s="2" t="str">
        <x:v>TXN-00625</x:v>
      </x:c>
      <x:c r="C630" s="8" t="d">
        <x:v>2025-06-21T00:00:00.000Z</x:v>
      </x:c>
      <x:c r="D630" s="2" t="str">
        <x:v>Abuja</x:v>
      </x:c>
      <x:c r="E630" s="2" t="str">
        <x:v>Electronics</x:v>
      </x:c>
      <x:c r="F630" s="2" t="str">
        <x:v>Power bank</x:v>
      </x:c>
      <x:c r="G630" s="2" t="str">
        <x:v>In-store</x:v>
      </x:c>
      <x:c r="H630" s="7" t="n">
        <x:v>1</x:v>
      </x:c>
      <x:c r="I630" s="9" t="n">
        <x:v>15000</x:v>
      </x:c>
      <x:c r="J630" s="9" t="n">
        <x:v>9500</x:v>
      </x:c>
      <x:c r="K630" s="10" t="n">
        <x:v>0.15</x:v>
      </x:c>
      <x:c r="L630" s="2" t="str">
        <x:v>Completed</x:v>
      </x:c>
      <x:c r="M630" s="12" t="n">
        <x:f>H630*I630</x:f>
        <x:v>15000</x:v>
      </x:c>
      <x:c r="N630" s="12" t="n">
        <x:f>IF(L630="Completed",ROUND(M630*(1-K630),2),0)</x:f>
        <x:v>12750</x:v>
      </x:c>
      <x:c r="O630" s="12" t="n">
        <x:f>IF(L630="Completed",H630*J630,0)</x:f>
        <x:v>9500</x:v>
      </x:c>
      <x:c r="P630" s="12" t="n">
        <x:f>N630-O630</x:f>
        <x:v>3250</x:v>
      </x:c>
    </x:row>
    <x:row r="631" ht="21" customHeight="1">
      <x:c r="A631" s="7" t="n">
        <x:v>626</x:v>
      </x:c>
      <x:c r="B631" s="2" t="str">
        <x:v>TXN-00626</x:v>
      </x:c>
      <x:c r="C631" s="8" t="d">
        <x:v>2025-06-08T00:00:00.000Z</x:v>
      </x:c>
      <x:c r="D631" s="2" t="str">
        <x:v>Lagos</x:v>
      </x:c>
      <x:c r="E631" s="2" t="str">
        <x:v>Electronics</x:v>
      </x:c>
      <x:c r="F631" s="2" t="str">
        <x:v>Headphones</x:v>
      </x:c>
      <x:c r="G631" s="2" t="str">
        <x:v>In-store</x:v>
      </x:c>
      <x:c r="H631" s="7" t="n">
        <x:v>1</x:v>
      </x:c>
      <x:c r="I631" s="9" t="n">
        <x:v>18000</x:v>
      </x:c>
      <x:c r="J631" s="9" t="n">
        <x:v>10500</x:v>
      </x:c>
      <x:c r="K631" s="10" t="n">
        <x:v>0.1</x:v>
      </x:c>
      <x:c r="L631" s="2" t="str">
        <x:v>Completed</x:v>
      </x:c>
      <x:c r="M631" s="12" t="n">
        <x:f>H631*I631</x:f>
        <x:v>18000</x:v>
      </x:c>
      <x:c r="N631" s="12" t="n">
        <x:f>IF(L631="Completed",ROUND(M631*(1-K631),2),0)</x:f>
        <x:v>16200</x:v>
      </x:c>
      <x:c r="O631" s="12" t="n">
        <x:f>IF(L631="Completed",H631*J631,0)</x:f>
        <x:v>10500</x:v>
      </x:c>
      <x:c r="P631" s="12" t="n">
        <x:f>N631-O631</x:f>
        <x:v>5700</x:v>
      </x:c>
    </x:row>
    <x:row r="632" ht="21" customHeight="1">
      <x:c r="A632" s="7" t="n">
        <x:v>627</x:v>
      </x:c>
      <x:c r="B632" s="2" t="str">
        <x:v>TXN-00627</x:v>
      </x:c>
      <x:c r="C632" s="8" t="d">
        <x:v>2025-06-27T00:00:00.000Z</x:v>
      </x:c>
      <x:c r="D632" s="2" t="str">
        <x:v>Lagos</x:v>
      </x:c>
      <x:c r="E632" s="2" t="str">
        <x:v>Home</x:v>
      </x:c>
      <x:c r="F632" s="2" t="str">
        <x:v>Cookware set</x:v>
      </x:c>
      <x:c r="G632" s="2" t="str">
        <x:v>Online</x:v>
      </x:c>
      <x:c r="H632" s="7" t="n">
        <x:v>2</x:v>
      </x:c>
      <x:c r="I632" s="9" t="n">
        <x:v>35000</x:v>
      </x:c>
      <x:c r="J632" s="9" t="n">
        <x:v>22500</x:v>
      </x:c>
      <x:c r="K632" s="10" t="n">
        <x:v>0</x:v>
      </x:c>
      <x:c r="L632" s="2" t="str">
        <x:v>Completed</x:v>
      </x:c>
      <x:c r="M632" s="12" t="n">
        <x:f>H632*I632</x:f>
        <x:v>70000</x:v>
      </x:c>
      <x:c r="N632" s="12" t="n">
        <x:f>IF(L632="Completed",ROUND(M632*(1-K632),2),0)</x:f>
        <x:v>70000</x:v>
      </x:c>
      <x:c r="O632" s="12" t="n">
        <x:f>IF(L632="Completed",H632*J632,0)</x:f>
        <x:v>45000</x:v>
      </x:c>
      <x:c r="P632" s="12" t="n">
        <x:f>N632-O632</x:f>
        <x:v>25000</x:v>
      </x:c>
    </x:row>
    <x:row r="633" ht="21" customHeight="1">
      <x:c r="A633" s="7" t="n">
        <x:v>628</x:v>
      </x:c>
      <x:c r="B633" s="2" t="str">
        <x:v>TXN-00628</x:v>
      </x:c>
      <x:c r="C633" s="8" t="d">
        <x:v>2025-06-18T00:00:00.000Z</x:v>
      </x:c>
      <x:c r="D633" s="2" t="str">
        <x:v>Port Harcourt</x:v>
      </x:c>
      <x:c r="E633" s="2" t="str">
        <x:v>Beauty</x:v>
      </x:c>
      <x:c r="F633" s="2" t="str">
        <x:v>Moisturizer</x:v>
      </x:c>
      <x:c r="G633" s="2" t="str">
        <x:v>In-store</x:v>
      </x:c>
      <x:c r="H633" s="7" t="n">
        <x:v>3</x:v>
      </x:c>
      <x:c r="I633" s="9" t="n">
        <x:v>6500</x:v>
      </x:c>
      <x:c r="J633" s="9" t="n">
        <x:v>3500</x:v>
      </x:c>
      <x:c r="K633" s="10" t="n">
        <x:v>0.1</x:v>
      </x:c>
      <x:c r="L633" s="2" t="str">
        <x:v>Completed</x:v>
      </x:c>
      <x:c r="M633" s="12" t="n">
        <x:f>H633*I633</x:f>
        <x:v>19500</x:v>
      </x:c>
      <x:c r="N633" s="12" t="n">
        <x:f>IF(L633="Completed",ROUND(M633*(1-K633),2),0)</x:f>
        <x:v>17550</x:v>
      </x:c>
      <x:c r="O633" s="12" t="n">
        <x:f>IF(L633="Completed",H633*J633,0)</x:f>
        <x:v>10500</x:v>
      </x:c>
      <x:c r="P633" s="12" t="n">
        <x:f>N633-O633</x:f>
        <x:v>7050</x:v>
      </x:c>
    </x:row>
    <x:row r="634" ht="21" customHeight="1">
      <x:c r="A634" s="7" t="n">
        <x:v>629</x:v>
      </x:c>
      <x:c r="B634" s="2" t="str">
        <x:v>TXN-00629</x:v>
      </x:c>
      <x:c r="C634" s="8" t="d">
        <x:v>2025-06-11T00:00:00.000Z</x:v>
      </x:c>
      <x:c r="D634" s="2" t="str">
        <x:v>Abuja</x:v>
      </x:c>
      <x:c r="E634" s="2" t="str">
        <x:v>Fashion</x:v>
      </x:c>
      <x:c r="F634" s="2" t="str">
        <x:v>T-shirt</x:v>
      </x:c>
      <x:c r="G634" s="2" t="str">
        <x:v>Online</x:v>
      </x:c>
      <x:c r="H634" s="7" t="n">
        <x:v>1</x:v>
      </x:c>
      <x:c r="I634" s="9" t="n">
        <x:v>9000</x:v>
      </x:c>
      <x:c r="J634" s="9" t="n">
        <x:v>5000</x:v>
      </x:c>
      <x:c r="K634" s="10" t="n">
        <x:v>0.05</x:v>
      </x:c>
      <x:c r="L634" s="2" t="str">
        <x:v>Completed</x:v>
      </x:c>
      <x:c r="M634" s="12" t="n">
        <x:f>H634*I634</x:f>
        <x:v>9000</x:v>
      </x:c>
      <x:c r="N634" s="12" t="n">
        <x:f>IF(L634="Completed",ROUND(M634*(1-K634),2),0)</x:f>
        <x:v>8550</x:v>
      </x:c>
      <x:c r="O634" s="12" t="n">
        <x:f>IF(L634="Completed",H634*J634,0)</x:f>
        <x:v>5000</x:v>
      </x:c>
      <x:c r="P634" s="12" t="n">
        <x:f>N634-O634</x:f>
        <x:v>3550</x:v>
      </x:c>
    </x:row>
    <x:row r="635" ht="21" customHeight="1">
      <x:c r="A635" s="7" t="n">
        <x:v>630</x:v>
      </x:c>
      <x:c r="B635" s="2" t="str">
        <x:v>TXN-00630</x:v>
      </x:c>
      <x:c r="C635" s="8" t="d">
        <x:v>2025-06-20T00:00:00.000Z</x:v>
      </x:c>
      <x:c r="D635" s="2" t="str">
        <x:v>Lagos</x:v>
      </x:c>
      <x:c r="E635" s="2" t="str">
        <x:v>Fashion</x:v>
      </x:c>
      <x:c r="F635" s="2" t="str">
        <x:v>Sneakers</x:v>
      </x:c>
      <x:c r="G635" s="2" t="str">
        <x:v>In-store</x:v>
      </x:c>
      <x:c r="H635" s="7" t="n">
        <x:v>4</x:v>
      </x:c>
      <x:c r="I635" s="9" t="n">
        <x:v>28000</x:v>
      </x:c>
      <x:c r="J635" s="9" t="n">
        <x:v>17500</x:v>
      </x:c>
      <x:c r="K635" s="10" t="n">
        <x:v>0</x:v>
      </x:c>
      <x:c r="L635" s="2" t="str">
        <x:v>Completed</x:v>
      </x:c>
      <x:c r="M635" s="12" t="n">
        <x:f>H635*I635</x:f>
        <x:v>112000</x:v>
      </x:c>
      <x:c r="N635" s="12" t="n">
        <x:f>IF(L635="Completed",ROUND(M635*(1-K635),2),0)</x:f>
        <x:v>112000</x:v>
      </x:c>
      <x:c r="O635" s="12" t="n">
        <x:f>IF(L635="Completed",H635*J635,0)</x:f>
        <x:v>70000</x:v>
      </x:c>
      <x:c r="P635" s="12" t="n">
        <x:f>N635-O635</x:f>
        <x:v>42000</x:v>
      </x:c>
    </x:row>
    <x:row r="636" ht="21" customHeight="1">
      <x:c r="A636" s="7" t="n">
        <x:v>631</x:v>
      </x:c>
      <x:c r="B636" s="2" t="str">
        <x:v>TXN-00631</x:v>
      </x:c>
      <x:c r="C636" s="8" t="d">
        <x:v>2025-06-13T00:00:00.000Z</x:v>
      </x:c>
      <x:c r="D636" s="2" t="str">
        <x:v>Lagos</x:v>
      </x:c>
      <x:c r="E636" s="2" t="str">
        <x:v>Beauty</x:v>
      </x:c>
      <x:c r="F636" s="2" t="str">
        <x:v>Perfume</x:v>
      </x:c>
      <x:c r="G636" s="2" t="str">
        <x:v>In-store</x:v>
      </x:c>
      <x:c r="H636" s="7" t="n">
        <x:v>1</x:v>
      </x:c>
      <x:c r="I636" s="9" t="n">
        <x:v>17000</x:v>
      </x:c>
      <x:c r="J636" s="9" t="n">
        <x:v>9000</x:v>
      </x:c>
      <x:c r="K636" s="10" t="n">
        <x:v>0.05</x:v>
      </x:c>
      <x:c r="L636" s="2" t="str">
        <x:v>Completed</x:v>
      </x:c>
      <x:c r="M636" s="12" t="n">
        <x:f>H636*I636</x:f>
        <x:v>17000</x:v>
      </x:c>
      <x:c r="N636" s="12" t="n">
        <x:f>IF(L636="Completed",ROUND(M636*(1-K636),2),0)</x:f>
        <x:v>16150</x:v>
      </x:c>
      <x:c r="O636" s="12" t="n">
        <x:f>IF(L636="Completed",H636*J636,0)</x:f>
        <x:v>9000</x:v>
      </x:c>
      <x:c r="P636" s="12" t="n">
        <x:f>N636-O636</x:f>
        <x:v>7150</x:v>
      </x:c>
    </x:row>
    <x:row r="637" ht="21" customHeight="1">
      <x:c r="A637" s="7" t="n">
        <x:v>632</x:v>
      </x:c>
      <x:c r="B637" s="2" t="str">
        <x:v>TXN-00632</x:v>
      </x:c>
      <x:c r="C637" s="8" t="d">
        <x:v>2025-06-06T00:00:00.000Z</x:v>
      </x:c>
      <x:c r="D637" s="2" t="str">
        <x:v>Kano</x:v>
      </x:c>
      <x:c r="E637" s="2" t="str">
        <x:v>Beauty</x:v>
      </x:c>
      <x:c r="F637" s="2" t="str">
        <x:v>Moisturizer</x:v>
      </x:c>
      <x:c r="G637" s="2" t="str">
        <x:v>Online</x:v>
      </x:c>
      <x:c r="H637" s="7" t="n">
        <x:v>2</x:v>
      </x:c>
      <x:c r="I637" s="9" t="n">
        <x:v>6500</x:v>
      </x:c>
      <x:c r="J637" s="9" t="n">
        <x:v>3500</x:v>
      </x:c>
      <x:c r="K637" s="10" t="n">
        <x:v>0.05</x:v>
      </x:c>
      <x:c r="L637" s="2" t="str">
        <x:v>Completed</x:v>
      </x:c>
      <x:c r="M637" s="12" t="n">
        <x:f>H637*I637</x:f>
        <x:v>13000</x:v>
      </x:c>
      <x:c r="N637" s="12" t="n">
        <x:f>IF(L637="Completed",ROUND(M637*(1-K637),2),0)</x:f>
        <x:v>12350</x:v>
      </x:c>
      <x:c r="O637" s="12" t="n">
        <x:f>IF(L637="Completed",H637*J637,0)</x:f>
        <x:v>7000</x:v>
      </x:c>
      <x:c r="P637" s="12" t="n">
        <x:f>N637-O637</x:f>
        <x:v>5350</x:v>
      </x:c>
    </x:row>
    <x:row r="638" ht="21" customHeight="1">
      <x:c r="A638" s="7" t="n">
        <x:v>633</x:v>
      </x:c>
      <x:c r="B638" s="2" t="str">
        <x:v>TXN-00633</x:v>
      </x:c>
      <x:c r="C638" s="8" t="d">
        <x:v>2025-06-23T00:00:00.000Z</x:v>
      </x:c>
      <x:c r="D638" s="2" t="str">
        <x:v>Port Harcourt</x:v>
      </x:c>
      <x:c r="E638" s="2" t="str">
        <x:v>Electronics</x:v>
      </x:c>
      <x:c r="F638" s="2" t="str">
        <x:v>Bluetooth speaker</x:v>
      </x:c>
      <x:c r="G638" s="2" t="str">
        <x:v>In-store</x:v>
      </x:c>
      <x:c r="H638" s="7" t="n">
        <x:v>1</x:v>
      </x:c>
      <x:c r="I638" s="9" t="n">
        <x:v>26000</x:v>
      </x:c>
      <x:c r="J638" s="9" t="n">
        <x:v>17000</x:v>
      </x:c>
      <x:c r="K638" s="10" t="n">
        <x:v>0.05</x:v>
      </x:c>
      <x:c r="L638" s="2" t="str">
        <x:v>Completed</x:v>
      </x:c>
      <x:c r="M638" s="12" t="n">
        <x:f>H638*I638</x:f>
        <x:v>26000</x:v>
      </x:c>
      <x:c r="N638" s="12" t="n">
        <x:f>IF(L638="Completed",ROUND(M638*(1-K638),2),0)</x:f>
        <x:v>24700</x:v>
      </x:c>
      <x:c r="O638" s="12" t="n">
        <x:f>IF(L638="Completed",H638*J638,0)</x:f>
        <x:v>17000</x:v>
      </x:c>
      <x:c r="P638" s="12" t="n">
        <x:f>N638-O638</x:f>
        <x:v>7700</x:v>
      </x:c>
    </x:row>
    <x:row r="639" ht="21" customHeight="1">
      <x:c r="A639" s="7" t="n">
        <x:v>634</x:v>
      </x:c>
      <x:c r="B639" s="2" t="str">
        <x:v>TXN-00634</x:v>
      </x:c>
      <x:c r="C639" s="8" t="d">
        <x:v>2025-06-22T00:00:00.000Z</x:v>
      </x:c>
      <x:c r="D639" s="2" t="str">
        <x:v>Lagos</x:v>
      </x:c>
      <x:c r="E639" s="2" t="str">
        <x:v>Beauty</x:v>
      </x:c>
      <x:c r="F639" s="2" t="str">
        <x:v>Body wash</x:v>
      </x:c>
      <x:c r="G639" s="2" t="str">
        <x:v>Online</x:v>
      </x:c>
      <x:c r="H639" s="7" t="n">
        <x:v>3</x:v>
      </x:c>
      <x:c r="I639" s="9" t="n">
        <x:v>4500</x:v>
      </x:c>
      <x:c r="J639" s="9" t="n">
        <x:v>2300</x:v>
      </x:c>
      <x:c r="K639" s="10" t="n">
        <x:v>0</x:v>
      </x:c>
      <x:c r="L639" s="2" t="str">
        <x:v>Completed</x:v>
      </x:c>
      <x:c r="M639" s="12" t="n">
        <x:f>H639*I639</x:f>
        <x:v>13500</x:v>
      </x:c>
      <x:c r="N639" s="12" t="n">
        <x:f>IF(L639="Completed",ROUND(M639*(1-K639),2),0)</x:f>
        <x:v>13500</x:v>
      </x:c>
      <x:c r="O639" s="12" t="n">
        <x:f>IF(L639="Completed",H639*J639,0)</x:f>
        <x:v>6900</x:v>
      </x:c>
      <x:c r="P639" s="12" t="n">
        <x:f>N639-O639</x:f>
        <x:v>6600</x:v>
      </x:c>
    </x:row>
    <x:row r="640" ht="21" customHeight="1">
      <x:c r="A640" s="7" t="n">
        <x:v>635</x:v>
      </x:c>
      <x:c r="B640" s="2" t="str">
        <x:v>TXN-00635</x:v>
      </x:c>
      <x:c r="C640" s="8" t="d">
        <x:v>2025-06-18T00:00:00.000Z</x:v>
      </x:c>
      <x:c r="D640" s="2" t="str">
        <x:v>Abuja</x:v>
      </x:c>
      <x:c r="E640" s="2" t="str">
        <x:v>Beauty</x:v>
      </x:c>
      <x:c r="F640" s="2" t="str">
        <x:v>Body wash</x:v>
      </x:c>
      <x:c r="G640" s="2" t="str">
        <x:v>Online</x:v>
      </x:c>
      <x:c r="H640" s="7" t="n">
        <x:v>1</x:v>
      </x:c>
      <x:c r="I640" s="9" t="n">
        <x:v>4500</x:v>
      </x:c>
      <x:c r="J640" s="9" t="n">
        <x:v>2300</x:v>
      </x:c>
      <x:c r="K640" s="10" t="n">
        <x:v>0</x:v>
      </x:c>
      <x:c r="L640" s="2" t="str">
        <x:v>Completed</x:v>
      </x:c>
      <x:c r="M640" s="12" t="n">
        <x:f>H640*I640</x:f>
        <x:v>4500</x:v>
      </x:c>
      <x:c r="N640" s="12" t="n">
        <x:f>IF(L640="Completed",ROUND(M640*(1-K640),2),0)</x:f>
        <x:v>4500</x:v>
      </x:c>
      <x:c r="O640" s="12" t="n">
        <x:f>IF(L640="Completed",H640*J640,0)</x:f>
        <x:v>2300</x:v>
      </x:c>
      <x:c r="P640" s="12" t="n">
        <x:f>N640-O640</x:f>
        <x:v>2200</x:v>
      </x:c>
    </x:row>
    <x:row r="641" ht="21" customHeight="1">
      <x:c r="A641" s="7" t="n">
        <x:v>636</x:v>
      </x:c>
      <x:c r="B641" s="2" t="str">
        <x:v>TXN-00636</x:v>
      </x:c>
      <x:c r="C641" s="8" t="d">
        <x:v>2025-06-07T00:00:00.000Z</x:v>
      </x:c>
      <x:c r="D641" s="2" t="str">
        <x:v>Lagos</x:v>
      </x:c>
      <x:c r="E641" s="2" t="str">
        <x:v>Electronics</x:v>
      </x:c>
      <x:c r="F641" s="2" t="str">
        <x:v>Bluetooth speaker</x:v>
      </x:c>
      <x:c r="G641" s="2" t="str">
        <x:v>In-store</x:v>
      </x:c>
      <x:c r="H641" s="7" t="n">
        <x:v>1</x:v>
      </x:c>
      <x:c r="I641" s="9" t="n">
        <x:v>26000</x:v>
      </x:c>
      <x:c r="J641" s="9" t="n">
        <x:v>17000</x:v>
      </x:c>
      <x:c r="K641" s="10" t="n">
        <x:v>0.1</x:v>
      </x:c>
      <x:c r="L641" s="2" t="str">
        <x:v>Completed</x:v>
      </x:c>
      <x:c r="M641" s="12" t="n">
        <x:f>H641*I641</x:f>
        <x:v>26000</x:v>
      </x:c>
      <x:c r="N641" s="12" t="n">
        <x:f>IF(L641="Completed",ROUND(M641*(1-K641),2),0)</x:f>
        <x:v>23400</x:v>
      </x:c>
      <x:c r="O641" s="12" t="n">
        <x:f>IF(L641="Completed",H641*J641,0)</x:f>
        <x:v>17000</x:v>
      </x:c>
      <x:c r="P641" s="12" t="n">
        <x:f>N641-O641</x:f>
        <x:v>6400</x:v>
      </x:c>
    </x:row>
    <x:row r="642" ht="21" customHeight="1">
      <x:c r="A642" s="7" t="n">
        <x:v>637</x:v>
      </x:c>
      <x:c r="B642" s="2" t="str">
        <x:v>TXN-00637</x:v>
      </x:c>
      <x:c r="C642" s="8" t="d">
        <x:v>2025-06-06T00:00:00.000Z</x:v>
      </x:c>
      <x:c r="D642" s="2" t="str">
        <x:v>Lagos</x:v>
      </x:c>
      <x:c r="E642" s="2" t="str">
        <x:v>Beauty</x:v>
      </x:c>
      <x:c r="F642" s="2" t="str">
        <x:v>Moisturizer</x:v>
      </x:c>
      <x:c r="G642" s="2" t="str">
        <x:v>Online</x:v>
      </x:c>
      <x:c r="H642" s="7" t="n">
        <x:v>1</x:v>
      </x:c>
      <x:c r="I642" s="9" t="n">
        <x:v>6500</x:v>
      </x:c>
      <x:c r="J642" s="9" t="n">
        <x:v>3500</x:v>
      </x:c>
      <x:c r="K642" s="10" t="n">
        <x:v>0.1</x:v>
      </x:c>
      <x:c r="L642" s="2" t="str">
        <x:v>Completed</x:v>
      </x:c>
      <x:c r="M642" s="12" t="n">
        <x:f>H642*I642</x:f>
        <x:v>6500</x:v>
      </x:c>
      <x:c r="N642" s="12" t="n">
        <x:f>IF(L642="Completed",ROUND(M642*(1-K642),2),0)</x:f>
        <x:v>5850</x:v>
      </x:c>
      <x:c r="O642" s="12" t="n">
        <x:f>IF(L642="Completed",H642*J642,0)</x:f>
        <x:v>3500</x:v>
      </x:c>
      <x:c r="P642" s="12" t="n">
        <x:f>N642-O642</x:f>
        <x:v>2350</x:v>
      </x:c>
    </x:row>
    <x:row r="643" ht="21" customHeight="1">
      <x:c r="A643" s="7" t="n">
        <x:v>638</x:v>
      </x:c>
      <x:c r="B643" s="2" t="str">
        <x:v>TXN-00638</x:v>
      </x:c>
      <x:c r="C643" s="8" t="d">
        <x:v>2025-06-01T00:00:00.000Z</x:v>
      </x:c>
      <x:c r="D643" s="2" t="str">
        <x:v>Abuja</x:v>
      </x:c>
      <x:c r="E643" s="2" t="str">
        <x:v>Fashion</x:v>
      </x:c>
      <x:c r="F643" s="2" t="str">
        <x:v>Sneakers</x:v>
      </x:c>
      <x:c r="G643" s="2" t="str">
        <x:v>In-store</x:v>
      </x:c>
      <x:c r="H643" s="7" t="n">
        <x:v>2</x:v>
      </x:c>
      <x:c r="I643" s="9" t="n">
        <x:v>28000</x:v>
      </x:c>
      <x:c r="J643" s="9" t="n">
        <x:v>17500</x:v>
      </x:c>
      <x:c r="K643" s="10" t="n">
        <x:v>0</x:v>
      </x:c>
      <x:c r="L643" s="2" t="str">
        <x:v>Completed</x:v>
      </x:c>
      <x:c r="M643" s="12" t="n">
        <x:f>H643*I643</x:f>
        <x:v>56000</x:v>
      </x:c>
      <x:c r="N643" s="12" t="n">
        <x:f>IF(L643="Completed",ROUND(M643*(1-K643),2),0)</x:f>
        <x:v>56000</x:v>
      </x:c>
      <x:c r="O643" s="12" t="n">
        <x:f>IF(L643="Completed",H643*J643,0)</x:f>
        <x:v>35000</x:v>
      </x:c>
      <x:c r="P643" s="12" t="n">
        <x:f>N643-O643</x:f>
        <x:v>21000</x:v>
      </x:c>
    </x:row>
    <x:row r="644" ht="21" customHeight="1">
      <x:c r="A644" s="7" t="n">
        <x:v>639</x:v>
      </x:c>
      <x:c r="B644" s="2" t="str">
        <x:v>TXN-00639</x:v>
      </x:c>
      <x:c r="C644" s="8" t="d">
        <x:v>2025-06-22T00:00:00.000Z</x:v>
      </x:c>
      <x:c r="D644" s="2" t="str">
        <x:v>Lagos</x:v>
      </x:c>
      <x:c r="E644" s="2" t="str">
        <x:v>Fashion</x:v>
      </x:c>
      <x:c r="F644" s="2" t="str">
        <x:v>T-shirt</x:v>
      </x:c>
      <x:c r="G644" s="2" t="str">
        <x:v>In-store</x:v>
      </x:c>
      <x:c r="H644" s="7" t="n">
        <x:v>2</x:v>
      </x:c>
      <x:c r="I644" s="9" t="n">
        <x:v>9000</x:v>
      </x:c>
      <x:c r="J644" s="9" t="n">
        <x:v>5000</x:v>
      </x:c>
      <x:c r="K644" s="10" t="n">
        <x:v>0</x:v>
      </x:c>
      <x:c r="L644" s="2" t="str">
        <x:v>Completed</x:v>
      </x:c>
      <x:c r="M644" s="12" t="n">
        <x:f>H644*I644</x:f>
        <x:v>18000</x:v>
      </x:c>
      <x:c r="N644" s="12" t="n">
        <x:f>IF(L644="Completed",ROUND(M644*(1-K644),2),0)</x:f>
        <x:v>18000</x:v>
      </x:c>
      <x:c r="O644" s="12" t="n">
        <x:f>IF(L644="Completed",H644*J644,0)</x:f>
        <x:v>10000</x:v>
      </x:c>
      <x:c r="P644" s="12" t="n">
        <x:f>N644-O644</x:f>
        <x:v>8000</x:v>
      </x:c>
    </x:row>
    <x:row r="645" ht="21" customHeight="1">
      <x:c r="A645" s="7" t="n">
        <x:v>640</x:v>
      </x:c>
      <x:c r="B645" s="2" t="str">
        <x:v>TXN-00640</x:v>
      </x:c>
      <x:c r="C645" s="8" t="d">
        <x:v>2025-06-02T00:00:00.000Z</x:v>
      </x:c>
      <x:c r="D645" s="2" t="str">
        <x:v>Port Harcourt</x:v>
      </x:c>
      <x:c r="E645" s="2" t="str">
        <x:v>Electronics</x:v>
      </x:c>
      <x:c r="F645" s="2" t="str">
        <x:v>Power bank</x:v>
      </x:c>
      <x:c r="G645" s="2" t="str">
        <x:v>In-store</x:v>
      </x:c>
      <x:c r="H645" s="7" t="n">
        <x:v>1</x:v>
      </x:c>
      <x:c r="I645" s="9" t="n">
        <x:v>15000</x:v>
      </x:c>
      <x:c r="J645" s="9" t="n">
        <x:v>9500</x:v>
      </x:c>
      <x:c r="K645" s="10" t="n">
        <x:v>0</x:v>
      </x:c>
      <x:c r="L645" s="2" t="str">
        <x:v>Completed</x:v>
      </x:c>
      <x:c r="M645" s="12" t="n">
        <x:f>H645*I645</x:f>
        <x:v>15000</x:v>
      </x:c>
      <x:c r="N645" s="12" t="n">
        <x:f>IF(L645="Completed",ROUND(M645*(1-K645),2),0)</x:f>
        <x:v>15000</x:v>
      </x:c>
      <x:c r="O645" s="12" t="n">
        <x:f>IF(L645="Completed",H645*J645,0)</x:f>
        <x:v>9500</x:v>
      </x:c>
      <x:c r="P645" s="12" t="n">
        <x:f>N645-O645</x:f>
        <x:v>5500</x:v>
      </x:c>
    </x:row>
    <x:row r="646" ht="21" customHeight="1">
      <x:c r="A646" s="7" t="n">
        <x:v>641</x:v>
      </x:c>
      <x:c r="B646" s="2" t="str">
        <x:v>TXN-00641</x:v>
      </x:c>
      <x:c r="C646" s="8" t="d">
        <x:v>2025-06-01T00:00:00.000Z</x:v>
      </x:c>
      <x:c r="D646" s="2" t="str">
        <x:v>Abuja</x:v>
      </x:c>
      <x:c r="E646" s="2" t="str">
        <x:v>Fashion</x:v>
      </x:c>
      <x:c r="F646" s="2" t="str">
        <x:v>Handbag</x:v>
      </x:c>
      <x:c r="G646" s="2" t="str">
        <x:v>Online</x:v>
      </x:c>
      <x:c r="H646" s="7" t="n">
        <x:v>1</x:v>
      </x:c>
      <x:c r="I646" s="9" t="n">
        <x:v>22000</x:v>
      </x:c>
      <x:c r="J646" s="9" t="n">
        <x:v>13500</x:v>
      </x:c>
      <x:c r="K646" s="10" t="n">
        <x:v>0</x:v>
      </x:c>
      <x:c r="L646" s="2" t="str">
        <x:v>Completed</x:v>
      </x:c>
      <x:c r="M646" s="12" t="n">
        <x:f>H646*I646</x:f>
        <x:v>22000</x:v>
      </x:c>
      <x:c r="N646" s="12" t="n">
        <x:f>IF(L646="Completed",ROUND(M646*(1-K646),2),0)</x:f>
        <x:v>22000</x:v>
      </x:c>
      <x:c r="O646" s="12" t="n">
        <x:f>IF(L646="Completed",H646*J646,0)</x:f>
        <x:v>13500</x:v>
      </x:c>
      <x:c r="P646" s="12" t="n">
        <x:f>N646-O646</x:f>
        <x:v>8500</x:v>
      </x:c>
    </x:row>
    <x:row r="647" ht="21" customHeight="1">
      <x:c r="A647" s="7" t="n">
        <x:v>642</x:v>
      </x:c>
      <x:c r="B647" s="2" t="str">
        <x:v>TXN-00642</x:v>
      </x:c>
      <x:c r="C647" s="8" t="d">
        <x:v>2025-06-27T00:00:00.000Z</x:v>
      </x:c>
      <x:c r="D647" s="2" t="str">
        <x:v>Lagos</x:v>
      </x:c>
      <x:c r="E647" s="2" t="str">
        <x:v>Fashion</x:v>
      </x:c>
      <x:c r="F647" s="2" t="str">
        <x:v>Handbag</x:v>
      </x:c>
      <x:c r="G647" s="2" t="str">
        <x:v>Online</x:v>
      </x:c>
      <x:c r="H647" s="7" t="n">
        <x:v>2</x:v>
      </x:c>
      <x:c r="I647" s="9" t="n">
        <x:v>22000</x:v>
      </x:c>
      <x:c r="J647" s="9" t="n">
        <x:v>13500</x:v>
      </x:c>
      <x:c r="K647" s="10" t="n">
        <x:v>0</x:v>
      </x:c>
      <x:c r="L647" s="2" t="str">
        <x:v>Completed</x:v>
      </x:c>
      <x:c r="M647" s="12" t="n">
        <x:f>H647*I647</x:f>
        <x:v>44000</x:v>
      </x:c>
      <x:c r="N647" s="12" t="n">
        <x:f>IF(L647="Completed",ROUND(M647*(1-K647),2),0)</x:f>
        <x:v>44000</x:v>
      </x:c>
      <x:c r="O647" s="12" t="n">
        <x:f>IF(L647="Completed",H647*J647,0)</x:f>
        <x:v>27000</x:v>
      </x:c>
      <x:c r="P647" s="12" t="n">
        <x:f>N647-O647</x:f>
        <x:v>17000</x:v>
      </x:c>
    </x:row>
    <x:row r="648" ht="21" customHeight="1">
      <x:c r="A648" s="7" t="n">
        <x:v>643</x:v>
      </x:c>
      <x:c r="B648" s="2" t="str">
        <x:v>TXN-00643</x:v>
      </x:c>
      <x:c r="C648" s="8" t="d">
        <x:v>2025-06-03T00:00:00.000Z</x:v>
      </x:c>
      <x:c r="D648" s="2" t="str">
        <x:v>Abuja</x:v>
      </x:c>
      <x:c r="E648" s="2" t="str">
        <x:v>Fashion</x:v>
      </x:c>
      <x:c r="F648" s="2" t="str">
        <x:v>Handbag</x:v>
      </x:c>
      <x:c r="G648" s="2" t="str">
        <x:v>Online</x:v>
      </x:c>
      <x:c r="H648" s="7" t="n">
        <x:v>2</x:v>
      </x:c>
      <x:c r="I648" s="9" t="n">
        <x:v>22000</x:v>
      </x:c>
      <x:c r="J648" s="9" t="n">
        <x:v>13500</x:v>
      </x:c>
      <x:c r="K648" s="10" t="n">
        <x:v>0</x:v>
      </x:c>
      <x:c r="L648" s="2" t="str">
        <x:v>Completed</x:v>
      </x:c>
      <x:c r="M648" s="12" t="n">
        <x:f>H648*I648</x:f>
        <x:v>44000</x:v>
      </x:c>
      <x:c r="N648" s="12" t="n">
        <x:f>IF(L648="Completed",ROUND(M648*(1-K648),2),0)</x:f>
        <x:v>44000</x:v>
      </x:c>
      <x:c r="O648" s="12" t="n">
        <x:f>IF(L648="Completed",H648*J648,0)</x:f>
        <x:v>27000</x:v>
      </x:c>
      <x:c r="P648" s="12" t="n">
        <x:f>N648-O648</x:f>
        <x:v>17000</x:v>
      </x:c>
    </x:row>
    <x:row r="649" ht="21" customHeight="1">
      <x:c r="A649" s="7" t="n">
        <x:v>644</x:v>
      </x:c>
      <x:c r="B649" s="2" t="str">
        <x:v>TXN-00644</x:v>
      </x:c>
      <x:c r="C649" s="8" t="d">
        <x:v>2025-06-11T00:00:00.000Z</x:v>
      </x:c>
      <x:c r="D649" s="2" t="str">
        <x:v>Abuja</x:v>
      </x:c>
      <x:c r="E649" s="2" t="str">
        <x:v>Fashion</x:v>
      </x:c>
      <x:c r="F649" s="2" t="str">
        <x:v>T-shirt</x:v>
      </x:c>
      <x:c r="G649" s="2" t="str">
        <x:v>Online</x:v>
      </x:c>
      <x:c r="H649" s="7" t="n">
        <x:v>1</x:v>
      </x:c>
      <x:c r="I649" s="9" t="n">
        <x:v>9000</x:v>
      </x:c>
      <x:c r="J649" s="9" t="n">
        <x:v>5000</x:v>
      </x:c>
      <x:c r="K649" s="10" t="n">
        <x:v>0.05</x:v>
      </x:c>
      <x:c r="L649" s="2" t="str">
        <x:v>Completed</x:v>
      </x:c>
      <x:c r="M649" s="12" t="n">
        <x:f>H649*I649</x:f>
        <x:v>9000</x:v>
      </x:c>
      <x:c r="N649" s="12" t="n">
        <x:f>IF(L649="Completed",ROUND(M649*(1-K649),2),0)</x:f>
        <x:v>8550</x:v>
      </x:c>
      <x:c r="O649" s="12" t="n">
        <x:f>IF(L649="Completed",H649*J649,0)</x:f>
        <x:v>5000</x:v>
      </x:c>
      <x:c r="P649" s="12" t="n">
        <x:f>N649-O649</x:f>
        <x:v>3550</x:v>
      </x:c>
    </x:row>
    <x:row r="650" ht="21" customHeight="1">
      <x:c r="A650" s="7" t="n">
        <x:v>645</x:v>
      </x:c>
      <x:c r="B650" s="2" t="str">
        <x:v>TXN-00645</x:v>
      </x:c>
      <x:c r="C650" s="8" t="d">
        <x:v>2025-06-15T00:00:00.000Z</x:v>
      </x:c>
      <x:c r="D650" s="2" t="str">
        <x:v>Lagos</x:v>
      </x:c>
      <x:c r="E650" s="2" t="str">
        <x:v>Electronics</x:v>
      </x:c>
      <x:c r="F650" s="2" t="str">
        <x:v>Bluetooth speaker</x:v>
      </x:c>
      <x:c r="G650" s="2" t="str">
        <x:v>Online</x:v>
      </x:c>
      <x:c r="H650" s="7" t="n">
        <x:v>3</x:v>
      </x:c>
      <x:c r="I650" s="9" t="n">
        <x:v>26000</x:v>
      </x:c>
      <x:c r="J650" s="9" t="n">
        <x:v>17000</x:v>
      </x:c>
      <x:c r="K650" s="10" t="n">
        <x:v>0</x:v>
      </x:c>
      <x:c r="L650" s="2" t="str">
        <x:v>Completed</x:v>
      </x:c>
      <x:c r="M650" s="12" t="n">
        <x:f>H650*I650</x:f>
        <x:v>78000</x:v>
      </x:c>
      <x:c r="N650" s="12" t="n">
        <x:f>IF(L650="Completed",ROUND(M650*(1-K650),2),0)</x:f>
        <x:v>78000</x:v>
      </x:c>
      <x:c r="O650" s="12" t="n">
        <x:f>IF(L650="Completed",H650*J650,0)</x:f>
        <x:v>51000</x:v>
      </x:c>
      <x:c r="P650" s="12" t="n">
        <x:f>N650-O650</x:f>
        <x:v>27000</x:v>
      </x:c>
    </x:row>
    <x:row r="651" ht="21" customHeight="1">
      <x:c r="A651" s="7" t="n">
        <x:v>646</x:v>
      </x:c>
      <x:c r="B651" s="2" t="str">
        <x:v>TXN-00646</x:v>
      </x:c>
      <x:c r="C651" s="8" t="d">
        <x:v>2025-06-29T00:00:00.000Z</x:v>
      </x:c>
      <x:c r="D651" s="2" t="str">
        <x:v>Abuja</x:v>
      </x:c>
      <x:c r="E651" s="2" t="str">
        <x:v>Fashion</x:v>
      </x:c>
      <x:c r="F651" s="2" t="str">
        <x:v>Handbag</x:v>
      </x:c>
      <x:c r="G651" s="2" t="str">
        <x:v>Online</x:v>
      </x:c>
      <x:c r="H651" s="7" t="n">
        <x:v>1</x:v>
      </x:c>
      <x:c r="I651" s="9" t="n">
        <x:v>22000</x:v>
      </x:c>
      <x:c r="J651" s="9" t="n">
        <x:v>13500</x:v>
      </x:c>
      <x:c r="K651" s="10" t="n">
        <x:v>0</x:v>
      </x:c>
      <x:c r="L651" s="2" t="str">
        <x:v>Completed</x:v>
      </x:c>
      <x:c r="M651" s="12" t="n">
        <x:f>H651*I651</x:f>
        <x:v>22000</x:v>
      </x:c>
      <x:c r="N651" s="12" t="n">
        <x:f>IF(L651="Completed",ROUND(M651*(1-K651),2),0)</x:f>
        <x:v>22000</x:v>
      </x:c>
      <x:c r="O651" s="12" t="n">
        <x:f>IF(L651="Completed",H651*J651,0)</x:f>
        <x:v>13500</x:v>
      </x:c>
      <x:c r="P651" s="12" t="n">
        <x:f>N651-O651</x:f>
        <x:v>8500</x:v>
      </x:c>
    </x:row>
    <x:row r="652" ht="21" customHeight="1">
      <x:c r="A652" s="7" t="n">
        <x:v>647</x:v>
      </x:c>
      <x:c r="B652" s="2" t="str">
        <x:v>TXN-00647</x:v>
      </x:c>
      <x:c r="C652" s="8" t="d">
        <x:v>2025-06-01T00:00:00.000Z</x:v>
      </x:c>
      <x:c r="D652" s="2" t="str">
        <x:v>Lagos</x:v>
      </x:c>
      <x:c r="E652" s="2" t="str">
        <x:v>Fashion</x:v>
      </x:c>
      <x:c r="F652" s="2" t="str">
        <x:v>Handbag</x:v>
      </x:c>
      <x:c r="G652" s="2" t="str">
        <x:v>In-store</x:v>
      </x:c>
      <x:c r="H652" s="7" t="n">
        <x:v>1</x:v>
      </x:c>
      <x:c r="I652" s="9" t="n">
        <x:v>22000</x:v>
      </x:c>
      <x:c r="J652" s="9" t="n">
        <x:v>13500</x:v>
      </x:c>
      <x:c r="K652" s="10" t="n">
        <x:v>0</x:v>
      </x:c>
      <x:c r="L652" s="2" t="str">
        <x:v>Completed</x:v>
      </x:c>
      <x:c r="M652" s="12" t="n">
        <x:f>H652*I652</x:f>
        <x:v>22000</x:v>
      </x:c>
      <x:c r="N652" s="12" t="n">
        <x:f>IF(L652="Completed",ROUND(M652*(1-K652),2),0)</x:f>
        <x:v>22000</x:v>
      </x:c>
      <x:c r="O652" s="12" t="n">
        <x:f>IF(L652="Completed",H652*J652,0)</x:f>
        <x:v>13500</x:v>
      </x:c>
      <x:c r="P652" s="12" t="n">
        <x:f>N652-O652</x:f>
        <x:v>8500</x:v>
      </x:c>
    </x:row>
    <x:row r="653" ht="21" customHeight="1">
      <x:c r="A653" s="7" t="n">
        <x:v>648</x:v>
      </x:c>
      <x:c r="B653" s="2" t="str">
        <x:v>TXN-00648</x:v>
      </x:c>
      <x:c r="C653" s="8" t="d">
        <x:v>2025-06-03T00:00:00.000Z</x:v>
      </x:c>
      <x:c r="D653" s="2" t="str">
        <x:v>Port Harcourt</x:v>
      </x:c>
      <x:c r="E653" s="2" t="str">
        <x:v>Fashion</x:v>
      </x:c>
      <x:c r="F653" s="2" t="str">
        <x:v>Sneakers</x:v>
      </x:c>
      <x:c r="G653" s="2" t="str">
        <x:v>Online</x:v>
      </x:c>
      <x:c r="H653" s="7" t="n">
        <x:v>1</x:v>
      </x:c>
      <x:c r="I653" s="9" t="n">
        <x:v>28000</x:v>
      </x:c>
      <x:c r="J653" s="9" t="n">
        <x:v>17500</x:v>
      </x:c>
      <x:c r="K653" s="10" t="n">
        <x:v>0</x:v>
      </x:c>
      <x:c r="L653" s="2" t="str">
        <x:v>Completed</x:v>
      </x:c>
      <x:c r="M653" s="12" t="n">
        <x:f>H653*I653</x:f>
        <x:v>28000</x:v>
      </x:c>
      <x:c r="N653" s="12" t="n">
        <x:f>IF(L653="Completed",ROUND(M653*(1-K653),2),0)</x:f>
        <x:v>28000</x:v>
      </x:c>
      <x:c r="O653" s="12" t="n">
        <x:f>IF(L653="Completed",H653*J653,0)</x:f>
        <x:v>17500</x:v>
      </x:c>
      <x:c r="P653" s="12" t="n">
        <x:f>N653-O653</x:f>
        <x:v>10500</x:v>
      </x:c>
    </x:row>
    <x:row r="654" ht="21" customHeight="1">
      <x:c r="A654" s="7" t="n">
        <x:v>649</x:v>
      </x:c>
      <x:c r="B654" s="2" t="str">
        <x:v>TXN-00649</x:v>
      </x:c>
      <x:c r="C654" s="8" t="d">
        <x:v>2025-06-14T00:00:00.000Z</x:v>
      </x:c>
      <x:c r="D654" s="2" t="str">
        <x:v>Kano</x:v>
      </x:c>
      <x:c r="E654" s="2" t="str">
        <x:v>Fashion</x:v>
      </x:c>
      <x:c r="F654" s="2" t="str">
        <x:v>Sneakers</x:v>
      </x:c>
      <x:c r="G654" s="2" t="str">
        <x:v>In-store</x:v>
      </x:c>
      <x:c r="H654" s="7" t="n">
        <x:v>1</x:v>
      </x:c>
      <x:c r="I654" s="9" t="n">
        <x:v>28000</x:v>
      </x:c>
      <x:c r="J654" s="9" t="n">
        <x:v>17500</x:v>
      </x:c>
      <x:c r="K654" s="10" t="n">
        <x:v>0</x:v>
      </x:c>
      <x:c r="L654" s="2" t="str">
        <x:v>Completed</x:v>
      </x:c>
      <x:c r="M654" s="12" t="n">
        <x:f>H654*I654</x:f>
        <x:v>28000</x:v>
      </x:c>
      <x:c r="N654" s="12" t="n">
        <x:f>IF(L654="Completed",ROUND(M654*(1-K654),2),0)</x:f>
        <x:v>28000</x:v>
      </x:c>
      <x:c r="O654" s="12" t="n">
        <x:f>IF(L654="Completed",H654*J654,0)</x:f>
        <x:v>17500</x:v>
      </x:c>
      <x:c r="P654" s="12" t="n">
        <x:f>N654-O654</x:f>
        <x:v>10500</x:v>
      </x:c>
    </x:row>
    <x:row r="655" ht="21" customHeight="1">
      <x:c r="A655" s="7" t="n">
        <x:v>650</x:v>
      </x:c>
      <x:c r="B655" s="2" t="str">
        <x:v>TXN-00650</x:v>
      </x:c>
      <x:c r="C655" s="8" t="d">
        <x:v>2025-06-10T00:00:00.000Z</x:v>
      </x:c>
      <x:c r="D655" s="2" t="str">
        <x:v>Abuja</x:v>
      </x:c>
      <x:c r="E655" s="2" t="str">
        <x:v>Beauty</x:v>
      </x:c>
      <x:c r="F655" s="2" t="str">
        <x:v>Perfume</x:v>
      </x:c>
      <x:c r="G655" s="2" t="str">
        <x:v>Online</x:v>
      </x:c>
      <x:c r="H655" s="7" t="n">
        <x:v>3</x:v>
      </x:c>
      <x:c r="I655" s="9" t="n">
        <x:v>17000</x:v>
      </x:c>
      <x:c r="J655" s="9" t="n">
        <x:v>9000</x:v>
      </x:c>
      <x:c r="K655" s="10" t="n">
        <x:v>0.1</x:v>
      </x:c>
      <x:c r="L655" s="2" t="str">
        <x:v>Completed</x:v>
      </x:c>
      <x:c r="M655" s="12" t="n">
        <x:f>H655*I655</x:f>
        <x:v>51000</x:v>
      </x:c>
      <x:c r="N655" s="12" t="n">
        <x:f>IF(L655="Completed",ROUND(M655*(1-K655),2),0)</x:f>
        <x:v>45900</x:v>
      </x:c>
      <x:c r="O655" s="12" t="n">
        <x:f>IF(L655="Completed",H655*J655,0)</x:f>
        <x:v>27000</x:v>
      </x:c>
      <x:c r="P655" s="12" t="n">
        <x:f>N655-O655</x:f>
        <x:v>18900</x:v>
      </x:c>
    </x:row>
    <x:row r="656" ht="21" customHeight="1">
      <x:c r="A656" s="7" t="n">
        <x:v>651</x:v>
      </x:c>
      <x:c r="B656" s="2" t="str">
        <x:v>TXN-00651</x:v>
      </x:c>
      <x:c r="C656" s="8" t="d">
        <x:v>2025-06-03T00:00:00.000Z</x:v>
      </x:c>
      <x:c r="D656" s="2" t="str">
        <x:v>Abuja</x:v>
      </x:c>
      <x:c r="E656" s="2" t="str">
        <x:v>Beauty</x:v>
      </x:c>
      <x:c r="F656" s="2" t="str">
        <x:v>Body wash</x:v>
      </x:c>
      <x:c r="G656" s="2" t="str">
        <x:v>Online</x:v>
      </x:c>
      <x:c r="H656" s="7" t="n">
        <x:v>1</x:v>
      </x:c>
      <x:c r="I656" s="9" t="n">
        <x:v>4500</x:v>
      </x:c>
      <x:c r="J656" s="9" t="n">
        <x:v>2300</x:v>
      </x:c>
      <x:c r="K656" s="10" t="n">
        <x:v>0.1</x:v>
      </x:c>
      <x:c r="L656" s="2" t="str">
        <x:v>Completed</x:v>
      </x:c>
      <x:c r="M656" s="12" t="n">
        <x:f>H656*I656</x:f>
        <x:v>4500</x:v>
      </x:c>
      <x:c r="N656" s="12" t="n">
        <x:f>IF(L656="Completed",ROUND(M656*(1-K656),2),0)</x:f>
        <x:v>4050</x:v>
      </x:c>
      <x:c r="O656" s="12" t="n">
        <x:f>IF(L656="Completed",H656*J656,0)</x:f>
        <x:v>2300</x:v>
      </x:c>
      <x:c r="P656" s="12" t="n">
        <x:f>N656-O656</x:f>
        <x:v>1750</x:v>
      </x:c>
    </x:row>
    <x:row r="657" ht="21" customHeight="1">
      <x:c r="A657" s="7" t="n">
        <x:v>652</x:v>
      </x:c>
      <x:c r="B657" s="2" t="str">
        <x:v>TXN-00652</x:v>
      </x:c>
      <x:c r="C657" s="8" t="d">
        <x:v>2025-06-21T00:00:00.000Z</x:v>
      </x:c>
      <x:c r="D657" s="2" t="str">
        <x:v>Abuja</x:v>
      </x:c>
      <x:c r="E657" s="2" t="str">
        <x:v>Beauty</x:v>
      </x:c>
      <x:c r="F657" s="2" t="str">
        <x:v>Body wash</x:v>
      </x:c>
      <x:c r="G657" s="2" t="str">
        <x:v>In-store</x:v>
      </x:c>
      <x:c r="H657" s="7" t="n">
        <x:v>2</x:v>
      </x:c>
      <x:c r="I657" s="9" t="n">
        <x:v>4500</x:v>
      </x:c>
      <x:c r="J657" s="9" t="n">
        <x:v>2300</x:v>
      </x:c>
      <x:c r="K657" s="10" t="n">
        <x:v>0</x:v>
      </x:c>
      <x:c r="L657" s="2" t="str">
        <x:v>Completed</x:v>
      </x:c>
      <x:c r="M657" s="12" t="n">
        <x:f>H657*I657</x:f>
        <x:v>9000</x:v>
      </x:c>
      <x:c r="N657" s="12" t="n">
        <x:f>IF(L657="Completed",ROUND(M657*(1-K657),2),0)</x:f>
        <x:v>9000</x:v>
      </x:c>
      <x:c r="O657" s="12" t="n">
        <x:f>IF(L657="Completed",H657*J657,0)</x:f>
        <x:v>4600</x:v>
      </x:c>
      <x:c r="P657" s="12" t="n">
        <x:f>N657-O657</x:f>
        <x:v>4400</x:v>
      </x:c>
    </x:row>
    <x:row r="658" ht="21" customHeight="1">
      <x:c r="A658" s="7" t="n">
        <x:v>653</x:v>
      </x:c>
      <x:c r="B658" s="2" t="str">
        <x:v>TXN-00653</x:v>
      </x:c>
      <x:c r="C658" s="8" t="d">
        <x:v>2025-06-14T00:00:00.000Z</x:v>
      </x:c>
      <x:c r="D658" s="2" t="str">
        <x:v>Lagos</x:v>
      </x:c>
      <x:c r="E658" s="2" t="str">
        <x:v>Home</x:v>
      </x:c>
      <x:c r="F658" s="2" t="str">
        <x:v>Desk lamp</x:v>
      </x:c>
      <x:c r="G658" s="2" t="str">
        <x:v>In-store</x:v>
      </x:c>
      <x:c r="H658" s="7" t="n">
        <x:v>3</x:v>
      </x:c>
      <x:c r="I658" s="9" t="n">
        <x:v>12000</x:v>
      </x:c>
      <x:c r="J658" s="9" t="n">
        <x:v>7200</x:v>
      </x:c>
      <x:c r="K658" s="10" t="n">
        <x:v>0</x:v>
      </x:c>
      <x:c r="L658" s="2" t="str">
        <x:v>Completed</x:v>
      </x:c>
      <x:c r="M658" s="12" t="n">
        <x:f>H658*I658</x:f>
        <x:v>36000</x:v>
      </x:c>
      <x:c r="N658" s="12" t="n">
        <x:f>IF(L658="Completed",ROUND(M658*(1-K658),2),0)</x:f>
        <x:v>36000</x:v>
      </x:c>
      <x:c r="O658" s="12" t="n">
        <x:f>IF(L658="Completed",H658*J658,0)</x:f>
        <x:v>21600</x:v>
      </x:c>
      <x:c r="P658" s="12" t="n">
        <x:f>N658-O658</x:f>
        <x:v>14400</x:v>
      </x:c>
    </x:row>
    <x:row r="659" ht="21" customHeight="1">
      <x:c r="A659" s="7" t="n">
        <x:v>654</x:v>
      </x:c>
      <x:c r="B659" s="2" t="str">
        <x:v>TXN-00654</x:v>
      </x:c>
      <x:c r="C659" s="8" t="d">
        <x:v>2025-06-08T00:00:00.000Z</x:v>
      </x:c>
      <x:c r="D659" s="2" t="str">
        <x:v>Port Harcourt</x:v>
      </x:c>
      <x:c r="E659" s="2" t="str">
        <x:v>Home</x:v>
      </x:c>
      <x:c r="F659" s="2" t="str">
        <x:v>Bedsheet</x:v>
      </x:c>
      <x:c r="G659" s="2" t="str">
        <x:v>In-store</x:v>
      </x:c>
      <x:c r="H659" s="7" t="n">
        <x:v>2</x:v>
      </x:c>
      <x:c r="I659" s="9" t="n">
        <x:v>14000</x:v>
      </x:c>
      <x:c r="J659" s="9" t="n">
        <x:v>8500</x:v>
      </x:c>
      <x:c r="K659" s="10" t="n">
        <x:v>0</x:v>
      </x:c>
      <x:c r="L659" s="2" t="str">
        <x:v>Completed</x:v>
      </x:c>
      <x:c r="M659" s="12" t="n">
        <x:f>H659*I659</x:f>
        <x:v>28000</x:v>
      </x:c>
      <x:c r="N659" s="12" t="n">
        <x:f>IF(L659="Completed",ROUND(M659*(1-K659),2),0)</x:f>
        <x:v>28000</x:v>
      </x:c>
      <x:c r="O659" s="12" t="n">
        <x:f>IF(L659="Completed",H659*J659,0)</x:f>
        <x:v>17000</x:v>
      </x:c>
      <x:c r="P659" s="12" t="n">
        <x:f>N659-O659</x:f>
        <x:v>11000</x:v>
      </x:c>
    </x:row>
    <x:row r="660" ht="21" customHeight="1">
      <x:c r="A660" s="7" t="n">
        <x:v>655</x:v>
      </x:c>
      <x:c r="B660" s="2" t="str">
        <x:v>TXN-00655</x:v>
      </x:c>
      <x:c r="C660" s="8" t="d">
        <x:v>2025-06-05T00:00:00.000Z</x:v>
      </x:c>
      <x:c r="D660" s="2" t="str">
        <x:v>Port Harcourt</x:v>
      </x:c>
      <x:c r="E660" s="2" t="str">
        <x:v>Beauty</x:v>
      </x:c>
      <x:c r="F660" s="2" t="str">
        <x:v>Body wash</x:v>
      </x:c>
      <x:c r="G660" s="2" t="str">
        <x:v>Online</x:v>
      </x:c>
      <x:c r="H660" s="7" t="n">
        <x:v>3</x:v>
      </x:c>
      <x:c r="I660" s="9" t="n">
        <x:v>4500</x:v>
      </x:c>
      <x:c r="J660" s="9" t="n">
        <x:v>2300</x:v>
      </x:c>
      <x:c r="K660" s="10" t="n">
        <x:v>0.1</x:v>
      </x:c>
      <x:c r="L660" s="2" t="str">
        <x:v>Completed</x:v>
      </x:c>
      <x:c r="M660" s="12" t="n">
        <x:f>H660*I660</x:f>
        <x:v>13500</x:v>
      </x:c>
      <x:c r="N660" s="12" t="n">
        <x:f>IF(L660="Completed",ROUND(M660*(1-K660),2),0)</x:f>
        <x:v>12150</x:v>
      </x:c>
      <x:c r="O660" s="12" t="n">
        <x:f>IF(L660="Completed",H660*J660,0)</x:f>
        <x:v>6900</x:v>
      </x:c>
      <x:c r="P660" s="12" t="n">
        <x:f>N660-O660</x:f>
        <x:v>5250</x:v>
      </x:c>
    </x:row>
    <x:row r="661" ht="21" customHeight="1">
      <x:c r="A661" s="7" t="n">
        <x:v>656</x:v>
      </x:c>
      <x:c r="B661" s="2" t="str">
        <x:v>TXN-00656</x:v>
      </x:c>
      <x:c r="C661" s="8" t="d">
        <x:v>2025-06-21T00:00:00.000Z</x:v>
      </x:c>
      <x:c r="D661" s="2" t="str">
        <x:v>Lagos</x:v>
      </x:c>
      <x:c r="E661" s="2" t="str">
        <x:v>Beauty</x:v>
      </x:c>
      <x:c r="F661" s="2" t="str">
        <x:v>Moisturizer</x:v>
      </x:c>
      <x:c r="G661" s="2" t="str">
        <x:v>In-store</x:v>
      </x:c>
      <x:c r="H661" s="7" t="n">
        <x:v>1</x:v>
      </x:c>
      <x:c r="I661" s="9" t="n">
        <x:v>6500</x:v>
      </x:c>
      <x:c r="J661" s="9" t="n">
        <x:v>3500</x:v>
      </x:c>
      <x:c r="K661" s="10" t="n">
        <x:v>0.1</x:v>
      </x:c>
      <x:c r="L661" s="2" t="str">
        <x:v>Completed</x:v>
      </x:c>
      <x:c r="M661" s="12" t="n">
        <x:f>H661*I661</x:f>
        <x:v>6500</x:v>
      </x:c>
      <x:c r="N661" s="12" t="n">
        <x:f>IF(L661="Completed",ROUND(M661*(1-K661),2),0)</x:f>
        <x:v>5850</x:v>
      </x:c>
      <x:c r="O661" s="12" t="n">
        <x:f>IF(L661="Completed",H661*J661,0)</x:f>
        <x:v>3500</x:v>
      </x:c>
      <x:c r="P661" s="12" t="n">
        <x:f>N661-O661</x:f>
        <x:v>2350</x:v>
      </x:c>
    </x:row>
    <x:row r="662" ht="21" customHeight="1">
      <x:c r="A662" s="7" t="n">
        <x:v>657</x:v>
      </x:c>
      <x:c r="B662" s="2" t="str">
        <x:v>TXN-00657</x:v>
      </x:c>
      <x:c r="C662" s="8" t="d">
        <x:v>2025-06-16T00:00:00.000Z</x:v>
      </x:c>
      <x:c r="D662" s="2" t="str">
        <x:v>Lagos</x:v>
      </x:c>
      <x:c r="E662" s="2" t="str">
        <x:v>Beauty</x:v>
      </x:c>
      <x:c r="F662" s="2" t="str">
        <x:v>Perfume</x:v>
      </x:c>
      <x:c r="G662" s="2" t="str">
        <x:v>Online</x:v>
      </x:c>
      <x:c r="H662" s="7" t="n">
        <x:v>1</x:v>
      </x:c>
      <x:c r="I662" s="9" t="n">
        <x:v>17000</x:v>
      </x:c>
      <x:c r="J662" s="9" t="n">
        <x:v>9000</x:v>
      </x:c>
      <x:c r="K662" s="10" t="n">
        <x:v>0.05</x:v>
      </x:c>
      <x:c r="L662" s="2" t="str">
        <x:v>Completed</x:v>
      </x:c>
      <x:c r="M662" s="12" t="n">
        <x:f>H662*I662</x:f>
        <x:v>17000</x:v>
      </x:c>
      <x:c r="N662" s="12" t="n">
        <x:f>IF(L662="Completed",ROUND(M662*(1-K662),2),0)</x:f>
        <x:v>16150</x:v>
      </x:c>
      <x:c r="O662" s="12" t="n">
        <x:f>IF(L662="Completed",H662*J662,0)</x:f>
        <x:v>9000</x:v>
      </x:c>
      <x:c r="P662" s="12" t="n">
        <x:f>N662-O662</x:f>
        <x:v>7150</x:v>
      </x:c>
    </x:row>
    <x:row r="663" ht="21" customHeight="1">
      <x:c r="A663" s="7" t="n">
        <x:v>658</x:v>
      </x:c>
      <x:c r="B663" s="2" t="str">
        <x:v>TXN-00658</x:v>
      </x:c>
      <x:c r="C663" s="8" t="d">
        <x:v>2025-07-19T00:00:00.000Z</x:v>
      </x:c>
      <x:c r="D663" s="2" t="str">
        <x:v>Lagos</x:v>
      </x:c>
      <x:c r="E663" s="2" t="str">
        <x:v>Electronics</x:v>
      </x:c>
      <x:c r="F663" s="2" t="str">
        <x:v>Bluetooth speaker</x:v>
      </x:c>
      <x:c r="G663" s="2" t="str">
        <x:v>Online</x:v>
      </x:c>
      <x:c r="H663" s="7" t="n">
        <x:v>1</x:v>
      </x:c>
      <x:c r="I663" s="9" t="n">
        <x:v>26000</x:v>
      </x:c>
      <x:c r="J663" s="9" t="n">
        <x:v>17000</x:v>
      </x:c>
      <x:c r="K663" s="10" t="n">
        <x:v>0.1</x:v>
      </x:c>
      <x:c r="L663" s="2" t="str">
        <x:v>Completed</x:v>
      </x:c>
      <x:c r="M663" s="12" t="n">
        <x:f>H663*I663</x:f>
        <x:v>26000</x:v>
      </x:c>
      <x:c r="N663" s="12" t="n">
        <x:f>IF(L663="Completed",ROUND(M663*(1-K663),2),0)</x:f>
        <x:v>23400</x:v>
      </x:c>
      <x:c r="O663" s="12" t="n">
        <x:f>IF(L663="Completed",H663*J663,0)</x:f>
        <x:v>17000</x:v>
      </x:c>
      <x:c r="P663" s="12" t="n">
        <x:f>N663-O663</x:f>
        <x:v>6400</x:v>
      </x:c>
    </x:row>
    <x:row r="664" ht="21" customHeight="1">
      <x:c r="A664" s="7" t="n">
        <x:v>659</x:v>
      </x:c>
      <x:c r="B664" s="2" t="str">
        <x:v>TXN-00659</x:v>
      </x:c>
      <x:c r="C664" s="8" t="d">
        <x:v>2025-07-01T00:00:00.000Z</x:v>
      </x:c>
      <x:c r="D664" s="2" t="str">
        <x:v>Kano</x:v>
      </x:c>
      <x:c r="E664" s="2" t="str">
        <x:v>Home</x:v>
      </x:c>
      <x:c r="F664" s="2" t="str">
        <x:v>Desk lamp</x:v>
      </x:c>
      <x:c r="G664" s="2" t="str">
        <x:v>In-store</x:v>
      </x:c>
      <x:c r="H664" s="7" t="n">
        <x:v>1</x:v>
      </x:c>
      <x:c r="I664" s="9" t="n">
        <x:v>12000</x:v>
      </x:c>
      <x:c r="J664" s="9" t="n">
        <x:v>7200</x:v>
      </x:c>
      <x:c r="K664" s="10" t="n">
        <x:v>0.1</x:v>
      </x:c>
      <x:c r="L664" s="2" t="str">
        <x:v>Completed</x:v>
      </x:c>
      <x:c r="M664" s="12" t="n">
        <x:f>H664*I664</x:f>
        <x:v>12000</x:v>
      </x:c>
      <x:c r="N664" s="12" t="n">
        <x:f>IF(L664="Completed",ROUND(M664*(1-K664),2),0)</x:f>
        <x:v>10800</x:v>
      </x:c>
      <x:c r="O664" s="12" t="n">
        <x:f>IF(L664="Completed",H664*J664,0)</x:f>
        <x:v>7200</x:v>
      </x:c>
      <x:c r="P664" s="12" t="n">
        <x:f>N664-O664</x:f>
        <x:v>3600</x:v>
      </x:c>
    </x:row>
    <x:row r="665" ht="21" customHeight="1">
      <x:c r="A665" s="7" t="n">
        <x:v>660</x:v>
      </x:c>
      <x:c r="B665" s="2" t="str">
        <x:v>TXN-00660</x:v>
      </x:c>
      <x:c r="C665" s="8" t="d">
        <x:v>2025-07-18T00:00:00.000Z</x:v>
      </x:c>
      <x:c r="D665" s="2" t="str">
        <x:v>Abuja</x:v>
      </x:c>
      <x:c r="E665" s="2" t="str">
        <x:v>Beauty</x:v>
      </x:c>
      <x:c r="F665" s="2" t="str">
        <x:v>Perfume</x:v>
      </x:c>
      <x:c r="G665" s="2" t="str">
        <x:v>In-store</x:v>
      </x:c>
      <x:c r="H665" s="7" t="n">
        <x:v>2</x:v>
      </x:c>
      <x:c r="I665" s="9" t="n">
        <x:v>17000</x:v>
      </x:c>
      <x:c r="J665" s="9" t="n">
        <x:v>9000</x:v>
      </x:c>
      <x:c r="K665" s="10" t="n">
        <x:v>0.1</x:v>
      </x:c>
      <x:c r="L665" s="2" t="str">
        <x:v>Completed</x:v>
      </x:c>
      <x:c r="M665" s="12" t="n">
        <x:f>H665*I665</x:f>
        <x:v>34000</x:v>
      </x:c>
      <x:c r="N665" s="12" t="n">
        <x:f>IF(L665="Completed",ROUND(M665*(1-K665),2),0)</x:f>
        <x:v>30600</x:v>
      </x:c>
      <x:c r="O665" s="12" t="n">
        <x:f>IF(L665="Completed",H665*J665,0)</x:f>
        <x:v>18000</x:v>
      </x:c>
      <x:c r="P665" s="12" t="n">
        <x:f>N665-O665</x:f>
        <x:v>12600</x:v>
      </x:c>
    </x:row>
    <x:row r="666" ht="21" customHeight="1">
      <x:c r="A666" s="7" t="n">
        <x:v>661</x:v>
      </x:c>
      <x:c r="B666" s="2" t="str">
        <x:v>TXN-00661</x:v>
      </x:c>
      <x:c r="C666" s="8" t="d">
        <x:v>2025-07-13T00:00:00.000Z</x:v>
      </x:c>
      <x:c r="D666" s="2" t="str">
        <x:v>Port Harcourt</x:v>
      </x:c>
      <x:c r="E666" s="2" t="str">
        <x:v>Fashion</x:v>
      </x:c>
      <x:c r="F666" s="2" t="str">
        <x:v>T-shirt</x:v>
      </x:c>
      <x:c r="G666" s="2" t="str">
        <x:v>In-store</x:v>
      </x:c>
      <x:c r="H666" s="7" t="n">
        <x:v>3</x:v>
      </x:c>
      <x:c r="I666" s="9" t="n">
        <x:v>9000</x:v>
      </x:c>
      <x:c r="J666" s="9" t="n">
        <x:v>5000</x:v>
      </x:c>
      <x:c r="K666" s="10" t="n">
        <x:v>0</x:v>
      </x:c>
      <x:c r="L666" s="2" t="str">
        <x:v>Returned</x:v>
      </x:c>
      <x:c r="M666" s="12" t="n">
        <x:f>H666*I666</x:f>
        <x:v>27000</x:v>
      </x:c>
      <x:c r="N666" s="12" t="n">
        <x:f>IF(L666="Completed",ROUND(M666*(1-K666),2),0)</x:f>
        <x:v>0</x:v>
      </x:c>
      <x:c r="O666" s="12" t="n">
        <x:f>IF(L666="Completed",H666*J666,0)</x:f>
        <x:v>0</x:v>
      </x:c>
      <x:c r="P666" s="12" t="n">
        <x:f>N666-O666</x:f>
        <x:v>0</x:v>
      </x:c>
    </x:row>
    <x:row r="667" ht="21" customHeight="1">
      <x:c r="A667" s="7" t="n">
        <x:v>662</x:v>
      </x:c>
      <x:c r="B667" s="2" t="str">
        <x:v>TXN-00662</x:v>
      </x:c>
      <x:c r="C667" s="8" t="d">
        <x:v>2025-07-13T00:00:00.000Z</x:v>
      </x:c>
      <x:c r="D667" s="2" t="str">
        <x:v>Port Harcourt</x:v>
      </x:c>
      <x:c r="E667" s="2" t="str">
        <x:v>Electronics</x:v>
      </x:c>
      <x:c r="F667" s="2" t="str">
        <x:v>Bluetooth speaker</x:v>
      </x:c>
      <x:c r="G667" s="2" t="str">
        <x:v>Online</x:v>
      </x:c>
      <x:c r="H667" s="7" t="n">
        <x:v>2</x:v>
      </x:c>
      <x:c r="I667" s="9" t="n">
        <x:v>26000</x:v>
      </x:c>
      <x:c r="J667" s="9" t="n">
        <x:v>17000</x:v>
      </x:c>
      <x:c r="K667" s="10" t="n">
        <x:v>0</x:v>
      </x:c>
      <x:c r="L667" s="2" t="str">
        <x:v>Completed</x:v>
      </x:c>
      <x:c r="M667" s="12" t="n">
        <x:f>H667*I667</x:f>
        <x:v>52000</x:v>
      </x:c>
      <x:c r="N667" s="12" t="n">
        <x:f>IF(L667="Completed",ROUND(M667*(1-K667),2),0)</x:f>
        <x:v>52000</x:v>
      </x:c>
      <x:c r="O667" s="12" t="n">
        <x:f>IF(L667="Completed",H667*J667,0)</x:f>
        <x:v>34000</x:v>
      </x:c>
      <x:c r="P667" s="12" t="n">
        <x:f>N667-O667</x:f>
        <x:v>18000</x:v>
      </x:c>
    </x:row>
    <x:row r="668" ht="21" customHeight="1">
      <x:c r="A668" s="7" t="n">
        <x:v>663</x:v>
      </x:c>
      <x:c r="B668" s="2" t="str">
        <x:v>TXN-00663</x:v>
      </x:c>
      <x:c r="C668" s="8" t="d">
        <x:v>2025-07-06T00:00:00.000Z</x:v>
      </x:c>
      <x:c r="D668" s="2" t="str">
        <x:v>Abuja</x:v>
      </x:c>
      <x:c r="E668" s="2" t="str">
        <x:v>Electronics</x:v>
      </x:c>
      <x:c r="F668" s="2" t="str">
        <x:v>Power bank</x:v>
      </x:c>
      <x:c r="G668" s="2" t="str">
        <x:v>In-store</x:v>
      </x:c>
      <x:c r="H668" s="7" t="n">
        <x:v>2</x:v>
      </x:c>
      <x:c r="I668" s="9" t="n">
        <x:v>15000</x:v>
      </x:c>
      <x:c r="J668" s="9" t="n">
        <x:v>9500</x:v>
      </x:c>
      <x:c r="K668" s="10" t="n">
        <x:v>0.05</x:v>
      </x:c>
      <x:c r="L668" s="2" t="str">
        <x:v>Completed</x:v>
      </x:c>
      <x:c r="M668" s="12" t="n">
        <x:f>H668*I668</x:f>
        <x:v>30000</x:v>
      </x:c>
      <x:c r="N668" s="12" t="n">
        <x:f>IF(L668="Completed",ROUND(M668*(1-K668),2),0)</x:f>
        <x:v>28500</x:v>
      </x:c>
      <x:c r="O668" s="12" t="n">
        <x:f>IF(L668="Completed",H668*J668,0)</x:f>
        <x:v>19000</x:v>
      </x:c>
      <x:c r="P668" s="12" t="n">
        <x:f>N668-O668</x:f>
        <x:v>9500</x:v>
      </x:c>
    </x:row>
    <x:row r="669" ht="21" customHeight="1">
      <x:c r="A669" s="7" t="n">
        <x:v>664</x:v>
      </x:c>
      <x:c r="B669" s="2" t="str">
        <x:v>TXN-00664</x:v>
      </x:c>
      <x:c r="C669" s="8" t="d">
        <x:v>2025-07-28T00:00:00.000Z</x:v>
      </x:c>
      <x:c r="D669" s="2" t="str">
        <x:v>Abuja</x:v>
      </x:c>
      <x:c r="E669" s="2" t="str">
        <x:v>Electronics</x:v>
      </x:c>
      <x:c r="F669" s="2" t="str">
        <x:v>Power bank</x:v>
      </x:c>
      <x:c r="G669" s="2" t="str">
        <x:v>In-store</x:v>
      </x:c>
      <x:c r="H669" s="7" t="n">
        <x:v>1</x:v>
      </x:c>
      <x:c r="I669" s="9" t="n">
        <x:v>15000</x:v>
      </x:c>
      <x:c r="J669" s="9" t="n">
        <x:v>9500</x:v>
      </x:c>
      <x:c r="K669" s="10" t="n">
        <x:v>0</x:v>
      </x:c>
      <x:c r="L669" s="2" t="str">
        <x:v>Completed</x:v>
      </x:c>
      <x:c r="M669" s="12" t="n">
        <x:f>H669*I669</x:f>
        <x:v>15000</x:v>
      </x:c>
      <x:c r="N669" s="12" t="n">
        <x:f>IF(L669="Completed",ROUND(M669*(1-K669),2),0)</x:f>
        <x:v>15000</x:v>
      </x:c>
      <x:c r="O669" s="12" t="n">
        <x:f>IF(L669="Completed",H669*J669,0)</x:f>
        <x:v>9500</x:v>
      </x:c>
      <x:c r="P669" s="12" t="n">
        <x:f>N669-O669</x:f>
        <x:v>5500</x:v>
      </x:c>
    </x:row>
    <x:row r="670" ht="21" customHeight="1">
      <x:c r="A670" s="7" t="n">
        <x:v>665</x:v>
      </x:c>
      <x:c r="B670" s="2" t="str">
        <x:v>TXN-00665</x:v>
      </x:c>
      <x:c r="C670" s="8" t="d">
        <x:v>2025-07-04T00:00:00.000Z</x:v>
      </x:c>
      <x:c r="D670" s="2" t="str">
        <x:v>Lagos</x:v>
      </x:c>
      <x:c r="E670" s="2" t="str">
        <x:v>Beauty</x:v>
      </x:c>
      <x:c r="F670" s="2" t="str">
        <x:v>Body wash</x:v>
      </x:c>
      <x:c r="G670" s="2" t="str">
        <x:v>Online</x:v>
      </x:c>
      <x:c r="H670" s="7" t="n">
        <x:v>1</x:v>
      </x:c>
      <x:c r="I670" s="9" t="n">
        <x:v>4500</x:v>
      </x:c>
      <x:c r="J670" s="9" t="n">
        <x:v>2300</x:v>
      </x:c>
      <x:c r="K670" s="10" t="n">
        <x:v>0.1</x:v>
      </x:c>
      <x:c r="L670" s="2" t="str">
        <x:v>Completed</x:v>
      </x:c>
      <x:c r="M670" s="12" t="n">
        <x:f>H670*I670</x:f>
        <x:v>4500</x:v>
      </x:c>
      <x:c r="N670" s="12" t="n">
        <x:f>IF(L670="Completed",ROUND(M670*(1-K670),2),0)</x:f>
        <x:v>4050</x:v>
      </x:c>
      <x:c r="O670" s="12" t="n">
        <x:f>IF(L670="Completed",H670*J670,0)</x:f>
        <x:v>2300</x:v>
      </x:c>
      <x:c r="P670" s="12" t="n">
        <x:f>N670-O670</x:f>
        <x:v>1750</x:v>
      </x:c>
    </x:row>
    <x:row r="671" ht="21" customHeight="1">
      <x:c r="A671" s="7" t="n">
        <x:v>666</x:v>
      </x:c>
      <x:c r="B671" s="2" t="str">
        <x:v>TXN-00666</x:v>
      </x:c>
      <x:c r="C671" s="8" t="d">
        <x:v>2025-07-22T00:00:00.000Z</x:v>
      </x:c>
      <x:c r="D671" s="2" t="str">
        <x:v>Port Harcourt</x:v>
      </x:c>
      <x:c r="E671" s="2" t="str">
        <x:v>Fashion</x:v>
      </x:c>
      <x:c r="F671" s="2" t="str">
        <x:v>Sneakers</x:v>
      </x:c>
      <x:c r="G671" s="2" t="str">
        <x:v>Online</x:v>
      </x:c>
      <x:c r="H671" s="7" t="n">
        <x:v>2</x:v>
      </x:c>
      <x:c r="I671" s="9" t="n">
        <x:v>28000</x:v>
      </x:c>
      <x:c r="J671" s="9" t="n">
        <x:v>17500</x:v>
      </x:c>
      <x:c r="K671" s="10" t="n">
        <x:v>0</x:v>
      </x:c>
      <x:c r="L671" s="2" t="str">
        <x:v>Completed</x:v>
      </x:c>
      <x:c r="M671" s="12" t="n">
        <x:f>H671*I671</x:f>
        <x:v>56000</x:v>
      </x:c>
      <x:c r="N671" s="12" t="n">
        <x:f>IF(L671="Completed",ROUND(M671*(1-K671),2),0)</x:f>
        <x:v>56000</x:v>
      </x:c>
      <x:c r="O671" s="12" t="n">
        <x:f>IF(L671="Completed",H671*J671,0)</x:f>
        <x:v>35000</x:v>
      </x:c>
      <x:c r="P671" s="12" t="n">
        <x:f>N671-O671</x:f>
        <x:v>21000</x:v>
      </x:c>
    </x:row>
    <x:row r="672" ht="21" customHeight="1">
      <x:c r="A672" s="7" t="n">
        <x:v>667</x:v>
      </x:c>
      <x:c r="B672" s="2" t="str">
        <x:v>TXN-00667</x:v>
      </x:c>
      <x:c r="C672" s="8" t="d">
        <x:v>2025-07-11T00:00:00.000Z</x:v>
      </x:c>
      <x:c r="D672" s="2" t="str">
        <x:v>Abuja</x:v>
      </x:c>
      <x:c r="E672" s="2" t="str">
        <x:v>Electronics</x:v>
      </x:c>
      <x:c r="F672" s="2" t="str">
        <x:v>Bluetooth speaker</x:v>
      </x:c>
      <x:c r="G672" s="2" t="str">
        <x:v>In-store</x:v>
      </x:c>
      <x:c r="H672" s="7" t="n">
        <x:v>2</x:v>
      </x:c>
      <x:c r="I672" s="9" t="n">
        <x:v>26000</x:v>
      </x:c>
      <x:c r="J672" s="9" t="n">
        <x:v>17000</x:v>
      </x:c>
      <x:c r="K672" s="10" t="n">
        <x:v>0.1</x:v>
      </x:c>
      <x:c r="L672" s="2" t="str">
        <x:v>Completed</x:v>
      </x:c>
      <x:c r="M672" s="12" t="n">
        <x:f>H672*I672</x:f>
        <x:v>52000</x:v>
      </x:c>
      <x:c r="N672" s="12" t="n">
        <x:f>IF(L672="Completed",ROUND(M672*(1-K672),2),0)</x:f>
        <x:v>46800</x:v>
      </x:c>
      <x:c r="O672" s="12" t="n">
        <x:f>IF(L672="Completed",H672*J672,0)</x:f>
        <x:v>34000</x:v>
      </x:c>
      <x:c r="P672" s="12" t="n">
        <x:f>N672-O672</x:f>
        <x:v>12800</x:v>
      </x:c>
    </x:row>
    <x:row r="673" ht="21" customHeight="1">
      <x:c r="A673" s="7" t="n">
        <x:v>668</x:v>
      </x:c>
      <x:c r="B673" s="2" t="str">
        <x:v>TXN-00668</x:v>
      </x:c>
      <x:c r="C673" s="8" t="d">
        <x:v>2025-07-08T00:00:00.000Z</x:v>
      </x:c>
      <x:c r="D673" s="2" t="str">
        <x:v>Lagos</x:v>
      </x:c>
      <x:c r="E673" s="2" t="str">
        <x:v>Electronics</x:v>
      </x:c>
      <x:c r="F673" s="2" t="str">
        <x:v>Headphones</x:v>
      </x:c>
      <x:c r="G673" s="2" t="str">
        <x:v>In-store</x:v>
      </x:c>
      <x:c r="H673" s="7" t="n">
        <x:v>1</x:v>
      </x:c>
      <x:c r="I673" s="9" t="n">
        <x:v>18000</x:v>
      </x:c>
      <x:c r="J673" s="9" t="n">
        <x:v>10500</x:v>
      </x:c>
      <x:c r="K673" s="10" t="n">
        <x:v>0.05</x:v>
      </x:c>
      <x:c r="L673" s="2" t="str">
        <x:v>Completed</x:v>
      </x:c>
      <x:c r="M673" s="12" t="n">
        <x:f>H673*I673</x:f>
        <x:v>18000</x:v>
      </x:c>
      <x:c r="N673" s="12" t="n">
        <x:f>IF(L673="Completed",ROUND(M673*(1-K673),2),0)</x:f>
        <x:v>17100</x:v>
      </x:c>
      <x:c r="O673" s="12" t="n">
        <x:f>IF(L673="Completed",H673*J673,0)</x:f>
        <x:v>10500</x:v>
      </x:c>
      <x:c r="P673" s="12" t="n">
        <x:f>N673-O673</x:f>
        <x:v>6600</x:v>
      </x:c>
    </x:row>
    <x:row r="674" ht="21" customHeight="1">
      <x:c r="A674" s="7" t="n">
        <x:v>669</x:v>
      </x:c>
      <x:c r="B674" s="2" t="str">
        <x:v>TXN-00669</x:v>
      </x:c>
      <x:c r="C674" s="8" t="d">
        <x:v>2025-07-11T00:00:00.000Z</x:v>
      </x:c>
      <x:c r="D674" s="2" t="str">
        <x:v>Kano</x:v>
      </x:c>
      <x:c r="E674" s="2" t="str">
        <x:v>Electronics</x:v>
      </x:c>
      <x:c r="F674" s="2" t="str">
        <x:v>Bluetooth speaker</x:v>
      </x:c>
      <x:c r="G674" s="2" t="str">
        <x:v>In-store</x:v>
      </x:c>
      <x:c r="H674" s="7" t="n">
        <x:v>1</x:v>
      </x:c>
      <x:c r="I674" s="9" t="n">
        <x:v>26000</x:v>
      </x:c>
      <x:c r="J674" s="9" t="n">
        <x:v>17000</x:v>
      </x:c>
      <x:c r="K674" s="10" t="n">
        <x:v>0</x:v>
      </x:c>
      <x:c r="L674" s="2" t="str">
        <x:v>Completed</x:v>
      </x:c>
      <x:c r="M674" s="12" t="n">
        <x:f>H674*I674</x:f>
        <x:v>26000</x:v>
      </x:c>
      <x:c r="N674" s="12" t="n">
        <x:f>IF(L674="Completed",ROUND(M674*(1-K674),2),0)</x:f>
        <x:v>26000</x:v>
      </x:c>
      <x:c r="O674" s="12" t="n">
        <x:f>IF(L674="Completed",H674*J674,0)</x:f>
        <x:v>17000</x:v>
      </x:c>
      <x:c r="P674" s="12" t="n">
        <x:f>N674-O674</x:f>
        <x:v>9000</x:v>
      </x:c>
    </x:row>
    <x:row r="675" ht="21" customHeight="1">
      <x:c r="A675" s="7" t="n">
        <x:v>670</x:v>
      </x:c>
      <x:c r="B675" s="2" t="str">
        <x:v>TXN-00670</x:v>
      </x:c>
      <x:c r="C675" s="8" t="d">
        <x:v>2025-07-06T00:00:00.000Z</x:v>
      </x:c>
      <x:c r="D675" s="2" t="str">
        <x:v>Port Harcourt</x:v>
      </x:c>
      <x:c r="E675" s="2" t="str">
        <x:v>Electronics</x:v>
      </x:c>
      <x:c r="F675" s="2" t="str">
        <x:v>Power bank</x:v>
      </x:c>
      <x:c r="G675" s="2" t="str">
        <x:v>Online</x:v>
      </x:c>
      <x:c r="H675" s="7" t="n">
        <x:v>1</x:v>
      </x:c>
      <x:c r="I675" s="9" t="n">
        <x:v>15000</x:v>
      </x:c>
      <x:c r="J675" s="9" t="n">
        <x:v>9500</x:v>
      </x:c>
      <x:c r="K675" s="10" t="n">
        <x:v>0.15</x:v>
      </x:c>
      <x:c r="L675" s="2" t="str">
        <x:v>Completed</x:v>
      </x:c>
      <x:c r="M675" s="12" t="n">
        <x:f>H675*I675</x:f>
        <x:v>15000</x:v>
      </x:c>
      <x:c r="N675" s="12" t="n">
        <x:f>IF(L675="Completed",ROUND(M675*(1-K675),2),0)</x:f>
        <x:v>12750</x:v>
      </x:c>
      <x:c r="O675" s="12" t="n">
        <x:f>IF(L675="Completed",H675*J675,0)</x:f>
        <x:v>9500</x:v>
      </x:c>
      <x:c r="P675" s="12" t="n">
        <x:f>N675-O675</x:f>
        <x:v>3250</x:v>
      </x:c>
    </x:row>
    <x:row r="676" ht="21" customHeight="1">
      <x:c r="A676" s="7" t="n">
        <x:v>671</x:v>
      </x:c>
      <x:c r="B676" s="2" t="str">
        <x:v>TXN-00671</x:v>
      </x:c>
      <x:c r="C676" s="8" t="d">
        <x:v>2025-07-07T00:00:00.000Z</x:v>
      </x:c>
      <x:c r="D676" s="2" t="str">
        <x:v>Lagos</x:v>
      </x:c>
      <x:c r="E676" s="2" t="str">
        <x:v>Beauty</x:v>
      </x:c>
      <x:c r="F676" s="2" t="str">
        <x:v>Moisturizer</x:v>
      </x:c>
      <x:c r="G676" s="2" t="str">
        <x:v>Online</x:v>
      </x:c>
      <x:c r="H676" s="7" t="n">
        <x:v>4</x:v>
      </x:c>
      <x:c r="I676" s="9" t="n">
        <x:v>6500</x:v>
      </x:c>
      <x:c r="J676" s="9" t="n">
        <x:v>3500</x:v>
      </x:c>
      <x:c r="K676" s="10" t="n">
        <x:v>0</x:v>
      </x:c>
      <x:c r="L676" s="2" t="str">
        <x:v>Returned</x:v>
      </x:c>
      <x:c r="M676" s="12" t="n">
        <x:f>H676*I676</x:f>
        <x:v>26000</x:v>
      </x:c>
      <x:c r="N676" s="12" t="n">
        <x:f>IF(L676="Completed",ROUND(M676*(1-K676),2),0)</x:f>
        <x:v>0</x:v>
      </x:c>
      <x:c r="O676" s="12" t="n">
        <x:f>IF(L676="Completed",H676*J676,0)</x:f>
        <x:v>0</x:v>
      </x:c>
      <x:c r="P676" s="12" t="n">
        <x:f>N676-O676</x:f>
        <x:v>0</x:v>
      </x:c>
    </x:row>
    <x:row r="677" ht="21" customHeight="1">
      <x:c r="A677" s="7" t="n">
        <x:v>672</x:v>
      </x:c>
      <x:c r="B677" s="2" t="str">
        <x:v>TXN-00672</x:v>
      </x:c>
      <x:c r="C677" s="8" t="d">
        <x:v>2025-07-24T00:00:00.000Z</x:v>
      </x:c>
      <x:c r="D677" s="2" t="str">
        <x:v>Port Harcourt</x:v>
      </x:c>
      <x:c r="E677" s="2" t="str">
        <x:v>Beauty</x:v>
      </x:c>
      <x:c r="F677" s="2" t="str">
        <x:v>Body wash</x:v>
      </x:c>
      <x:c r="G677" s="2" t="str">
        <x:v>In-store</x:v>
      </x:c>
      <x:c r="H677" s="7" t="n">
        <x:v>1</x:v>
      </x:c>
      <x:c r="I677" s="9" t="n">
        <x:v>4500</x:v>
      </x:c>
      <x:c r="J677" s="9" t="n">
        <x:v>2300</x:v>
      </x:c>
      <x:c r="K677" s="10" t="n">
        <x:v>0.15</x:v>
      </x:c>
      <x:c r="L677" s="2" t="str">
        <x:v>Completed</x:v>
      </x:c>
      <x:c r="M677" s="12" t="n">
        <x:f>H677*I677</x:f>
        <x:v>4500</x:v>
      </x:c>
      <x:c r="N677" s="12" t="n">
        <x:f>IF(L677="Completed",ROUND(M677*(1-K677),2),0)</x:f>
        <x:v>3825</x:v>
      </x:c>
      <x:c r="O677" s="12" t="n">
        <x:f>IF(L677="Completed",H677*J677,0)</x:f>
        <x:v>2300</x:v>
      </x:c>
      <x:c r="P677" s="12" t="n">
        <x:f>N677-O677</x:f>
        <x:v>1525</x:v>
      </x:c>
    </x:row>
    <x:row r="678" ht="21" customHeight="1">
      <x:c r="A678" s="7" t="n">
        <x:v>673</x:v>
      </x:c>
      <x:c r="B678" s="2" t="str">
        <x:v>TXN-00673</x:v>
      </x:c>
      <x:c r="C678" s="8" t="d">
        <x:v>2025-07-05T00:00:00.000Z</x:v>
      </x:c>
      <x:c r="D678" s="2" t="str">
        <x:v>Abuja</x:v>
      </x:c>
      <x:c r="E678" s="2" t="str">
        <x:v>Home</x:v>
      </x:c>
      <x:c r="F678" s="2" t="str">
        <x:v>Cookware set</x:v>
      </x:c>
      <x:c r="G678" s="2" t="str">
        <x:v>In-store</x:v>
      </x:c>
      <x:c r="H678" s="7" t="n">
        <x:v>1</x:v>
      </x:c>
      <x:c r="I678" s="9" t="n">
        <x:v>35000</x:v>
      </x:c>
      <x:c r="J678" s="9" t="n">
        <x:v>22500</x:v>
      </x:c>
      <x:c r="K678" s="10" t="n">
        <x:v>0</x:v>
      </x:c>
      <x:c r="L678" s="2" t="str">
        <x:v>Completed</x:v>
      </x:c>
      <x:c r="M678" s="12" t="n">
        <x:f>H678*I678</x:f>
        <x:v>35000</x:v>
      </x:c>
      <x:c r="N678" s="12" t="n">
        <x:f>IF(L678="Completed",ROUND(M678*(1-K678),2),0)</x:f>
        <x:v>35000</x:v>
      </x:c>
      <x:c r="O678" s="12" t="n">
        <x:f>IF(L678="Completed",H678*J678,0)</x:f>
        <x:v>22500</x:v>
      </x:c>
      <x:c r="P678" s="12" t="n">
        <x:f>N678-O678</x:f>
        <x:v>12500</x:v>
      </x:c>
    </x:row>
    <x:row r="679" ht="21" customHeight="1">
      <x:c r="A679" s="7" t="n">
        <x:v>674</x:v>
      </x:c>
      <x:c r="B679" s="2" t="str">
        <x:v>TXN-00674</x:v>
      </x:c>
      <x:c r="C679" s="8" t="d">
        <x:v>2025-07-27T00:00:00.000Z</x:v>
      </x:c>
      <x:c r="D679" s="2" t="str">
        <x:v>Port Harcourt</x:v>
      </x:c>
      <x:c r="E679" s="2" t="str">
        <x:v>Electronics</x:v>
      </x:c>
      <x:c r="F679" s="2" t="str">
        <x:v>Bluetooth speaker</x:v>
      </x:c>
      <x:c r="G679" s="2" t="str">
        <x:v>Online</x:v>
      </x:c>
      <x:c r="H679" s="7" t="n">
        <x:v>1</x:v>
      </x:c>
      <x:c r="I679" s="9" t="n">
        <x:v>26000</x:v>
      </x:c>
      <x:c r="J679" s="9" t="n">
        <x:v>17000</x:v>
      </x:c>
      <x:c r="K679" s="10" t="n">
        <x:v>0</x:v>
      </x:c>
      <x:c r="L679" s="2" t="str">
        <x:v>Completed</x:v>
      </x:c>
      <x:c r="M679" s="12" t="n">
        <x:f>H679*I679</x:f>
        <x:v>26000</x:v>
      </x:c>
      <x:c r="N679" s="12" t="n">
        <x:f>IF(L679="Completed",ROUND(M679*(1-K679),2),0)</x:f>
        <x:v>26000</x:v>
      </x:c>
      <x:c r="O679" s="12" t="n">
        <x:f>IF(L679="Completed",H679*J679,0)</x:f>
        <x:v>17000</x:v>
      </x:c>
      <x:c r="P679" s="12" t="n">
        <x:f>N679-O679</x:f>
        <x:v>9000</x:v>
      </x:c>
    </x:row>
    <x:row r="680" ht="21" customHeight="1">
      <x:c r="A680" s="7" t="n">
        <x:v>675</x:v>
      </x:c>
      <x:c r="B680" s="2" t="str">
        <x:v>TXN-00675</x:v>
      </x:c>
      <x:c r="C680" s="8" t="d">
        <x:v>2025-07-26T00:00:00.000Z</x:v>
      </x:c>
      <x:c r="D680" s="2" t="str">
        <x:v>Lagos</x:v>
      </x:c>
      <x:c r="E680" s="2" t="str">
        <x:v>Beauty</x:v>
      </x:c>
      <x:c r="F680" s="2" t="str">
        <x:v>Perfume</x:v>
      </x:c>
      <x:c r="G680" s="2" t="str">
        <x:v>In-store</x:v>
      </x:c>
      <x:c r="H680" s="7" t="n">
        <x:v>2</x:v>
      </x:c>
      <x:c r="I680" s="9" t="n">
        <x:v>17000</x:v>
      </x:c>
      <x:c r="J680" s="9" t="n">
        <x:v>9000</x:v>
      </x:c>
      <x:c r="K680" s="10" t="n">
        <x:v>0</x:v>
      </x:c>
      <x:c r="L680" s="2" t="str">
        <x:v>Completed</x:v>
      </x:c>
      <x:c r="M680" s="12" t="n">
        <x:f>H680*I680</x:f>
        <x:v>34000</x:v>
      </x:c>
      <x:c r="N680" s="12" t="n">
        <x:f>IF(L680="Completed",ROUND(M680*(1-K680),2),0)</x:f>
        <x:v>34000</x:v>
      </x:c>
      <x:c r="O680" s="12" t="n">
        <x:f>IF(L680="Completed",H680*J680,0)</x:f>
        <x:v>18000</x:v>
      </x:c>
      <x:c r="P680" s="12" t="n">
        <x:f>N680-O680</x:f>
        <x:v>16000</x:v>
      </x:c>
    </x:row>
    <x:row r="681" ht="21" customHeight="1">
      <x:c r="A681" s="7" t="n">
        <x:v>676</x:v>
      </x:c>
      <x:c r="B681" s="2" t="str">
        <x:v>TXN-00676</x:v>
      </x:c>
      <x:c r="C681" s="8" t="d">
        <x:v>2025-07-08T00:00:00.000Z</x:v>
      </x:c>
      <x:c r="D681" s="2" t="str">
        <x:v>Port Harcourt</x:v>
      </x:c>
      <x:c r="E681" s="2" t="str">
        <x:v>Fashion</x:v>
      </x:c>
      <x:c r="F681" s="2" t="str">
        <x:v>Sneakers</x:v>
      </x:c>
      <x:c r="G681" s="2" t="str">
        <x:v>In-store</x:v>
      </x:c>
      <x:c r="H681" s="7" t="n">
        <x:v>2</x:v>
      </x:c>
      <x:c r="I681" s="9" t="n">
        <x:v>28000</x:v>
      </x:c>
      <x:c r="J681" s="9" t="n">
        <x:v>17500</x:v>
      </x:c>
      <x:c r="K681" s="10" t="n">
        <x:v>0</x:v>
      </x:c>
      <x:c r="L681" s="2" t="str">
        <x:v>Completed</x:v>
      </x:c>
      <x:c r="M681" s="12" t="n">
        <x:f>H681*I681</x:f>
        <x:v>56000</x:v>
      </x:c>
      <x:c r="N681" s="12" t="n">
        <x:f>IF(L681="Completed",ROUND(M681*(1-K681),2),0)</x:f>
        <x:v>56000</x:v>
      </x:c>
      <x:c r="O681" s="12" t="n">
        <x:f>IF(L681="Completed",H681*J681,0)</x:f>
        <x:v>35000</x:v>
      </x:c>
      <x:c r="P681" s="12" t="n">
        <x:f>N681-O681</x:f>
        <x:v>21000</x:v>
      </x:c>
    </x:row>
    <x:row r="682" ht="21" customHeight="1">
      <x:c r="A682" s="7" t="n">
        <x:v>677</x:v>
      </x:c>
      <x:c r="B682" s="2" t="str">
        <x:v>TXN-00677</x:v>
      </x:c>
      <x:c r="C682" s="8" t="d">
        <x:v>2025-07-06T00:00:00.000Z</x:v>
      </x:c>
      <x:c r="D682" s="2" t="str">
        <x:v>Lagos</x:v>
      </x:c>
      <x:c r="E682" s="2" t="str">
        <x:v>Beauty</x:v>
      </x:c>
      <x:c r="F682" s="2" t="str">
        <x:v>Perfume</x:v>
      </x:c>
      <x:c r="G682" s="2" t="str">
        <x:v>Online</x:v>
      </x:c>
      <x:c r="H682" s="7" t="n">
        <x:v>1</x:v>
      </x:c>
      <x:c r="I682" s="9" t="n">
        <x:v>17000</x:v>
      </x:c>
      <x:c r="J682" s="9" t="n">
        <x:v>9000</x:v>
      </x:c>
      <x:c r="K682" s="10" t="n">
        <x:v>0</x:v>
      </x:c>
      <x:c r="L682" s="2" t="str">
        <x:v>Completed</x:v>
      </x:c>
      <x:c r="M682" s="12" t="n">
        <x:f>H682*I682</x:f>
        <x:v>17000</x:v>
      </x:c>
      <x:c r="N682" s="12" t="n">
        <x:f>IF(L682="Completed",ROUND(M682*(1-K682),2),0)</x:f>
        <x:v>17000</x:v>
      </x:c>
      <x:c r="O682" s="12" t="n">
        <x:f>IF(L682="Completed",H682*J682,0)</x:f>
        <x:v>9000</x:v>
      </x:c>
      <x:c r="P682" s="12" t="n">
        <x:f>N682-O682</x:f>
        <x:v>8000</x:v>
      </x:c>
    </x:row>
    <x:row r="683" ht="21" customHeight="1">
      <x:c r="A683" s="7" t="n">
        <x:v>678</x:v>
      </x:c>
      <x:c r="B683" s="2" t="str">
        <x:v>TXN-00678</x:v>
      </x:c>
      <x:c r="C683" s="8" t="d">
        <x:v>2025-07-09T00:00:00.000Z</x:v>
      </x:c>
      <x:c r="D683" s="2" t="str">
        <x:v>Abuja</x:v>
      </x:c>
      <x:c r="E683" s="2" t="str">
        <x:v>Fashion</x:v>
      </x:c>
      <x:c r="F683" s="2" t="str">
        <x:v>T-shirt</x:v>
      </x:c>
      <x:c r="G683" s="2" t="str">
        <x:v>In-store</x:v>
      </x:c>
      <x:c r="H683" s="7" t="n">
        <x:v>1</x:v>
      </x:c>
      <x:c r="I683" s="9" t="n">
        <x:v>9000</x:v>
      </x:c>
      <x:c r="J683" s="9" t="n">
        <x:v>5000</x:v>
      </x:c>
      <x:c r="K683" s="10" t="n">
        <x:v>0.05</x:v>
      </x:c>
      <x:c r="L683" s="2" t="str">
        <x:v>Completed</x:v>
      </x:c>
      <x:c r="M683" s="12" t="n">
        <x:f>H683*I683</x:f>
        <x:v>9000</x:v>
      </x:c>
      <x:c r="N683" s="12" t="n">
        <x:f>IF(L683="Completed",ROUND(M683*(1-K683),2),0)</x:f>
        <x:v>8550</x:v>
      </x:c>
      <x:c r="O683" s="12" t="n">
        <x:f>IF(L683="Completed",H683*J683,0)</x:f>
        <x:v>5000</x:v>
      </x:c>
      <x:c r="P683" s="12" t="n">
        <x:f>N683-O683</x:f>
        <x:v>3550</x:v>
      </x:c>
    </x:row>
    <x:row r="684" ht="21" customHeight="1">
      <x:c r="A684" s="7" t="n">
        <x:v>679</x:v>
      </x:c>
      <x:c r="B684" s="2" t="str">
        <x:v>TXN-00679</x:v>
      </x:c>
      <x:c r="C684" s="8" t="d">
        <x:v>2025-07-22T00:00:00.000Z</x:v>
      </x:c>
      <x:c r="D684" s="2" t="str">
        <x:v>Lagos</x:v>
      </x:c>
      <x:c r="E684" s="2" t="str">
        <x:v>Electronics</x:v>
      </x:c>
      <x:c r="F684" s="2" t="str">
        <x:v>Power bank</x:v>
      </x:c>
      <x:c r="G684" s="2" t="str">
        <x:v>Online</x:v>
      </x:c>
      <x:c r="H684" s="7" t="n">
        <x:v>2</x:v>
      </x:c>
      <x:c r="I684" s="9" t="n">
        <x:v>15000</x:v>
      </x:c>
      <x:c r="J684" s="9" t="n">
        <x:v>9500</x:v>
      </x:c>
      <x:c r="K684" s="10" t="n">
        <x:v>0</x:v>
      </x:c>
      <x:c r="L684" s="2" t="str">
        <x:v>Completed</x:v>
      </x:c>
      <x:c r="M684" s="12" t="n">
        <x:f>H684*I684</x:f>
        <x:v>30000</x:v>
      </x:c>
      <x:c r="N684" s="12" t="n">
        <x:f>IF(L684="Completed",ROUND(M684*(1-K684),2),0)</x:f>
        <x:v>30000</x:v>
      </x:c>
      <x:c r="O684" s="12" t="n">
        <x:f>IF(L684="Completed",H684*J684,0)</x:f>
        <x:v>19000</x:v>
      </x:c>
      <x:c r="P684" s="12" t="n">
        <x:f>N684-O684</x:f>
        <x:v>11000</x:v>
      </x:c>
    </x:row>
    <x:row r="685" ht="21" customHeight="1">
      <x:c r="A685" s="7" t="n">
        <x:v>680</x:v>
      </x:c>
      <x:c r="B685" s="2" t="str">
        <x:v>TXN-00680</x:v>
      </x:c>
      <x:c r="C685" s="8" t="d">
        <x:v>2025-07-31T00:00:00.000Z</x:v>
      </x:c>
      <x:c r="D685" s="2" t="str">
        <x:v>Abuja</x:v>
      </x:c>
      <x:c r="E685" s="2" t="str">
        <x:v>Home</x:v>
      </x:c>
      <x:c r="F685" s="2" t="str">
        <x:v>Cookware set</x:v>
      </x:c>
      <x:c r="G685" s="2" t="str">
        <x:v>Online</x:v>
      </x:c>
      <x:c r="H685" s="7" t="n">
        <x:v>1</x:v>
      </x:c>
      <x:c r="I685" s="9" t="n">
        <x:v>35000</x:v>
      </x:c>
      <x:c r="J685" s="9" t="n">
        <x:v>22500</x:v>
      </x:c>
      <x:c r="K685" s="10" t="n">
        <x:v>0.05</x:v>
      </x:c>
      <x:c r="L685" s="2" t="str">
        <x:v>Completed</x:v>
      </x:c>
      <x:c r="M685" s="12" t="n">
        <x:f>H685*I685</x:f>
        <x:v>35000</x:v>
      </x:c>
      <x:c r="N685" s="12" t="n">
        <x:f>IF(L685="Completed",ROUND(M685*(1-K685),2),0)</x:f>
        <x:v>33250</x:v>
      </x:c>
      <x:c r="O685" s="12" t="n">
        <x:f>IF(L685="Completed",H685*J685,0)</x:f>
        <x:v>22500</x:v>
      </x:c>
      <x:c r="P685" s="12" t="n">
        <x:f>N685-O685</x:f>
        <x:v>10750</x:v>
      </x:c>
    </x:row>
    <x:row r="686" ht="21" customHeight="1">
      <x:c r="A686" s="7" t="n">
        <x:v>681</x:v>
      </x:c>
      <x:c r="B686" s="2" t="str">
        <x:v>TXN-00681</x:v>
      </x:c>
      <x:c r="C686" s="8" t="d">
        <x:v>2025-07-08T00:00:00.000Z</x:v>
      </x:c>
      <x:c r="D686" s="2" t="str">
        <x:v>Lagos</x:v>
      </x:c>
      <x:c r="E686" s="2" t="str">
        <x:v>Fashion</x:v>
      </x:c>
      <x:c r="F686" s="2" t="str">
        <x:v>Handbag</x:v>
      </x:c>
      <x:c r="G686" s="2" t="str">
        <x:v>Online</x:v>
      </x:c>
      <x:c r="H686" s="7" t="n">
        <x:v>4</x:v>
      </x:c>
      <x:c r="I686" s="9" t="n">
        <x:v>22000</x:v>
      </x:c>
      <x:c r="J686" s="9" t="n">
        <x:v>13500</x:v>
      </x:c>
      <x:c r="K686" s="10" t="n">
        <x:v>0</x:v>
      </x:c>
      <x:c r="L686" s="2" t="str">
        <x:v>Completed</x:v>
      </x:c>
      <x:c r="M686" s="12" t="n">
        <x:f>H686*I686</x:f>
        <x:v>88000</x:v>
      </x:c>
      <x:c r="N686" s="12" t="n">
        <x:f>IF(L686="Completed",ROUND(M686*(1-K686),2),0)</x:f>
        <x:v>88000</x:v>
      </x:c>
      <x:c r="O686" s="12" t="n">
        <x:f>IF(L686="Completed",H686*J686,0)</x:f>
        <x:v>54000</x:v>
      </x:c>
      <x:c r="P686" s="12" t="n">
        <x:f>N686-O686</x:f>
        <x:v>34000</x:v>
      </x:c>
    </x:row>
    <x:row r="687" ht="21" customHeight="1">
      <x:c r="A687" s="7" t="n">
        <x:v>682</x:v>
      </x:c>
      <x:c r="B687" s="2" t="str">
        <x:v>TXN-00682</x:v>
      </x:c>
      <x:c r="C687" s="8" t="d">
        <x:v>2025-07-01T00:00:00.000Z</x:v>
      </x:c>
      <x:c r="D687" s="2" t="str">
        <x:v>Lagos</x:v>
      </x:c>
      <x:c r="E687" s="2" t="str">
        <x:v>Beauty</x:v>
      </x:c>
      <x:c r="F687" s="2" t="str">
        <x:v>Moisturizer</x:v>
      </x:c>
      <x:c r="G687" s="2" t="str">
        <x:v>In-store</x:v>
      </x:c>
      <x:c r="H687" s="7" t="n">
        <x:v>1</x:v>
      </x:c>
      <x:c r="I687" s="9" t="n">
        <x:v>6500</x:v>
      </x:c>
      <x:c r="J687" s="9" t="n">
        <x:v>3500</x:v>
      </x:c>
      <x:c r="K687" s="10" t="n">
        <x:v>0</x:v>
      </x:c>
      <x:c r="L687" s="2" t="str">
        <x:v>Completed</x:v>
      </x:c>
      <x:c r="M687" s="12" t="n">
        <x:f>H687*I687</x:f>
        <x:v>6500</x:v>
      </x:c>
      <x:c r="N687" s="12" t="n">
        <x:f>IF(L687="Completed",ROUND(M687*(1-K687),2),0)</x:f>
        <x:v>6500</x:v>
      </x:c>
      <x:c r="O687" s="12" t="n">
        <x:f>IF(L687="Completed",H687*J687,0)</x:f>
        <x:v>3500</x:v>
      </x:c>
      <x:c r="P687" s="12" t="n">
        <x:f>N687-O687</x:f>
        <x:v>3000</x:v>
      </x:c>
    </x:row>
    <x:row r="688" ht="21" customHeight="1">
      <x:c r="A688" s="7" t="n">
        <x:v>683</x:v>
      </x:c>
      <x:c r="B688" s="2" t="str">
        <x:v>TXN-00683</x:v>
      </x:c>
      <x:c r="C688" s="8" t="d">
        <x:v>2025-07-14T00:00:00.000Z</x:v>
      </x:c>
      <x:c r="D688" s="2" t="str">
        <x:v>Lagos</x:v>
      </x:c>
      <x:c r="E688" s="2" t="str">
        <x:v>Fashion</x:v>
      </x:c>
      <x:c r="F688" s="2" t="str">
        <x:v>Sneakers</x:v>
      </x:c>
      <x:c r="G688" s="2" t="str">
        <x:v>In-store</x:v>
      </x:c>
      <x:c r="H688" s="7" t="n">
        <x:v>1</x:v>
      </x:c>
      <x:c r="I688" s="9" t="n">
        <x:v>28000</x:v>
      </x:c>
      <x:c r="J688" s="9" t="n">
        <x:v>17500</x:v>
      </x:c>
      <x:c r="K688" s="10" t="n">
        <x:v>0.1</x:v>
      </x:c>
      <x:c r="L688" s="2" t="str">
        <x:v>Completed</x:v>
      </x:c>
      <x:c r="M688" s="12" t="n">
        <x:f>H688*I688</x:f>
        <x:v>28000</x:v>
      </x:c>
      <x:c r="N688" s="12" t="n">
        <x:f>IF(L688="Completed",ROUND(M688*(1-K688),2),0)</x:f>
        <x:v>25200</x:v>
      </x:c>
      <x:c r="O688" s="12" t="n">
        <x:f>IF(L688="Completed",H688*J688,0)</x:f>
        <x:v>17500</x:v>
      </x:c>
      <x:c r="P688" s="12" t="n">
        <x:f>N688-O688</x:f>
        <x:v>7700</x:v>
      </x:c>
    </x:row>
    <x:row r="689" ht="21" customHeight="1">
      <x:c r="A689" s="7" t="n">
        <x:v>684</x:v>
      </x:c>
      <x:c r="B689" s="2" t="str">
        <x:v>TXN-00684</x:v>
      </x:c>
      <x:c r="C689" s="8" t="d">
        <x:v>2025-07-02T00:00:00.000Z</x:v>
      </x:c>
      <x:c r="D689" s="2" t="str">
        <x:v>Abuja</x:v>
      </x:c>
      <x:c r="E689" s="2" t="str">
        <x:v>Electronics</x:v>
      </x:c>
      <x:c r="F689" s="2" t="str">
        <x:v>Power bank</x:v>
      </x:c>
      <x:c r="G689" s="2" t="str">
        <x:v>In-store</x:v>
      </x:c>
      <x:c r="H689" s="7" t="n">
        <x:v>3</x:v>
      </x:c>
      <x:c r="I689" s="9" t="n">
        <x:v>15000</x:v>
      </x:c>
      <x:c r="J689" s="9" t="n">
        <x:v>9500</x:v>
      </x:c>
      <x:c r="K689" s="10" t="n">
        <x:v>0</x:v>
      </x:c>
      <x:c r="L689" s="2" t="str">
        <x:v>Completed</x:v>
      </x:c>
      <x:c r="M689" s="12" t="n">
        <x:f>H689*I689</x:f>
        <x:v>45000</x:v>
      </x:c>
      <x:c r="N689" s="12" t="n">
        <x:f>IF(L689="Completed",ROUND(M689*(1-K689),2),0)</x:f>
        <x:v>45000</x:v>
      </x:c>
      <x:c r="O689" s="12" t="n">
        <x:f>IF(L689="Completed",H689*J689,0)</x:f>
        <x:v>28500</x:v>
      </x:c>
      <x:c r="P689" s="12" t="n">
        <x:f>N689-O689</x:f>
        <x:v>16500</x:v>
      </x:c>
    </x:row>
    <x:row r="690" ht="21" customHeight="1">
      <x:c r="A690" s="7" t="n">
        <x:v>685</x:v>
      </x:c>
      <x:c r="B690" s="2" t="str">
        <x:v>TXN-00685</x:v>
      </x:c>
      <x:c r="C690" s="8" t="d">
        <x:v>2025-07-04T00:00:00.000Z</x:v>
      </x:c>
      <x:c r="D690" s="2" t="str">
        <x:v>Lagos</x:v>
      </x:c>
      <x:c r="E690" s="2" t="str">
        <x:v>Fashion</x:v>
      </x:c>
      <x:c r="F690" s="2" t="str">
        <x:v>T-shirt</x:v>
      </x:c>
      <x:c r="G690" s="2" t="str">
        <x:v>Online</x:v>
      </x:c>
      <x:c r="H690" s="7" t="n">
        <x:v>2</x:v>
      </x:c>
      <x:c r="I690" s="9" t="n">
        <x:v>9000</x:v>
      </x:c>
      <x:c r="J690" s="9" t="n">
        <x:v>5000</x:v>
      </x:c>
      <x:c r="K690" s="10" t="n">
        <x:v>0.05</x:v>
      </x:c>
      <x:c r="L690" s="2" t="str">
        <x:v>Completed</x:v>
      </x:c>
      <x:c r="M690" s="12" t="n">
        <x:f>H690*I690</x:f>
        <x:v>18000</x:v>
      </x:c>
      <x:c r="N690" s="12" t="n">
        <x:f>IF(L690="Completed",ROUND(M690*(1-K690),2),0)</x:f>
        <x:v>17100</x:v>
      </x:c>
      <x:c r="O690" s="12" t="n">
        <x:f>IF(L690="Completed",H690*J690,0)</x:f>
        <x:v>10000</x:v>
      </x:c>
      <x:c r="P690" s="12" t="n">
        <x:f>N690-O690</x:f>
        <x:v>7100</x:v>
      </x:c>
    </x:row>
    <x:row r="691" ht="21" customHeight="1">
      <x:c r="A691" s="7" t="n">
        <x:v>686</x:v>
      </x:c>
      <x:c r="B691" s="2" t="str">
        <x:v>TXN-00686</x:v>
      </x:c>
      <x:c r="C691" s="8" t="d">
        <x:v>2025-07-15T00:00:00.000Z</x:v>
      </x:c>
      <x:c r="D691" s="2" t="str">
        <x:v>Lagos</x:v>
      </x:c>
      <x:c r="E691" s="2" t="str">
        <x:v>Electronics</x:v>
      </x:c>
      <x:c r="F691" s="2" t="str">
        <x:v>Power bank</x:v>
      </x:c>
      <x:c r="G691" s="2" t="str">
        <x:v>Online</x:v>
      </x:c>
      <x:c r="H691" s="7" t="n">
        <x:v>3</x:v>
      </x:c>
      <x:c r="I691" s="9" t="n">
        <x:v>15000</x:v>
      </x:c>
      <x:c r="J691" s="9" t="n">
        <x:v>9500</x:v>
      </x:c>
      <x:c r="K691" s="10" t="n">
        <x:v>0.1</x:v>
      </x:c>
      <x:c r="L691" s="2" t="str">
        <x:v>Completed</x:v>
      </x:c>
      <x:c r="M691" s="12" t="n">
        <x:f>H691*I691</x:f>
        <x:v>45000</x:v>
      </x:c>
      <x:c r="N691" s="12" t="n">
        <x:f>IF(L691="Completed",ROUND(M691*(1-K691),2),0)</x:f>
        <x:v>40500</x:v>
      </x:c>
      <x:c r="O691" s="12" t="n">
        <x:f>IF(L691="Completed",H691*J691,0)</x:f>
        <x:v>28500</x:v>
      </x:c>
      <x:c r="P691" s="12" t="n">
        <x:f>N691-O691</x:f>
        <x:v>12000</x:v>
      </x:c>
    </x:row>
    <x:row r="692" ht="21" customHeight="1">
      <x:c r="A692" s="7" t="n">
        <x:v>687</x:v>
      </x:c>
      <x:c r="B692" s="2" t="str">
        <x:v>TXN-00687</x:v>
      </x:c>
      <x:c r="C692" s="8" t="d">
        <x:v>2025-07-30T00:00:00.000Z</x:v>
      </x:c>
      <x:c r="D692" s="2" t="str">
        <x:v>Port Harcourt</x:v>
      </x:c>
      <x:c r="E692" s="2" t="str">
        <x:v>Home</x:v>
      </x:c>
      <x:c r="F692" s="2" t="str">
        <x:v>Cookware set</x:v>
      </x:c>
      <x:c r="G692" s="2" t="str">
        <x:v>In-store</x:v>
      </x:c>
      <x:c r="H692" s="7" t="n">
        <x:v>2</x:v>
      </x:c>
      <x:c r="I692" s="9" t="n">
        <x:v>35000</x:v>
      </x:c>
      <x:c r="J692" s="9" t="n">
        <x:v>22500</x:v>
      </x:c>
      <x:c r="K692" s="10" t="n">
        <x:v>0.1</x:v>
      </x:c>
      <x:c r="L692" s="2" t="str">
        <x:v>Completed</x:v>
      </x:c>
      <x:c r="M692" s="12" t="n">
        <x:f>H692*I692</x:f>
        <x:v>70000</x:v>
      </x:c>
      <x:c r="N692" s="12" t="n">
        <x:f>IF(L692="Completed",ROUND(M692*(1-K692),2),0)</x:f>
        <x:v>63000</x:v>
      </x:c>
      <x:c r="O692" s="12" t="n">
        <x:f>IF(L692="Completed",H692*J692,0)</x:f>
        <x:v>45000</x:v>
      </x:c>
      <x:c r="P692" s="12" t="n">
        <x:f>N692-O692</x:f>
        <x:v>18000</x:v>
      </x:c>
    </x:row>
    <x:row r="693" ht="21" customHeight="1">
      <x:c r="A693" s="7" t="n">
        <x:v>688</x:v>
      </x:c>
      <x:c r="B693" s="2" t="str">
        <x:v>TXN-00688</x:v>
      </x:c>
      <x:c r="C693" s="8" t="d">
        <x:v>2025-07-12T00:00:00.000Z</x:v>
      </x:c>
      <x:c r="D693" s="2" t="str">
        <x:v>Lagos</x:v>
      </x:c>
      <x:c r="E693" s="2" t="str">
        <x:v>Home</x:v>
      </x:c>
      <x:c r="F693" s="2" t="str">
        <x:v>Desk lamp</x:v>
      </x:c>
      <x:c r="G693" s="2" t="str">
        <x:v>Online</x:v>
      </x:c>
      <x:c r="H693" s="7" t="n">
        <x:v>3</x:v>
      </x:c>
      <x:c r="I693" s="9" t="n">
        <x:v>12000</x:v>
      </x:c>
      <x:c r="J693" s="9" t="n">
        <x:v>7200</x:v>
      </x:c>
      <x:c r="K693" s="10" t="n">
        <x:v>0</x:v>
      </x:c>
      <x:c r="L693" s="2" t="str">
        <x:v>Completed</x:v>
      </x:c>
      <x:c r="M693" s="12" t="n">
        <x:f>H693*I693</x:f>
        <x:v>36000</x:v>
      </x:c>
      <x:c r="N693" s="12" t="n">
        <x:f>IF(L693="Completed",ROUND(M693*(1-K693),2),0)</x:f>
        <x:v>36000</x:v>
      </x:c>
      <x:c r="O693" s="12" t="n">
        <x:f>IF(L693="Completed",H693*J693,0)</x:f>
        <x:v>21600</x:v>
      </x:c>
      <x:c r="P693" s="12" t="n">
        <x:f>N693-O693</x:f>
        <x:v>14400</x:v>
      </x:c>
    </x:row>
    <x:row r="694" ht="21" customHeight="1">
      <x:c r="A694" s="7" t="n">
        <x:v>689</x:v>
      </x:c>
      <x:c r="B694" s="2" t="str">
        <x:v>TXN-00689</x:v>
      </x:c>
      <x:c r="C694" s="8" t="d">
        <x:v>2025-07-31T00:00:00.000Z</x:v>
      </x:c>
      <x:c r="D694" s="2" t="str">
        <x:v>Lagos</x:v>
      </x:c>
      <x:c r="E694" s="2" t="str">
        <x:v>Electronics</x:v>
      </x:c>
      <x:c r="F694" s="2" t="str">
        <x:v>Bluetooth speaker</x:v>
      </x:c>
      <x:c r="G694" s="2" t="str">
        <x:v>Online</x:v>
      </x:c>
      <x:c r="H694" s="7" t="n">
        <x:v>1</x:v>
      </x:c>
      <x:c r="I694" s="9" t="n">
        <x:v>26000</x:v>
      </x:c>
      <x:c r="J694" s="9" t="n">
        <x:v>17000</x:v>
      </x:c>
      <x:c r="K694" s="10" t="n">
        <x:v>0.15</x:v>
      </x:c>
      <x:c r="L694" s="2" t="str">
        <x:v>Completed</x:v>
      </x:c>
      <x:c r="M694" s="12" t="n">
        <x:f>H694*I694</x:f>
        <x:v>26000</x:v>
      </x:c>
      <x:c r="N694" s="12" t="n">
        <x:f>IF(L694="Completed",ROUND(M694*(1-K694),2),0)</x:f>
        <x:v>22100</x:v>
      </x:c>
      <x:c r="O694" s="12" t="n">
        <x:f>IF(L694="Completed",H694*J694,0)</x:f>
        <x:v>17000</x:v>
      </x:c>
      <x:c r="P694" s="12" t="n">
        <x:f>N694-O694</x:f>
        <x:v>5100</x:v>
      </x:c>
    </x:row>
    <x:row r="695" ht="21" customHeight="1">
      <x:c r="A695" s="7" t="n">
        <x:v>690</x:v>
      </x:c>
      <x:c r="B695" s="2" t="str">
        <x:v>TXN-00690</x:v>
      </x:c>
      <x:c r="C695" s="8" t="d">
        <x:v>2025-07-04T00:00:00.000Z</x:v>
      </x:c>
      <x:c r="D695" s="2" t="str">
        <x:v>Lagos</x:v>
      </x:c>
      <x:c r="E695" s="2" t="str">
        <x:v>Home</x:v>
      </x:c>
      <x:c r="F695" s="2" t="str">
        <x:v>Bedsheet</x:v>
      </x:c>
      <x:c r="G695" s="2" t="str">
        <x:v>Online</x:v>
      </x:c>
      <x:c r="H695" s="7" t="n">
        <x:v>1</x:v>
      </x:c>
      <x:c r="I695" s="9" t="n">
        <x:v>14000</x:v>
      </x:c>
      <x:c r="J695" s="9" t="n">
        <x:v>8500</x:v>
      </x:c>
      <x:c r="K695" s="10" t="n">
        <x:v>0.1</x:v>
      </x:c>
      <x:c r="L695" s="2" t="str">
        <x:v>Completed</x:v>
      </x:c>
      <x:c r="M695" s="12" t="n">
        <x:f>H695*I695</x:f>
        <x:v>14000</x:v>
      </x:c>
      <x:c r="N695" s="12" t="n">
        <x:f>IF(L695="Completed",ROUND(M695*(1-K695),2),0)</x:f>
        <x:v>12600</x:v>
      </x:c>
      <x:c r="O695" s="12" t="n">
        <x:f>IF(L695="Completed",H695*J695,0)</x:f>
        <x:v>8500</x:v>
      </x:c>
      <x:c r="P695" s="12" t="n">
        <x:f>N695-O695</x:f>
        <x:v>4100</x:v>
      </x:c>
    </x:row>
    <x:row r="696" ht="21" customHeight="1">
      <x:c r="A696" s="7" t="n">
        <x:v>691</x:v>
      </x:c>
      <x:c r="B696" s="2" t="str">
        <x:v>TXN-00691</x:v>
      </x:c>
      <x:c r="C696" s="8" t="d">
        <x:v>2025-07-11T00:00:00.000Z</x:v>
      </x:c>
      <x:c r="D696" s="2" t="str">
        <x:v>Lagos</x:v>
      </x:c>
      <x:c r="E696" s="2" t="str">
        <x:v>Electronics</x:v>
      </x:c>
      <x:c r="F696" s="2" t="str">
        <x:v>Power bank</x:v>
      </x:c>
      <x:c r="G696" s="2" t="str">
        <x:v>In-store</x:v>
      </x:c>
      <x:c r="H696" s="7" t="n">
        <x:v>2</x:v>
      </x:c>
      <x:c r="I696" s="9" t="n">
        <x:v>15000</x:v>
      </x:c>
      <x:c r="J696" s="9" t="n">
        <x:v>9500</x:v>
      </x:c>
      <x:c r="K696" s="10" t="n">
        <x:v>0</x:v>
      </x:c>
      <x:c r="L696" s="2" t="str">
        <x:v>Completed</x:v>
      </x:c>
      <x:c r="M696" s="12" t="n">
        <x:f>H696*I696</x:f>
        <x:v>30000</x:v>
      </x:c>
      <x:c r="N696" s="12" t="n">
        <x:f>IF(L696="Completed",ROUND(M696*(1-K696),2),0)</x:f>
        <x:v>30000</x:v>
      </x:c>
      <x:c r="O696" s="12" t="n">
        <x:f>IF(L696="Completed",H696*J696,0)</x:f>
        <x:v>19000</x:v>
      </x:c>
      <x:c r="P696" s="12" t="n">
        <x:f>N696-O696</x:f>
        <x:v>11000</x:v>
      </x:c>
    </x:row>
    <x:row r="697" ht="21" customHeight="1">
      <x:c r="A697" s="7" t="n">
        <x:v>692</x:v>
      </x:c>
      <x:c r="B697" s="2" t="str">
        <x:v>TXN-00692</x:v>
      </x:c>
      <x:c r="C697" s="8" t="d">
        <x:v>2025-07-18T00:00:00.000Z</x:v>
      </x:c>
      <x:c r="D697" s="2" t="str">
        <x:v>Abuja</x:v>
      </x:c>
      <x:c r="E697" s="2" t="str">
        <x:v>Beauty</x:v>
      </x:c>
      <x:c r="F697" s="2" t="str">
        <x:v>Moisturizer</x:v>
      </x:c>
      <x:c r="G697" s="2" t="str">
        <x:v>In-store</x:v>
      </x:c>
      <x:c r="H697" s="7" t="n">
        <x:v>1</x:v>
      </x:c>
      <x:c r="I697" s="9" t="n">
        <x:v>6500</x:v>
      </x:c>
      <x:c r="J697" s="9" t="n">
        <x:v>3500</x:v>
      </x:c>
      <x:c r="K697" s="10" t="n">
        <x:v>0.05</x:v>
      </x:c>
      <x:c r="L697" s="2" t="str">
        <x:v>Completed</x:v>
      </x:c>
      <x:c r="M697" s="12" t="n">
        <x:f>H697*I697</x:f>
        <x:v>6500</x:v>
      </x:c>
      <x:c r="N697" s="12" t="n">
        <x:f>IF(L697="Completed",ROUND(M697*(1-K697),2),0)</x:f>
        <x:v>6175</x:v>
      </x:c>
      <x:c r="O697" s="12" t="n">
        <x:f>IF(L697="Completed",H697*J697,0)</x:f>
        <x:v>3500</x:v>
      </x:c>
      <x:c r="P697" s="12" t="n">
        <x:f>N697-O697</x:f>
        <x:v>2675</x:v>
      </x:c>
    </x:row>
    <x:row r="698" ht="21" customHeight="1">
      <x:c r="A698" s="7" t="n">
        <x:v>693</x:v>
      </x:c>
      <x:c r="B698" s="2" t="str">
        <x:v>TXN-00693</x:v>
      </x:c>
      <x:c r="C698" s="8" t="d">
        <x:v>2025-07-17T00:00:00.000Z</x:v>
      </x:c>
      <x:c r="D698" s="2" t="str">
        <x:v>Port Harcourt</x:v>
      </x:c>
      <x:c r="E698" s="2" t="str">
        <x:v>Beauty</x:v>
      </x:c>
      <x:c r="F698" s="2" t="str">
        <x:v>Body wash</x:v>
      </x:c>
      <x:c r="G698" s="2" t="str">
        <x:v>In-store</x:v>
      </x:c>
      <x:c r="H698" s="7" t="n">
        <x:v>2</x:v>
      </x:c>
      <x:c r="I698" s="9" t="n">
        <x:v>4500</x:v>
      </x:c>
      <x:c r="J698" s="9" t="n">
        <x:v>2300</x:v>
      </x:c>
      <x:c r="K698" s="10" t="n">
        <x:v>0.1</x:v>
      </x:c>
      <x:c r="L698" s="2" t="str">
        <x:v>Completed</x:v>
      </x:c>
      <x:c r="M698" s="12" t="n">
        <x:f>H698*I698</x:f>
        <x:v>9000</x:v>
      </x:c>
      <x:c r="N698" s="12" t="n">
        <x:f>IF(L698="Completed",ROUND(M698*(1-K698),2),0)</x:f>
        <x:v>8100</x:v>
      </x:c>
      <x:c r="O698" s="12" t="n">
        <x:f>IF(L698="Completed",H698*J698,0)</x:f>
        <x:v>4600</x:v>
      </x:c>
      <x:c r="P698" s="12" t="n">
        <x:f>N698-O698</x:f>
        <x:v>3500</x:v>
      </x:c>
    </x:row>
    <x:row r="699" ht="21" customHeight="1">
      <x:c r="A699" s="7" t="n">
        <x:v>694</x:v>
      </x:c>
      <x:c r="B699" s="2" t="str">
        <x:v>TXN-00694</x:v>
      </x:c>
      <x:c r="C699" s="8" t="d">
        <x:v>2025-07-05T00:00:00.000Z</x:v>
      </x:c>
      <x:c r="D699" s="2" t="str">
        <x:v>Port Harcourt</x:v>
      </x:c>
      <x:c r="E699" s="2" t="str">
        <x:v>Home</x:v>
      </x:c>
      <x:c r="F699" s="2" t="str">
        <x:v>Desk lamp</x:v>
      </x:c>
      <x:c r="G699" s="2" t="str">
        <x:v>Online</x:v>
      </x:c>
      <x:c r="H699" s="7" t="n">
        <x:v>1</x:v>
      </x:c>
      <x:c r="I699" s="9" t="n">
        <x:v>12000</x:v>
      </x:c>
      <x:c r="J699" s="9" t="n">
        <x:v>7200</x:v>
      </x:c>
      <x:c r="K699" s="10" t="n">
        <x:v>0</x:v>
      </x:c>
      <x:c r="L699" s="2" t="str">
        <x:v>Completed</x:v>
      </x:c>
      <x:c r="M699" s="12" t="n">
        <x:f>H699*I699</x:f>
        <x:v>12000</x:v>
      </x:c>
      <x:c r="N699" s="12" t="n">
        <x:f>IF(L699="Completed",ROUND(M699*(1-K699),2),0)</x:f>
        <x:v>12000</x:v>
      </x:c>
      <x:c r="O699" s="12" t="n">
        <x:f>IF(L699="Completed",H699*J699,0)</x:f>
        <x:v>7200</x:v>
      </x:c>
      <x:c r="P699" s="12" t="n">
        <x:f>N699-O699</x:f>
        <x:v>4800</x:v>
      </x:c>
    </x:row>
    <x:row r="700" ht="21" customHeight="1">
      <x:c r="A700" s="7" t="n">
        <x:v>695</x:v>
      </x:c>
      <x:c r="B700" s="2" t="str">
        <x:v>TXN-00695</x:v>
      </x:c>
      <x:c r="C700" s="8" t="d">
        <x:v>2025-07-13T00:00:00.000Z</x:v>
      </x:c>
      <x:c r="D700" s="2" t="str">
        <x:v>Lagos</x:v>
      </x:c>
      <x:c r="E700" s="2" t="str">
        <x:v>Beauty</x:v>
      </x:c>
      <x:c r="F700" s="2" t="str">
        <x:v>Moisturizer</x:v>
      </x:c>
      <x:c r="G700" s="2" t="str">
        <x:v>In-store</x:v>
      </x:c>
      <x:c r="H700" s="7" t="n">
        <x:v>1</x:v>
      </x:c>
      <x:c r="I700" s="9" t="n">
        <x:v>6500</x:v>
      </x:c>
      <x:c r="J700" s="9" t="n">
        <x:v>3500</x:v>
      </x:c>
      <x:c r="K700" s="10" t="n">
        <x:v>0.05</x:v>
      </x:c>
      <x:c r="L700" s="2" t="str">
        <x:v>Completed</x:v>
      </x:c>
      <x:c r="M700" s="12" t="n">
        <x:f>H700*I700</x:f>
        <x:v>6500</x:v>
      </x:c>
      <x:c r="N700" s="12" t="n">
        <x:f>IF(L700="Completed",ROUND(M700*(1-K700),2),0)</x:f>
        <x:v>6175</x:v>
      </x:c>
      <x:c r="O700" s="12" t="n">
        <x:f>IF(L700="Completed",H700*J700,0)</x:f>
        <x:v>3500</x:v>
      </x:c>
      <x:c r="P700" s="12" t="n">
        <x:f>N700-O700</x:f>
        <x:v>2675</x:v>
      </x:c>
    </x:row>
    <x:row r="701" ht="21" customHeight="1">
      <x:c r="A701" s="7" t="n">
        <x:v>696</x:v>
      </x:c>
      <x:c r="B701" s="2" t="str">
        <x:v>TXN-00696</x:v>
      </x:c>
      <x:c r="C701" s="8" t="d">
        <x:v>2025-07-09T00:00:00.000Z</x:v>
      </x:c>
      <x:c r="D701" s="2" t="str">
        <x:v>Abuja</x:v>
      </x:c>
      <x:c r="E701" s="2" t="str">
        <x:v>Beauty</x:v>
      </x:c>
      <x:c r="F701" s="2" t="str">
        <x:v>Body wash</x:v>
      </x:c>
      <x:c r="G701" s="2" t="str">
        <x:v>In-store</x:v>
      </x:c>
      <x:c r="H701" s="7" t="n">
        <x:v>2</x:v>
      </x:c>
      <x:c r="I701" s="9" t="n">
        <x:v>4500</x:v>
      </x:c>
      <x:c r="J701" s="9" t="n">
        <x:v>2300</x:v>
      </x:c>
      <x:c r="K701" s="10" t="n">
        <x:v>0.05</x:v>
      </x:c>
      <x:c r="L701" s="2" t="str">
        <x:v>Returned</x:v>
      </x:c>
      <x:c r="M701" s="12" t="n">
        <x:f>H701*I701</x:f>
        <x:v>9000</x:v>
      </x:c>
      <x:c r="N701" s="12" t="n">
        <x:f>IF(L701="Completed",ROUND(M701*(1-K701),2),0)</x:f>
        <x:v>0</x:v>
      </x:c>
      <x:c r="O701" s="12" t="n">
        <x:f>IF(L701="Completed",H701*J701,0)</x:f>
        <x:v>0</x:v>
      </x:c>
      <x:c r="P701" s="12" t="n">
        <x:f>N701-O701</x:f>
        <x:v>0</x:v>
      </x:c>
    </x:row>
    <x:row r="702" ht="21" customHeight="1">
      <x:c r="A702" s="7" t="n">
        <x:v>697</x:v>
      </x:c>
      <x:c r="B702" s="2" t="str">
        <x:v>TXN-00697</x:v>
      </x:c>
      <x:c r="C702" s="8" t="d">
        <x:v>2025-07-21T00:00:00.000Z</x:v>
      </x:c>
      <x:c r="D702" s="2" t="str">
        <x:v>Lagos</x:v>
      </x:c>
      <x:c r="E702" s="2" t="str">
        <x:v>Electronics</x:v>
      </x:c>
      <x:c r="F702" s="2" t="str">
        <x:v>Headphones</x:v>
      </x:c>
      <x:c r="G702" s="2" t="str">
        <x:v>Online</x:v>
      </x:c>
      <x:c r="H702" s="7" t="n">
        <x:v>2</x:v>
      </x:c>
      <x:c r="I702" s="9" t="n">
        <x:v>18000</x:v>
      </x:c>
      <x:c r="J702" s="9" t="n">
        <x:v>10500</x:v>
      </x:c>
      <x:c r="K702" s="10" t="n">
        <x:v>0.1</x:v>
      </x:c>
      <x:c r="L702" s="2" t="str">
        <x:v>Completed</x:v>
      </x:c>
      <x:c r="M702" s="12" t="n">
        <x:f>H702*I702</x:f>
        <x:v>36000</x:v>
      </x:c>
      <x:c r="N702" s="12" t="n">
        <x:f>IF(L702="Completed",ROUND(M702*(1-K702),2),0)</x:f>
        <x:v>32400</x:v>
      </x:c>
      <x:c r="O702" s="12" t="n">
        <x:f>IF(L702="Completed",H702*J702,0)</x:f>
        <x:v>21000</x:v>
      </x:c>
      <x:c r="P702" s="12" t="n">
        <x:f>N702-O702</x:f>
        <x:v>11400</x:v>
      </x:c>
    </x:row>
    <x:row r="703" ht="21" customHeight="1">
      <x:c r="A703" s="7" t="n">
        <x:v>698</x:v>
      </x:c>
      <x:c r="B703" s="2" t="str">
        <x:v>TXN-00698</x:v>
      </x:c>
      <x:c r="C703" s="8" t="d">
        <x:v>2025-07-21T00:00:00.000Z</x:v>
      </x:c>
      <x:c r="D703" s="2" t="str">
        <x:v>Abuja</x:v>
      </x:c>
      <x:c r="E703" s="2" t="str">
        <x:v>Electronics</x:v>
      </x:c>
      <x:c r="F703" s="2" t="str">
        <x:v>Power bank</x:v>
      </x:c>
      <x:c r="G703" s="2" t="str">
        <x:v>In-store</x:v>
      </x:c>
      <x:c r="H703" s="7" t="n">
        <x:v>1</x:v>
      </x:c>
      <x:c r="I703" s="9" t="n">
        <x:v>15000</x:v>
      </x:c>
      <x:c r="J703" s="9" t="n">
        <x:v>9500</x:v>
      </x:c>
      <x:c r="K703" s="10" t="n">
        <x:v>0</x:v>
      </x:c>
      <x:c r="L703" s="2" t="str">
        <x:v>Completed</x:v>
      </x:c>
      <x:c r="M703" s="12" t="n">
        <x:f>H703*I703</x:f>
        <x:v>15000</x:v>
      </x:c>
      <x:c r="N703" s="12" t="n">
        <x:f>IF(L703="Completed",ROUND(M703*(1-K703),2),0)</x:f>
        <x:v>15000</x:v>
      </x:c>
      <x:c r="O703" s="12" t="n">
        <x:f>IF(L703="Completed",H703*J703,0)</x:f>
        <x:v>9500</x:v>
      </x:c>
      <x:c r="P703" s="12" t="n">
        <x:f>N703-O703</x:f>
        <x:v>5500</x:v>
      </x:c>
    </x:row>
    <x:row r="704" ht="21" customHeight="1">
      <x:c r="A704" s="7" t="n">
        <x:v>699</x:v>
      </x:c>
      <x:c r="B704" s="2" t="str">
        <x:v>TXN-00699</x:v>
      </x:c>
      <x:c r="C704" s="8" t="d">
        <x:v>2025-07-18T00:00:00.000Z</x:v>
      </x:c>
      <x:c r="D704" s="2" t="str">
        <x:v>Abuja</x:v>
      </x:c>
      <x:c r="E704" s="2" t="str">
        <x:v>Fashion</x:v>
      </x:c>
      <x:c r="F704" s="2" t="str">
        <x:v>Sneakers</x:v>
      </x:c>
      <x:c r="G704" s="2" t="str">
        <x:v>Online</x:v>
      </x:c>
      <x:c r="H704" s="7" t="n">
        <x:v>1</x:v>
      </x:c>
      <x:c r="I704" s="9" t="n">
        <x:v>28000</x:v>
      </x:c>
      <x:c r="J704" s="9" t="n">
        <x:v>17500</x:v>
      </x:c>
      <x:c r="K704" s="10" t="n">
        <x:v>0.1</x:v>
      </x:c>
      <x:c r="L704" s="2" t="str">
        <x:v>Completed</x:v>
      </x:c>
      <x:c r="M704" s="12" t="n">
        <x:f>H704*I704</x:f>
        <x:v>28000</x:v>
      </x:c>
      <x:c r="N704" s="12" t="n">
        <x:f>IF(L704="Completed",ROUND(M704*(1-K704),2),0)</x:f>
        <x:v>25200</x:v>
      </x:c>
      <x:c r="O704" s="12" t="n">
        <x:f>IF(L704="Completed",H704*J704,0)</x:f>
        <x:v>17500</x:v>
      </x:c>
      <x:c r="P704" s="12" t="n">
        <x:f>N704-O704</x:f>
        <x:v>7700</x:v>
      </x:c>
    </x:row>
    <x:row r="705" ht="21" customHeight="1">
      <x:c r="A705" s="7" t="n">
        <x:v>700</x:v>
      </x:c>
      <x:c r="B705" s="2" t="str">
        <x:v>TXN-00700</x:v>
      </x:c>
      <x:c r="C705" s="8" t="d">
        <x:v>2025-07-04T00:00:00.000Z</x:v>
      </x:c>
      <x:c r="D705" s="2" t="str">
        <x:v>Port Harcourt</x:v>
      </x:c>
      <x:c r="E705" s="2" t="str">
        <x:v>Beauty</x:v>
      </x:c>
      <x:c r="F705" s="2" t="str">
        <x:v>Moisturizer</x:v>
      </x:c>
      <x:c r="G705" s="2" t="str">
        <x:v>Online</x:v>
      </x:c>
      <x:c r="H705" s="7" t="n">
        <x:v>1</x:v>
      </x:c>
      <x:c r="I705" s="9" t="n">
        <x:v>6500</x:v>
      </x:c>
      <x:c r="J705" s="9" t="n">
        <x:v>3500</x:v>
      </x:c>
      <x:c r="K705" s="10" t="n">
        <x:v>0.05</x:v>
      </x:c>
      <x:c r="L705" s="2" t="str">
        <x:v>Completed</x:v>
      </x:c>
      <x:c r="M705" s="12" t="n">
        <x:f>H705*I705</x:f>
        <x:v>6500</x:v>
      </x:c>
      <x:c r="N705" s="12" t="n">
        <x:f>IF(L705="Completed",ROUND(M705*(1-K705),2),0)</x:f>
        <x:v>6175</x:v>
      </x:c>
      <x:c r="O705" s="12" t="n">
        <x:f>IF(L705="Completed",H705*J705,0)</x:f>
        <x:v>3500</x:v>
      </x:c>
      <x:c r="P705" s="12" t="n">
        <x:f>N705-O705</x:f>
        <x:v>2675</x:v>
      </x:c>
    </x:row>
    <x:row r="706" ht="21" customHeight="1">
      <x:c r="A706" s="7" t="n">
        <x:v>701</x:v>
      </x:c>
      <x:c r="B706" s="2" t="str">
        <x:v>TXN-00701</x:v>
      </x:c>
      <x:c r="C706" s="8" t="d">
        <x:v>2025-07-22T00:00:00.000Z</x:v>
      </x:c>
      <x:c r="D706" s="2" t="str">
        <x:v>Kano</x:v>
      </x:c>
      <x:c r="E706" s="2" t="str">
        <x:v>Beauty</x:v>
      </x:c>
      <x:c r="F706" s="2" t="str">
        <x:v>Moisturizer</x:v>
      </x:c>
      <x:c r="G706" s="2" t="str">
        <x:v>Online</x:v>
      </x:c>
      <x:c r="H706" s="7" t="n">
        <x:v>4</x:v>
      </x:c>
      <x:c r="I706" s="9" t="n">
        <x:v>6500</x:v>
      </x:c>
      <x:c r="J706" s="9" t="n">
        <x:v>3500</x:v>
      </x:c>
      <x:c r="K706" s="10" t="n">
        <x:v>0</x:v>
      </x:c>
      <x:c r="L706" s="2" t="str">
        <x:v>Completed</x:v>
      </x:c>
      <x:c r="M706" s="12" t="n">
        <x:f>H706*I706</x:f>
        <x:v>26000</x:v>
      </x:c>
      <x:c r="N706" s="12" t="n">
        <x:f>IF(L706="Completed",ROUND(M706*(1-K706),2),0)</x:f>
        <x:v>26000</x:v>
      </x:c>
      <x:c r="O706" s="12" t="n">
        <x:f>IF(L706="Completed",H706*J706,0)</x:f>
        <x:v>14000</x:v>
      </x:c>
      <x:c r="P706" s="12" t="n">
        <x:f>N706-O706</x:f>
        <x:v>12000</x:v>
      </x:c>
    </x:row>
    <x:row r="707" ht="21" customHeight="1">
      <x:c r="A707" s="7" t="n">
        <x:v>702</x:v>
      </x:c>
      <x:c r="B707" s="2" t="str">
        <x:v>TXN-00702</x:v>
      </x:c>
      <x:c r="C707" s="8" t="d">
        <x:v>2025-07-31T00:00:00.000Z</x:v>
      </x:c>
      <x:c r="D707" s="2" t="str">
        <x:v>Lagos</x:v>
      </x:c>
      <x:c r="E707" s="2" t="str">
        <x:v>Fashion</x:v>
      </x:c>
      <x:c r="F707" s="2" t="str">
        <x:v>Sneakers</x:v>
      </x:c>
      <x:c r="G707" s="2" t="str">
        <x:v>Online</x:v>
      </x:c>
      <x:c r="H707" s="7" t="n">
        <x:v>2</x:v>
      </x:c>
      <x:c r="I707" s="9" t="n">
        <x:v>28000</x:v>
      </x:c>
      <x:c r="J707" s="9" t="n">
        <x:v>17500</x:v>
      </x:c>
      <x:c r="K707" s="10" t="n">
        <x:v>0.15</x:v>
      </x:c>
      <x:c r="L707" s="2" t="str">
        <x:v>Completed</x:v>
      </x:c>
      <x:c r="M707" s="12" t="n">
        <x:f>H707*I707</x:f>
        <x:v>56000</x:v>
      </x:c>
      <x:c r="N707" s="12" t="n">
        <x:f>IF(L707="Completed",ROUND(M707*(1-K707),2),0)</x:f>
        <x:v>47600</x:v>
      </x:c>
      <x:c r="O707" s="12" t="n">
        <x:f>IF(L707="Completed",H707*J707,0)</x:f>
        <x:v>35000</x:v>
      </x:c>
      <x:c r="P707" s="12" t="n">
        <x:f>N707-O707</x:f>
        <x:v>12600</x:v>
      </x:c>
    </x:row>
    <x:row r="708" ht="21" customHeight="1">
      <x:c r="A708" s="7" t="n">
        <x:v>703</x:v>
      </x:c>
      <x:c r="B708" s="2" t="str">
        <x:v>TXN-00703</x:v>
      </x:c>
      <x:c r="C708" s="8" t="d">
        <x:v>2025-07-24T00:00:00.000Z</x:v>
      </x:c>
      <x:c r="D708" s="2" t="str">
        <x:v>Lagos</x:v>
      </x:c>
      <x:c r="E708" s="2" t="str">
        <x:v>Fashion</x:v>
      </x:c>
      <x:c r="F708" s="2" t="str">
        <x:v>Sneakers</x:v>
      </x:c>
      <x:c r="G708" s="2" t="str">
        <x:v>Online</x:v>
      </x:c>
      <x:c r="H708" s="7" t="n">
        <x:v>3</x:v>
      </x:c>
      <x:c r="I708" s="9" t="n">
        <x:v>28000</x:v>
      </x:c>
      <x:c r="J708" s="9" t="n">
        <x:v>17500</x:v>
      </x:c>
      <x:c r="K708" s="10" t="n">
        <x:v>0</x:v>
      </x:c>
      <x:c r="L708" s="2" t="str">
        <x:v>Completed</x:v>
      </x:c>
      <x:c r="M708" s="12" t="n">
        <x:f>H708*I708</x:f>
        <x:v>84000</x:v>
      </x:c>
      <x:c r="N708" s="12" t="n">
        <x:f>IF(L708="Completed",ROUND(M708*(1-K708),2),0)</x:f>
        <x:v>84000</x:v>
      </x:c>
      <x:c r="O708" s="12" t="n">
        <x:f>IF(L708="Completed",H708*J708,0)</x:f>
        <x:v>52500</x:v>
      </x:c>
      <x:c r="P708" s="12" t="n">
        <x:f>N708-O708</x:f>
        <x:v>31500</x:v>
      </x:c>
    </x:row>
    <x:row r="709" ht="21" customHeight="1">
      <x:c r="A709" s="7" t="n">
        <x:v>704</x:v>
      </x:c>
      <x:c r="B709" s="2" t="str">
        <x:v>TXN-00704</x:v>
      </x:c>
      <x:c r="C709" s="8" t="d">
        <x:v>2025-07-03T00:00:00.000Z</x:v>
      </x:c>
      <x:c r="D709" s="2" t="str">
        <x:v>Lagos</x:v>
      </x:c>
      <x:c r="E709" s="2" t="str">
        <x:v>Fashion</x:v>
      </x:c>
      <x:c r="F709" s="2" t="str">
        <x:v>Sneakers</x:v>
      </x:c>
      <x:c r="G709" s="2" t="str">
        <x:v>In-store</x:v>
      </x:c>
      <x:c r="H709" s="7" t="n">
        <x:v>2</x:v>
      </x:c>
      <x:c r="I709" s="9" t="n">
        <x:v>28000</x:v>
      </x:c>
      <x:c r="J709" s="9" t="n">
        <x:v>17500</x:v>
      </x:c>
      <x:c r="K709" s="10" t="n">
        <x:v>0</x:v>
      </x:c>
      <x:c r="L709" s="2" t="str">
        <x:v>Completed</x:v>
      </x:c>
      <x:c r="M709" s="12" t="n">
        <x:f>H709*I709</x:f>
        <x:v>56000</x:v>
      </x:c>
      <x:c r="N709" s="12" t="n">
        <x:f>IF(L709="Completed",ROUND(M709*(1-K709),2),0)</x:f>
        <x:v>56000</x:v>
      </x:c>
      <x:c r="O709" s="12" t="n">
        <x:f>IF(L709="Completed",H709*J709,0)</x:f>
        <x:v>35000</x:v>
      </x:c>
      <x:c r="P709" s="12" t="n">
        <x:f>N709-O709</x:f>
        <x:v>21000</x:v>
      </x:c>
    </x:row>
    <x:row r="710" ht="21" customHeight="1">
      <x:c r="A710" s="7" t="n">
        <x:v>705</x:v>
      </x:c>
      <x:c r="B710" s="2" t="str">
        <x:v>TXN-00705</x:v>
      </x:c>
      <x:c r="C710" s="8" t="d">
        <x:v>2025-07-05T00:00:00.000Z</x:v>
      </x:c>
      <x:c r="D710" s="2" t="str">
        <x:v>Abuja</x:v>
      </x:c>
      <x:c r="E710" s="2" t="str">
        <x:v>Home</x:v>
      </x:c>
      <x:c r="F710" s="2" t="str">
        <x:v>Desk lamp</x:v>
      </x:c>
      <x:c r="G710" s="2" t="str">
        <x:v>In-store</x:v>
      </x:c>
      <x:c r="H710" s="7" t="n">
        <x:v>1</x:v>
      </x:c>
      <x:c r="I710" s="9" t="n">
        <x:v>12000</x:v>
      </x:c>
      <x:c r="J710" s="9" t="n">
        <x:v>7200</x:v>
      </x:c>
      <x:c r="K710" s="10" t="n">
        <x:v>0.05</x:v>
      </x:c>
      <x:c r="L710" s="2" t="str">
        <x:v>Returned</x:v>
      </x:c>
      <x:c r="M710" s="12" t="n">
        <x:f>H710*I710</x:f>
        <x:v>12000</x:v>
      </x:c>
      <x:c r="N710" s="12" t="n">
        <x:f>IF(L710="Completed",ROUND(M710*(1-K710),2),0)</x:f>
        <x:v>0</x:v>
      </x:c>
      <x:c r="O710" s="12" t="n">
        <x:f>IF(L710="Completed",H710*J710,0)</x:f>
        <x:v>0</x:v>
      </x:c>
      <x:c r="P710" s="12" t="n">
        <x:f>N710-O710</x:f>
        <x:v>0</x:v>
      </x:c>
    </x:row>
    <x:row r="711" ht="21" customHeight="1">
      <x:c r="A711" s="7" t="n">
        <x:v>706</x:v>
      </x:c>
      <x:c r="B711" s="2" t="str">
        <x:v>TXN-00706</x:v>
      </x:c>
      <x:c r="C711" s="8" t="d">
        <x:v>2025-07-07T00:00:00.000Z</x:v>
      </x:c>
      <x:c r="D711" s="2" t="str">
        <x:v>Lagos</x:v>
      </x:c>
      <x:c r="E711" s="2" t="str">
        <x:v>Electronics</x:v>
      </x:c>
      <x:c r="F711" s="2" t="str">
        <x:v>Power bank</x:v>
      </x:c>
      <x:c r="G711" s="2" t="str">
        <x:v>Online</x:v>
      </x:c>
      <x:c r="H711" s="7" t="n">
        <x:v>4</x:v>
      </x:c>
      <x:c r="I711" s="9" t="n">
        <x:v>15000</x:v>
      </x:c>
      <x:c r="J711" s="9" t="n">
        <x:v>9500</x:v>
      </x:c>
      <x:c r="K711" s="10" t="n">
        <x:v>0.05</x:v>
      </x:c>
      <x:c r="L711" s="2" t="str">
        <x:v>Completed</x:v>
      </x:c>
      <x:c r="M711" s="12" t="n">
        <x:f>H711*I711</x:f>
        <x:v>60000</x:v>
      </x:c>
      <x:c r="N711" s="12" t="n">
        <x:f>IF(L711="Completed",ROUND(M711*(1-K711),2),0)</x:f>
        <x:v>57000</x:v>
      </x:c>
      <x:c r="O711" s="12" t="n">
        <x:f>IF(L711="Completed",H711*J711,0)</x:f>
        <x:v>38000</x:v>
      </x:c>
      <x:c r="P711" s="12" t="n">
        <x:f>N711-O711</x:f>
        <x:v>19000</x:v>
      </x:c>
    </x:row>
    <x:row r="712" ht="21" customHeight="1">
      <x:c r="A712" s="7" t="n">
        <x:v>707</x:v>
      </x:c>
      <x:c r="B712" s="2" t="str">
        <x:v>TXN-00707</x:v>
      </x:c>
      <x:c r="C712" s="8" t="d">
        <x:v>2025-07-28T00:00:00.000Z</x:v>
      </x:c>
      <x:c r="D712" s="2" t="str">
        <x:v>Lagos</x:v>
      </x:c>
      <x:c r="E712" s="2" t="str">
        <x:v>Home</x:v>
      </x:c>
      <x:c r="F712" s="2" t="str">
        <x:v>Cookware set</x:v>
      </x:c>
      <x:c r="G712" s="2" t="str">
        <x:v>Online</x:v>
      </x:c>
      <x:c r="H712" s="7" t="n">
        <x:v>2</x:v>
      </x:c>
      <x:c r="I712" s="9" t="n">
        <x:v>35000</x:v>
      </x:c>
      <x:c r="J712" s="9" t="n">
        <x:v>22500</x:v>
      </x:c>
      <x:c r="K712" s="10" t="n">
        <x:v>0</x:v>
      </x:c>
      <x:c r="L712" s="2" t="str">
        <x:v>Completed</x:v>
      </x:c>
      <x:c r="M712" s="12" t="n">
        <x:f>H712*I712</x:f>
        <x:v>70000</x:v>
      </x:c>
      <x:c r="N712" s="12" t="n">
        <x:f>IF(L712="Completed",ROUND(M712*(1-K712),2),0)</x:f>
        <x:v>70000</x:v>
      </x:c>
      <x:c r="O712" s="12" t="n">
        <x:f>IF(L712="Completed",H712*J712,0)</x:f>
        <x:v>45000</x:v>
      </x:c>
      <x:c r="P712" s="12" t="n">
        <x:f>N712-O712</x:f>
        <x:v>25000</x:v>
      </x:c>
    </x:row>
    <x:row r="713" ht="21" customHeight="1">
      <x:c r="A713" s="7" t="n">
        <x:v>708</x:v>
      </x:c>
      <x:c r="B713" s="2" t="str">
        <x:v>TXN-00708</x:v>
      </x:c>
      <x:c r="C713" s="8" t="d">
        <x:v>2025-07-14T00:00:00.000Z</x:v>
      </x:c>
      <x:c r="D713" s="2" t="str">
        <x:v>Lagos</x:v>
      </x:c>
      <x:c r="E713" s="2" t="str">
        <x:v>Home</x:v>
      </x:c>
      <x:c r="F713" s="2" t="str">
        <x:v>Desk lamp</x:v>
      </x:c>
      <x:c r="G713" s="2" t="str">
        <x:v>Online</x:v>
      </x:c>
      <x:c r="H713" s="7" t="n">
        <x:v>2</x:v>
      </x:c>
      <x:c r="I713" s="9" t="n">
        <x:v>12000</x:v>
      </x:c>
      <x:c r="J713" s="9" t="n">
        <x:v>7200</x:v>
      </x:c>
      <x:c r="K713" s="10" t="n">
        <x:v>0</x:v>
      </x:c>
      <x:c r="L713" s="2" t="str">
        <x:v>Completed</x:v>
      </x:c>
      <x:c r="M713" s="12" t="n">
        <x:f>H713*I713</x:f>
        <x:v>24000</x:v>
      </x:c>
      <x:c r="N713" s="12" t="n">
        <x:f>IF(L713="Completed",ROUND(M713*(1-K713),2),0)</x:f>
        <x:v>24000</x:v>
      </x:c>
      <x:c r="O713" s="12" t="n">
        <x:f>IF(L713="Completed",H713*J713,0)</x:f>
        <x:v>14400</x:v>
      </x:c>
      <x:c r="P713" s="12" t="n">
        <x:f>N713-O713</x:f>
        <x:v>9600</x:v>
      </x:c>
    </x:row>
    <x:row r="714" ht="21" customHeight="1">
      <x:c r="A714" s="7" t="n">
        <x:v>709</x:v>
      </x:c>
      <x:c r="B714" s="2" t="str">
        <x:v>TXN-00709</x:v>
      </x:c>
      <x:c r="C714" s="8" t="d">
        <x:v>2025-07-04T00:00:00.000Z</x:v>
      </x:c>
      <x:c r="D714" s="2" t="str">
        <x:v>Abuja</x:v>
      </x:c>
      <x:c r="E714" s="2" t="str">
        <x:v>Electronics</x:v>
      </x:c>
      <x:c r="F714" s="2" t="str">
        <x:v>Headphones</x:v>
      </x:c>
      <x:c r="G714" s="2" t="str">
        <x:v>Online</x:v>
      </x:c>
      <x:c r="H714" s="7" t="n">
        <x:v>2</x:v>
      </x:c>
      <x:c r="I714" s="9" t="n">
        <x:v>18000</x:v>
      </x:c>
      <x:c r="J714" s="9" t="n">
        <x:v>10500</x:v>
      </x:c>
      <x:c r="K714" s="10" t="n">
        <x:v>0</x:v>
      </x:c>
      <x:c r="L714" s="2" t="str">
        <x:v>Completed</x:v>
      </x:c>
      <x:c r="M714" s="12" t="n">
        <x:f>H714*I714</x:f>
        <x:v>36000</x:v>
      </x:c>
      <x:c r="N714" s="12" t="n">
        <x:f>IF(L714="Completed",ROUND(M714*(1-K714),2),0)</x:f>
        <x:v>36000</x:v>
      </x:c>
      <x:c r="O714" s="12" t="n">
        <x:f>IF(L714="Completed",H714*J714,0)</x:f>
        <x:v>21000</x:v>
      </x:c>
      <x:c r="P714" s="12" t="n">
        <x:f>N714-O714</x:f>
        <x:v>15000</x:v>
      </x:c>
    </x:row>
    <x:row r="715" ht="21" customHeight="1">
      <x:c r="A715" s="7" t="n">
        <x:v>710</x:v>
      </x:c>
      <x:c r="B715" s="2" t="str">
        <x:v>TXN-00710</x:v>
      </x:c>
      <x:c r="C715" s="8" t="d">
        <x:v>2025-07-11T00:00:00.000Z</x:v>
      </x:c>
      <x:c r="D715" s="2" t="str">
        <x:v>Abuja</x:v>
      </x:c>
      <x:c r="E715" s="2" t="str">
        <x:v>Electronics</x:v>
      </x:c>
      <x:c r="F715" s="2" t="str">
        <x:v>Bluetooth speaker</x:v>
      </x:c>
      <x:c r="G715" s="2" t="str">
        <x:v>Online</x:v>
      </x:c>
      <x:c r="H715" s="7" t="n">
        <x:v>2</x:v>
      </x:c>
      <x:c r="I715" s="9" t="n">
        <x:v>26000</x:v>
      </x:c>
      <x:c r="J715" s="9" t="n">
        <x:v>17000</x:v>
      </x:c>
      <x:c r="K715" s="10" t="n">
        <x:v>0.05</x:v>
      </x:c>
      <x:c r="L715" s="2" t="str">
        <x:v>Returned</x:v>
      </x:c>
      <x:c r="M715" s="12" t="n">
        <x:f>H715*I715</x:f>
        <x:v>52000</x:v>
      </x:c>
      <x:c r="N715" s="12" t="n">
        <x:f>IF(L715="Completed",ROUND(M715*(1-K715),2),0)</x:f>
        <x:v>0</x:v>
      </x:c>
      <x:c r="O715" s="12" t="n">
        <x:f>IF(L715="Completed",H715*J715,0)</x:f>
        <x:v>0</x:v>
      </x:c>
      <x:c r="P715" s="12" t="n">
        <x:f>N715-O715</x:f>
        <x:v>0</x:v>
      </x:c>
    </x:row>
    <x:row r="716" ht="21" customHeight="1">
      <x:c r="A716" s="7" t="n">
        <x:v>711</x:v>
      </x:c>
      <x:c r="B716" s="2" t="str">
        <x:v>TXN-00711</x:v>
      </x:c>
      <x:c r="C716" s="8" t="d">
        <x:v>2025-07-31T00:00:00.000Z</x:v>
      </x:c>
      <x:c r="D716" s="2" t="str">
        <x:v>Port Harcourt</x:v>
      </x:c>
      <x:c r="E716" s="2" t="str">
        <x:v>Home</x:v>
      </x:c>
      <x:c r="F716" s="2" t="str">
        <x:v>Desk lamp</x:v>
      </x:c>
      <x:c r="G716" s="2" t="str">
        <x:v>Online</x:v>
      </x:c>
      <x:c r="H716" s="7" t="n">
        <x:v>1</x:v>
      </x:c>
      <x:c r="I716" s="9" t="n">
        <x:v>12000</x:v>
      </x:c>
      <x:c r="J716" s="9" t="n">
        <x:v>7200</x:v>
      </x:c>
      <x:c r="K716" s="10" t="n">
        <x:v>0</x:v>
      </x:c>
      <x:c r="L716" s="2" t="str">
        <x:v>Completed</x:v>
      </x:c>
      <x:c r="M716" s="12" t="n">
        <x:f>H716*I716</x:f>
        <x:v>12000</x:v>
      </x:c>
      <x:c r="N716" s="12" t="n">
        <x:f>IF(L716="Completed",ROUND(M716*(1-K716),2),0)</x:f>
        <x:v>12000</x:v>
      </x:c>
      <x:c r="O716" s="12" t="n">
        <x:f>IF(L716="Completed",H716*J716,0)</x:f>
        <x:v>7200</x:v>
      </x:c>
      <x:c r="P716" s="12" t="n">
        <x:f>N716-O716</x:f>
        <x:v>4800</x:v>
      </x:c>
    </x:row>
    <x:row r="717" ht="21" customHeight="1">
      <x:c r="A717" s="7" t="n">
        <x:v>712</x:v>
      </x:c>
      <x:c r="B717" s="2" t="str">
        <x:v>TXN-00712</x:v>
      </x:c>
      <x:c r="C717" s="8" t="d">
        <x:v>2025-07-27T00:00:00.000Z</x:v>
      </x:c>
      <x:c r="D717" s="2" t="str">
        <x:v>Lagos</x:v>
      </x:c>
      <x:c r="E717" s="2" t="str">
        <x:v>Electronics</x:v>
      </x:c>
      <x:c r="F717" s="2" t="str">
        <x:v>Power bank</x:v>
      </x:c>
      <x:c r="G717" s="2" t="str">
        <x:v>Online</x:v>
      </x:c>
      <x:c r="H717" s="7" t="n">
        <x:v>1</x:v>
      </x:c>
      <x:c r="I717" s="9" t="n">
        <x:v>15000</x:v>
      </x:c>
      <x:c r="J717" s="9" t="n">
        <x:v>9500</x:v>
      </x:c>
      <x:c r="K717" s="10" t="n">
        <x:v>0.1</x:v>
      </x:c>
      <x:c r="L717" s="2" t="str">
        <x:v>Completed</x:v>
      </x:c>
      <x:c r="M717" s="12" t="n">
        <x:f>H717*I717</x:f>
        <x:v>15000</x:v>
      </x:c>
      <x:c r="N717" s="12" t="n">
        <x:f>IF(L717="Completed",ROUND(M717*(1-K717),2),0)</x:f>
        <x:v>13500</x:v>
      </x:c>
      <x:c r="O717" s="12" t="n">
        <x:f>IF(L717="Completed",H717*J717,0)</x:f>
        <x:v>9500</x:v>
      </x:c>
      <x:c r="P717" s="12" t="n">
        <x:f>N717-O717</x:f>
        <x:v>4000</x:v>
      </x:c>
    </x:row>
    <x:row r="718" ht="21" customHeight="1">
      <x:c r="A718" s="7" t="n">
        <x:v>713</x:v>
      </x:c>
      <x:c r="B718" s="2" t="str">
        <x:v>TXN-00713</x:v>
      </x:c>
      <x:c r="C718" s="8" t="d">
        <x:v>2025-07-02T00:00:00.000Z</x:v>
      </x:c>
      <x:c r="D718" s="2" t="str">
        <x:v>Kano</x:v>
      </x:c>
      <x:c r="E718" s="2" t="str">
        <x:v>Electronics</x:v>
      </x:c>
      <x:c r="F718" s="2" t="str">
        <x:v>Headphones</x:v>
      </x:c>
      <x:c r="G718" s="2" t="str">
        <x:v>Online</x:v>
      </x:c>
      <x:c r="H718" s="7" t="n">
        <x:v>1</x:v>
      </x:c>
      <x:c r="I718" s="9" t="n">
        <x:v>18000</x:v>
      </x:c>
      <x:c r="J718" s="9" t="n">
        <x:v>10500</x:v>
      </x:c>
      <x:c r="K718" s="10" t="n">
        <x:v>0.05</x:v>
      </x:c>
      <x:c r="L718" s="2" t="str">
        <x:v>Completed</x:v>
      </x:c>
      <x:c r="M718" s="12" t="n">
        <x:f>H718*I718</x:f>
        <x:v>18000</x:v>
      </x:c>
      <x:c r="N718" s="12" t="n">
        <x:f>IF(L718="Completed",ROUND(M718*(1-K718),2),0)</x:f>
        <x:v>17100</x:v>
      </x:c>
      <x:c r="O718" s="12" t="n">
        <x:f>IF(L718="Completed",H718*J718,0)</x:f>
        <x:v>10500</x:v>
      </x:c>
      <x:c r="P718" s="12" t="n">
        <x:f>N718-O718</x:f>
        <x:v>6600</x:v>
      </x:c>
    </x:row>
    <x:row r="719" ht="21" customHeight="1">
      <x:c r="A719" s="7" t="n">
        <x:v>714</x:v>
      </x:c>
      <x:c r="B719" s="2" t="str">
        <x:v>TXN-00714</x:v>
      </x:c>
      <x:c r="C719" s="8" t="d">
        <x:v>2025-07-16T00:00:00.000Z</x:v>
      </x:c>
      <x:c r="D719" s="2" t="str">
        <x:v>Port Harcourt</x:v>
      </x:c>
      <x:c r="E719" s="2" t="str">
        <x:v>Fashion</x:v>
      </x:c>
      <x:c r="F719" s="2" t="str">
        <x:v>Sneakers</x:v>
      </x:c>
      <x:c r="G719" s="2" t="str">
        <x:v>Online</x:v>
      </x:c>
      <x:c r="H719" s="7" t="n">
        <x:v>2</x:v>
      </x:c>
      <x:c r="I719" s="9" t="n">
        <x:v>28000</x:v>
      </x:c>
      <x:c r="J719" s="9" t="n">
        <x:v>17500</x:v>
      </x:c>
      <x:c r="K719" s="10" t="n">
        <x:v>0</x:v>
      </x:c>
      <x:c r="L719" s="2" t="str">
        <x:v>Completed</x:v>
      </x:c>
      <x:c r="M719" s="12" t="n">
        <x:f>H719*I719</x:f>
        <x:v>56000</x:v>
      </x:c>
      <x:c r="N719" s="12" t="n">
        <x:f>IF(L719="Completed",ROUND(M719*(1-K719),2),0)</x:f>
        <x:v>56000</x:v>
      </x:c>
      <x:c r="O719" s="12" t="n">
        <x:f>IF(L719="Completed",H719*J719,0)</x:f>
        <x:v>35000</x:v>
      </x:c>
      <x:c r="P719" s="12" t="n">
        <x:f>N719-O719</x:f>
        <x:v>21000</x:v>
      </x:c>
    </x:row>
    <x:row r="720" ht="21" customHeight="1">
      <x:c r="A720" s="7" t="n">
        <x:v>715</x:v>
      </x:c>
      <x:c r="B720" s="2" t="str">
        <x:v>TXN-00715</x:v>
      </x:c>
      <x:c r="C720" s="8" t="d">
        <x:v>2025-07-20T00:00:00.000Z</x:v>
      </x:c>
      <x:c r="D720" s="2" t="str">
        <x:v>Port Harcourt</x:v>
      </x:c>
      <x:c r="E720" s="2" t="str">
        <x:v>Beauty</x:v>
      </x:c>
      <x:c r="F720" s="2" t="str">
        <x:v>Perfume</x:v>
      </x:c>
      <x:c r="G720" s="2" t="str">
        <x:v>In-store</x:v>
      </x:c>
      <x:c r="H720" s="7" t="n">
        <x:v>1</x:v>
      </x:c>
      <x:c r="I720" s="9" t="n">
        <x:v>17000</x:v>
      </x:c>
      <x:c r="J720" s="9" t="n">
        <x:v>9000</x:v>
      </x:c>
      <x:c r="K720" s="10" t="n">
        <x:v>0</x:v>
      </x:c>
      <x:c r="L720" s="2" t="str">
        <x:v>Completed</x:v>
      </x:c>
      <x:c r="M720" s="12" t="n">
        <x:f>H720*I720</x:f>
        <x:v>17000</x:v>
      </x:c>
      <x:c r="N720" s="12" t="n">
        <x:f>IF(L720="Completed",ROUND(M720*(1-K720),2),0)</x:f>
        <x:v>17000</x:v>
      </x:c>
      <x:c r="O720" s="12" t="n">
        <x:f>IF(L720="Completed",H720*J720,0)</x:f>
        <x:v>9000</x:v>
      </x:c>
      <x:c r="P720" s="12" t="n">
        <x:f>N720-O720</x:f>
        <x:v>8000</x:v>
      </x:c>
    </x:row>
    <x:row r="721" ht="21" customHeight="1">
      <x:c r="A721" s="7" t="n">
        <x:v>716</x:v>
      </x:c>
      <x:c r="B721" s="2" t="str">
        <x:v>TXN-00716</x:v>
      </x:c>
      <x:c r="C721" s="8" t="d">
        <x:v>2025-07-13T00:00:00.000Z</x:v>
      </x:c>
      <x:c r="D721" s="2" t="str">
        <x:v>Lagos</x:v>
      </x:c>
      <x:c r="E721" s="2" t="str">
        <x:v>Electronics</x:v>
      </x:c>
      <x:c r="F721" s="2" t="str">
        <x:v>Headphones</x:v>
      </x:c>
      <x:c r="G721" s="2" t="str">
        <x:v>Online</x:v>
      </x:c>
      <x:c r="H721" s="7" t="n">
        <x:v>3</x:v>
      </x:c>
      <x:c r="I721" s="9" t="n">
        <x:v>18000</x:v>
      </x:c>
      <x:c r="J721" s="9" t="n">
        <x:v>10500</x:v>
      </x:c>
      <x:c r="K721" s="10" t="n">
        <x:v>0</x:v>
      </x:c>
      <x:c r="L721" s="2" t="str">
        <x:v>Returned</x:v>
      </x:c>
      <x:c r="M721" s="12" t="n">
        <x:f>H721*I721</x:f>
        <x:v>54000</x:v>
      </x:c>
      <x:c r="N721" s="12" t="n">
        <x:f>IF(L721="Completed",ROUND(M721*(1-K721),2),0)</x:f>
        <x:v>0</x:v>
      </x:c>
      <x:c r="O721" s="12" t="n">
        <x:f>IF(L721="Completed",H721*J721,0)</x:f>
        <x:v>0</x:v>
      </x:c>
      <x:c r="P721" s="12" t="n">
        <x:f>N721-O721</x:f>
        <x:v>0</x:v>
      </x:c>
    </x:row>
    <x:row r="722" ht="21" customHeight="1">
      <x:c r="A722" s="7" t="n">
        <x:v>717</x:v>
      </x:c>
      <x:c r="B722" s="2" t="str">
        <x:v>TXN-00717</x:v>
      </x:c>
      <x:c r="C722" s="8" t="d">
        <x:v>2025-07-04T00:00:00.000Z</x:v>
      </x:c>
      <x:c r="D722" s="2" t="str">
        <x:v>Lagos</x:v>
      </x:c>
      <x:c r="E722" s="2" t="str">
        <x:v>Beauty</x:v>
      </x:c>
      <x:c r="F722" s="2" t="str">
        <x:v>Body wash</x:v>
      </x:c>
      <x:c r="G722" s="2" t="str">
        <x:v>Online</x:v>
      </x:c>
      <x:c r="H722" s="7" t="n">
        <x:v>1</x:v>
      </x:c>
      <x:c r="I722" s="9" t="n">
        <x:v>4500</x:v>
      </x:c>
      <x:c r="J722" s="9" t="n">
        <x:v>2300</x:v>
      </x:c>
      <x:c r="K722" s="10" t="n">
        <x:v>0.05</x:v>
      </x:c>
      <x:c r="L722" s="2" t="str">
        <x:v>Completed</x:v>
      </x:c>
      <x:c r="M722" s="12" t="n">
        <x:f>H722*I722</x:f>
        <x:v>4500</x:v>
      </x:c>
      <x:c r="N722" s="12" t="n">
        <x:f>IF(L722="Completed",ROUND(M722*(1-K722),2),0)</x:f>
        <x:v>4275</x:v>
      </x:c>
      <x:c r="O722" s="12" t="n">
        <x:f>IF(L722="Completed",H722*J722,0)</x:f>
        <x:v>2300</x:v>
      </x:c>
      <x:c r="P722" s="12" t="n">
        <x:f>N722-O722</x:f>
        <x:v>1975</x:v>
      </x:c>
    </x:row>
    <x:row r="723" ht="21" customHeight="1">
      <x:c r="A723" s="7" t="n">
        <x:v>718</x:v>
      </x:c>
      <x:c r="B723" s="2" t="str">
        <x:v>TXN-00718</x:v>
      </x:c>
      <x:c r="C723" s="8" t="d">
        <x:v>2025-07-16T00:00:00.000Z</x:v>
      </x:c>
      <x:c r="D723" s="2" t="str">
        <x:v>Kano</x:v>
      </x:c>
      <x:c r="E723" s="2" t="str">
        <x:v>Beauty</x:v>
      </x:c>
      <x:c r="F723" s="2" t="str">
        <x:v>Perfume</x:v>
      </x:c>
      <x:c r="G723" s="2" t="str">
        <x:v>Online</x:v>
      </x:c>
      <x:c r="H723" s="7" t="n">
        <x:v>1</x:v>
      </x:c>
      <x:c r="I723" s="9" t="n">
        <x:v>17000</x:v>
      </x:c>
      <x:c r="J723" s="9" t="n">
        <x:v>9000</x:v>
      </x:c>
      <x:c r="K723" s="10" t="n">
        <x:v>0</x:v>
      </x:c>
      <x:c r="L723" s="2" t="str">
        <x:v>Completed</x:v>
      </x:c>
      <x:c r="M723" s="12" t="n">
        <x:f>H723*I723</x:f>
        <x:v>17000</x:v>
      </x:c>
      <x:c r="N723" s="12" t="n">
        <x:f>IF(L723="Completed",ROUND(M723*(1-K723),2),0)</x:f>
        <x:v>17000</x:v>
      </x:c>
      <x:c r="O723" s="12" t="n">
        <x:f>IF(L723="Completed",H723*J723,0)</x:f>
        <x:v>9000</x:v>
      </x:c>
      <x:c r="P723" s="12" t="n">
        <x:f>N723-O723</x:f>
        <x:v>8000</x:v>
      </x:c>
    </x:row>
    <x:row r="724" ht="21" customHeight="1">
      <x:c r="A724" s="7" t="n">
        <x:v>719</x:v>
      </x:c>
      <x:c r="B724" s="2" t="str">
        <x:v>TXN-00719</x:v>
      </x:c>
      <x:c r="C724" s="8" t="d">
        <x:v>2025-07-17T00:00:00.000Z</x:v>
      </x:c>
      <x:c r="D724" s="2" t="str">
        <x:v>Lagos</x:v>
      </x:c>
      <x:c r="E724" s="2" t="str">
        <x:v>Beauty</x:v>
      </x:c>
      <x:c r="F724" s="2" t="str">
        <x:v>Perfume</x:v>
      </x:c>
      <x:c r="G724" s="2" t="str">
        <x:v>Online</x:v>
      </x:c>
      <x:c r="H724" s="7" t="n">
        <x:v>2</x:v>
      </x:c>
      <x:c r="I724" s="9" t="n">
        <x:v>17000</x:v>
      </x:c>
      <x:c r="J724" s="9" t="n">
        <x:v>9000</x:v>
      </x:c>
      <x:c r="K724" s="10" t="n">
        <x:v>0.15</x:v>
      </x:c>
      <x:c r="L724" s="2" t="str">
        <x:v>Completed</x:v>
      </x:c>
      <x:c r="M724" s="12" t="n">
        <x:f>H724*I724</x:f>
        <x:v>34000</x:v>
      </x:c>
      <x:c r="N724" s="12" t="n">
        <x:f>IF(L724="Completed",ROUND(M724*(1-K724),2),0)</x:f>
        <x:v>28900</x:v>
      </x:c>
      <x:c r="O724" s="12" t="n">
        <x:f>IF(L724="Completed",H724*J724,0)</x:f>
        <x:v>18000</x:v>
      </x:c>
      <x:c r="P724" s="12" t="n">
        <x:f>N724-O724</x:f>
        <x:v>10900</x:v>
      </x:c>
    </x:row>
    <x:row r="725" ht="21" customHeight="1">
      <x:c r="A725" s="7" t="n">
        <x:v>720</x:v>
      </x:c>
      <x:c r="B725" s="2" t="str">
        <x:v>TXN-00720</x:v>
      </x:c>
      <x:c r="C725" s="8" t="d">
        <x:v>2025-07-05T00:00:00.000Z</x:v>
      </x:c>
      <x:c r="D725" s="2" t="str">
        <x:v>Port Harcourt</x:v>
      </x:c>
      <x:c r="E725" s="2" t="str">
        <x:v>Fashion</x:v>
      </x:c>
      <x:c r="F725" s="2" t="str">
        <x:v>Handbag</x:v>
      </x:c>
      <x:c r="G725" s="2" t="str">
        <x:v>In-store</x:v>
      </x:c>
      <x:c r="H725" s="7" t="n">
        <x:v>2</x:v>
      </x:c>
      <x:c r="I725" s="9" t="n">
        <x:v>22000</x:v>
      </x:c>
      <x:c r="J725" s="9" t="n">
        <x:v>13500</x:v>
      </x:c>
      <x:c r="K725" s="10" t="n">
        <x:v>0</x:v>
      </x:c>
      <x:c r="L725" s="2" t="str">
        <x:v>Completed</x:v>
      </x:c>
      <x:c r="M725" s="12" t="n">
        <x:f>H725*I725</x:f>
        <x:v>44000</x:v>
      </x:c>
      <x:c r="N725" s="12" t="n">
        <x:f>IF(L725="Completed",ROUND(M725*(1-K725),2),0)</x:f>
        <x:v>44000</x:v>
      </x:c>
      <x:c r="O725" s="12" t="n">
        <x:f>IF(L725="Completed",H725*J725,0)</x:f>
        <x:v>27000</x:v>
      </x:c>
      <x:c r="P725" s="12" t="n">
        <x:f>N725-O725</x:f>
        <x:v>17000</x:v>
      </x:c>
    </x:row>
    <x:row r="726" ht="21" customHeight="1">
      <x:c r="A726" s="7" t="n">
        <x:v>721</x:v>
      </x:c>
      <x:c r="B726" s="2" t="str">
        <x:v>TXN-00721</x:v>
      </x:c>
      <x:c r="C726" s="8" t="d">
        <x:v>2025-07-19T00:00:00.000Z</x:v>
      </x:c>
      <x:c r="D726" s="2" t="str">
        <x:v>Lagos</x:v>
      </x:c>
      <x:c r="E726" s="2" t="str">
        <x:v>Electronics</x:v>
      </x:c>
      <x:c r="F726" s="2" t="str">
        <x:v>Power bank</x:v>
      </x:c>
      <x:c r="G726" s="2" t="str">
        <x:v>In-store</x:v>
      </x:c>
      <x:c r="H726" s="7" t="n">
        <x:v>3</x:v>
      </x:c>
      <x:c r="I726" s="9" t="n">
        <x:v>15000</x:v>
      </x:c>
      <x:c r="J726" s="9" t="n">
        <x:v>9500</x:v>
      </x:c>
      <x:c r="K726" s="10" t="n">
        <x:v>0</x:v>
      </x:c>
      <x:c r="L726" s="2" t="str">
        <x:v>Completed</x:v>
      </x:c>
      <x:c r="M726" s="12" t="n">
        <x:f>H726*I726</x:f>
        <x:v>45000</x:v>
      </x:c>
      <x:c r="N726" s="12" t="n">
        <x:f>IF(L726="Completed",ROUND(M726*(1-K726),2),0)</x:f>
        <x:v>45000</x:v>
      </x:c>
      <x:c r="O726" s="12" t="n">
        <x:f>IF(L726="Completed",H726*J726,0)</x:f>
        <x:v>28500</x:v>
      </x:c>
      <x:c r="P726" s="12" t="n">
        <x:f>N726-O726</x:f>
        <x:v>16500</x:v>
      </x:c>
    </x:row>
    <x:row r="727" ht="21" customHeight="1">
      <x:c r="A727" s="7" t="n">
        <x:v>722</x:v>
      </x:c>
      <x:c r="B727" s="2" t="str">
        <x:v>TXN-00722</x:v>
      </x:c>
      <x:c r="C727" s="8" t="d">
        <x:v>2025-07-13T00:00:00.000Z</x:v>
      </x:c>
      <x:c r="D727" s="2" t="str">
        <x:v>Kano</x:v>
      </x:c>
      <x:c r="E727" s="2" t="str">
        <x:v>Electronics</x:v>
      </x:c>
      <x:c r="F727" s="2" t="str">
        <x:v>Power bank</x:v>
      </x:c>
      <x:c r="G727" s="2" t="str">
        <x:v>Online</x:v>
      </x:c>
      <x:c r="H727" s="7" t="n">
        <x:v>1</x:v>
      </x:c>
      <x:c r="I727" s="9" t="n">
        <x:v>15000</x:v>
      </x:c>
      <x:c r="J727" s="9" t="n">
        <x:v>9500</x:v>
      </x:c>
      <x:c r="K727" s="10" t="n">
        <x:v>0.1</x:v>
      </x:c>
      <x:c r="L727" s="2" t="str">
        <x:v>Completed</x:v>
      </x:c>
      <x:c r="M727" s="12" t="n">
        <x:f>H727*I727</x:f>
        <x:v>15000</x:v>
      </x:c>
      <x:c r="N727" s="12" t="n">
        <x:f>IF(L727="Completed",ROUND(M727*(1-K727),2),0)</x:f>
        <x:v>13500</x:v>
      </x:c>
      <x:c r="O727" s="12" t="n">
        <x:f>IF(L727="Completed",H727*J727,0)</x:f>
        <x:v>9500</x:v>
      </x:c>
      <x:c r="P727" s="12" t="n">
        <x:f>N727-O727</x:f>
        <x:v>4000</x:v>
      </x:c>
    </x:row>
    <x:row r="728" ht="21" customHeight="1">
      <x:c r="A728" s="7" t="n">
        <x:v>723</x:v>
      </x:c>
      <x:c r="B728" s="2" t="str">
        <x:v>TXN-00723</x:v>
      </x:c>
      <x:c r="C728" s="8" t="d">
        <x:v>2025-07-11T00:00:00.000Z</x:v>
      </x:c>
      <x:c r="D728" s="2" t="str">
        <x:v>Port Harcourt</x:v>
      </x:c>
      <x:c r="E728" s="2" t="str">
        <x:v>Home</x:v>
      </x:c>
      <x:c r="F728" s="2" t="str">
        <x:v>Cookware set</x:v>
      </x:c>
      <x:c r="G728" s="2" t="str">
        <x:v>Online</x:v>
      </x:c>
      <x:c r="H728" s="7" t="n">
        <x:v>1</x:v>
      </x:c>
      <x:c r="I728" s="9" t="n">
        <x:v>35000</x:v>
      </x:c>
      <x:c r="J728" s="9" t="n">
        <x:v>22500</x:v>
      </x:c>
      <x:c r="K728" s="10" t="n">
        <x:v>0</x:v>
      </x:c>
      <x:c r="L728" s="2" t="str">
        <x:v>Completed</x:v>
      </x:c>
      <x:c r="M728" s="12" t="n">
        <x:f>H728*I728</x:f>
        <x:v>35000</x:v>
      </x:c>
      <x:c r="N728" s="12" t="n">
        <x:f>IF(L728="Completed",ROUND(M728*(1-K728),2),0)</x:f>
        <x:v>35000</x:v>
      </x:c>
      <x:c r="O728" s="12" t="n">
        <x:f>IF(L728="Completed",H728*J728,0)</x:f>
        <x:v>22500</x:v>
      </x:c>
      <x:c r="P728" s="12" t="n">
        <x:f>N728-O728</x:f>
        <x:v>12500</x:v>
      </x:c>
    </x:row>
    <x:row r="729" ht="21" customHeight="1">
      <x:c r="A729" s="7" t="n">
        <x:v>724</x:v>
      </x:c>
      <x:c r="B729" s="2" t="str">
        <x:v>TXN-00724</x:v>
      </x:c>
      <x:c r="C729" s="8" t="d">
        <x:v>2025-07-04T00:00:00.000Z</x:v>
      </x:c>
      <x:c r="D729" s="2" t="str">
        <x:v>Abuja</x:v>
      </x:c>
      <x:c r="E729" s="2" t="str">
        <x:v>Beauty</x:v>
      </x:c>
      <x:c r="F729" s="2" t="str">
        <x:v>Body wash</x:v>
      </x:c>
      <x:c r="G729" s="2" t="str">
        <x:v>In-store</x:v>
      </x:c>
      <x:c r="H729" s="7" t="n">
        <x:v>1</x:v>
      </x:c>
      <x:c r="I729" s="9" t="n">
        <x:v>4500</x:v>
      </x:c>
      <x:c r="J729" s="9" t="n">
        <x:v>2300</x:v>
      </x:c>
      <x:c r="K729" s="10" t="n">
        <x:v>0</x:v>
      </x:c>
      <x:c r="L729" s="2" t="str">
        <x:v>Completed</x:v>
      </x:c>
      <x:c r="M729" s="12" t="n">
        <x:f>H729*I729</x:f>
        <x:v>4500</x:v>
      </x:c>
      <x:c r="N729" s="12" t="n">
        <x:f>IF(L729="Completed",ROUND(M729*(1-K729),2),0)</x:f>
        <x:v>4500</x:v>
      </x:c>
      <x:c r="O729" s="12" t="n">
        <x:f>IF(L729="Completed",H729*J729,0)</x:f>
        <x:v>2300</x:v>
      </x:c>
      <x:c r="P729" s="12" t="n">
        <x:f>N729-O729</x:f>
        <x:v>2200</x:v>
      </x:c>
    </x:row>
    <x:row r="730" ht="21" customHeight="1">
      <x:c r="A730" s="7" t="n">
        <x:v>725</x:v>
      </x:c>
      <x:c r="B730" s="2" t="str">
        <x:v>TXN-00725</x:v>
      </x:c>
      <x:c r="C730" s="8" t="d">
        <x:v>2025-07-07T00:00:00.000Z</x:v>
      </x:c>
      <x:c r="D730" s="2" t="str">
        <x:v>Port Harcourt</x:v>
      </x:c>
      <x:c r="E730" s="2" t="str">
        <x:v>Fashion</x:v>
      </x:c>
      <x:c r="F730" s="2" t="str">
        <x:v>Sneakers</x:v>
      </x:c>
      <x:c r="G730" s="2" t="str">
        <x:v>In-store</x:v>
      </x:c>
      <x:c r="H730" s="7" t="n">
        <x:v>2</x:v>
      </x:c>
      <x:c r="I730" s="9" t="n">
        <x:v>28000</x:v>
      </x:c>
      <x:c r="J730" s="9" t="n">
        <x:v>17500</x:v>
      </x:c>
      <x:c r="K730" s="10" t="n">
        <x:v>0</x:v>
      </x:c>
      <x:c r="L730" s="2" t="str">
        <x:v>Completed</x:v>
      </x:c>
      <x:c r="M730" s="12" t="n">
        <x:f>H730*I730</x:f>
        <x:v>56000</x:v>
      </x:c>
      <x:c r="N730" s="12" t="n">
        <x:f>IF(L730="Completed",ROUND(M730*(1-K730),2),0)</x:f>
        <x:v>56000</x:v>
      </x:c>
      <x:c r="O730" s="12" t="n">
        <x:f>IF(L730="Completed",H730*J730,0)</x:f>
        <x:v>35000</x:v>
      </x:c>
      <x:c r="P730" s="12" t="n">
        <x:f>N730-O730</x:f>
        <x:v>21000</x:v>
      </x:c>
    </x:row>
    <x:row r="731" ht="21" customHeight="1">
      <x:c r="A731" s="7" t="n">
        <x:v>726</x:v>
      </x:c>
      <x:c r="B731" s="2" t="str">
        <x:v>TXN-00726</x:v>
      </x:c>
      <x:c r="C731" s="8" t="d">
        <x:v>2025-07-08T00:00:00.000Z</x:v>
      </x:c>
      <x:c r="D731" s="2" t="str">
        <x:v>Abuja</x:v>
      </x:c>
      <x:c r="E731" s="2" t="str">
        <x:v>Electronics</x:v>
      </x:c>
      <x:c r="F731" s="2" t="str">
        <x:v>Power bank</x:v>
      </x:c>
      <x:c r="G731" s="2" t="str">
        <x:v>Online</x:v>
      </x:c>
      <x:c r="H731" s="7" t="n">
        <x:v>1</x:v>
      </x:c>
      <x:c r="I731" s="9" t="n">
        <x:v>15000</x:v>
      </x:c>
      <x:c r="J731" s="9" t="n">
        <x:v>9500</x:v>
      </x:c>
      <x:c r="K731" s="10" t="n">
        <x:v>0.1</x:v>
      </x:c>
      <x:c r="L731" s="2" t="str">
        <x:v>Completed</x:v>
      </x:c>
      <x:c r="M731" s="12" t="n">
        <x:f>H731*I731</x:f>
        <x:v>15000</x:v>
      </x:c>
      <x:c r="N731" s="12" t="n">
        <x:f>IF(L731="Completed",ROUND(M731*(1-K731),2),0)</x:f>
        <x:v>13500</x:v>
      </x:c>
      <x:c r="O731" s="12" t="n">
        <x:f>IF(L731="Completed",H731*J731,0)</x:f>
        <x:v>9500</x:v>
      </x:c>
      <x:c r="P731" s="12" t="n">
        <x:f>N731-O731</x:f>
        <x:v>4000</x:v>
      </x:c>
    </x:row>
    <x:row r="732" ht="21" customHeight="1">
      <x:c r="A732" s="7" t="n">
        <x:v>727</x:v>
      </x:c>
      <x:c r="B732" s="2" t="str">
        <x:v>TXN-00727</x:v>
      </x:c>
      <x:c r="C732" s="8" t="d">
        <x:v>2025-07-01T00:00:00.000Z</x:v>
      </x:c>
      <x:c r="D732" s="2" t="str">
        <x:v>Abuja</x:v>
      </x:c>
      <x:c r="E732" s="2" t="str">
        <x:v>Electronics</x:v>
      </x:c>
      <x:c r="F732" s="2" t="str">
        <x:v>Power bank</x:v>
      </x:c>
      <x:c r="G732" s="2" t="str">
        <x:v>Online</x:v>
      </x:c>
      <x:c r="H732" s="7" t="n">
        <x:v>1</x:v>
      </x:c>
      <x:c r="I732" s="9" t="n">
        <x:v>15000</x:v>
      </x:c>
      <x:c r="J732" s="9" t="n">
        <x:v>9500</x:v>
      </x:c>
      <x:c r="K732" s="10" t="n">
        <x:v>0</x:v>
      </x:c>
      <x:c r="L732" s="2" t="str">
        <x:v>Completed</x:v>
      </x:c>
      <x:c r="M732" s="12" t="n">
        <x:f>H732*I732</x:f>
        <x:v>15000</x:v>
      </x:c>
      <x:c r="N732" s="12" t="n">
        <x:f>IF(L732="Completed",ROUND(M732*(1-K732),2),0)</x:f>
        <x:v>15000</x:v>
      </x:c>
      <x:c r="O732" s="12" t="n">
        <x:f>IF(L732="Completed",H732*J732,0)</x:f>
        <x:v>9500</x:v>
      </x:c>
      <x:c r="P732" s="12" t="n">
        <x:f>N732-O732</x:f>
        <x:v>5500</x:v>
      </x:c>
    </x:row>
    <x:row r="733" ht="21" customHeight="1">
      <x:c r="A733" s="7" t="n">
        <x:v>728</x:v>
      </x:c>
      <x:c r="B733" s="2" t="str">
        <x:v>TXN-00728</x:v>
      </x:c>
      <x:c r="C733" s="8" t="d">
        <x:v>2025-07-24T00:00:00.000Z</x:v>
      </x:c>
      <x:c r="D733" s="2" t="str">
        <x:v>Kano</x:v>
      </x:c>
      <x:c r="E733" s="2" t="str">
        <x:v>Electronics</x:v>
      </x:c>
      <x:c r="F733" s="2" t="str">
        <x:v>Power bank</x:v>
      </x:c>
      <x:c r="G733" s="2" t="str">
        <x:v>Online</x:v>
      </x:c>
      <x:c r="H733" s="7" t="n">
        <x:v>2</x:v>
      </x:c>
      <x:c r="I733" s="9" t="n">
        <x:v>15000</x:v>
      </x:c>
      <x:c r="J733" s="9" t="n">
        <x:v>9500</x:v>
      </x:c>
      <x:c r="K733" s="10" t="n">
        <x:v>0</x:v>
      </x:c>
      <x:c r="L733" s="2" t="str">
        <x:v>Completed</x:v>
      </x:c>
      <x:c r="M733" s="12" t="n">
        <x:f>H733*I733</x:f>
        <x:v>30000</x:v>
      </x:c>
      <x:c r="N733" s="12" t="n">
        <x:f>IF(L733="Completed",ROUND(M733*(1-K733),2),0)</x:f>
        <x:v>30000</x:v>
      </x:c>
      <x:c r="O733" s="12" t="n">
        <x:f>IF(L733="Completed",H733*J733,0)</x:f>
        <x:v>19000</x:v>
      </x:c>
      <x:c r="P733" s="12" t="n">
        <x:f>N733-O733</x:f>
        <x:v>11000</x:v>
      </x:c>
    </x:row>
    <x:row r="734" ht="21" customHeight="1">
      <x:c r="A734" s="7" t="n">
        <x:v>729</x:v>
      </x:c>
      <x:c r="B734" s="2" t="str">
        <x:v>TXN-00729</x:v>
      </x:c>
      <x:c r="C734" s="8" t="d">
        <x:v>2025-07-19T00:00:00.000Z</x:v>
      </x:c>
      <x:c r="D734" s="2" t="str">
        <x:v>Abuja</x:v>
      </x:c>
      <x:c r="E734" s="2" t="str">
        <x:v>Beauty</x:v>
      </x:c>
      <x:c r="F734" s="2" t="str">
        <x:v>Body wash</x:v>
      </x:c>
      <x:c r="G734" s="2" t="str">
        <x:v>In-store</x:v>
      </x:c>
      <x:c r="H734" s="7" t="n">
        <x:v>1</x:v>
      </x:c>
      <x:c r="I734" s="9" t="n">
        <x:v>4500</x:v>
      </x:c>
      <x:c r="J734" s="9" t="n">
        <x:v>2300</x:v>
      </x:c>
      <x:c r="K734" s="10" t="n">
        <x:v>0.05</x:v>
      </x:c>
      <x:c r="L734" s="2" t="str">
        <x:v>Completed</x:v>
      </x:c>
      <x:c r="M734" s="12" t="n">
        <x:f>H734*I734</x:f>
        <x:v>4500</x:v>
      </x:c>
      <x:c r="N734" s="12" t="n">
        <x:f>IF(L734="Completed",ROUND(M734*(1-K734),2),0)</x:f>
        <x:v>4275</x:v>
      </x:c>
      <x:c r="O734" s="12" t="n">
        <x:f>IF(L734="Completed",H734*J734,0)</x:f>
        <x:v>2300</x:v>
      </x:c>
      <x:c r="P734" s="12" t="n">
        <x:f>N734-O734</x:f>
        <x:v>1975</x:v>
      </x:c>
    </x:row>
    <x:row r="735" ht="21" customHeight="1">
      <x:c r="A735" s="7" t="n">
        <x:v>730</x:v>
      </x:c>
      <x:c r="B735" s="2" t="str">
        <x:v>TXN-00730</x:v>
      </x:c>
      <x:c r="C735" s="8" t="d">
        <x:v>2025-07-13T00:00:00.000Z</x:v>
      </x:c>
      <x:c r="D735" s="2" t="str">
        <x:v>Abuja</x:v>
      </x:c>
      <x:c r="E735" s="2" t="str">
        <x:v>Fashion</x:v>
      </x:c>
      <x:c r="F735" s="2" t="str">
        <x:v>Sneakers</x:v>
      </x:c>
      <x:c r="G735" s="2" t="str">
        <x:v>In-store</x:v>
      </x:c>
      <x:c r="H735" s="7" t="n">
        <x:v>2</x:v>
      </x:c>
      <x:c r="I735" s="9" t="n">
        <x:v>28000</x:v>
      </x:c>
      <x:c r="J735" s="9" t="n">
        <x:v>17500</x:v>
      </x:c>
      <x:c r="K735" s="10" t="n">
        <x:v>0</x:v>
      </x:c>
      <x:c r="L735" s="2" t="str">
        <x:v>Returned</x:v>
      </x:c>
      <x:c r="M735" s="12" t="n">
        <x:f>H735*I735</x:f>
        <x:v>56000</x:v>
      </x:c>
      <x:c r="N735" s="12" t="n">
        <x:f>IF(L735="Completed",ROUND(M735*(1-K735),2),0)</x:f>
        <x:v>0</x:v>
      </x:c>
      <x:c r="O735" s="12" t="n">
        <x:f>IF(L735="Completed",H735*J735,0)</x:f>
        <x:v>0</x:v>
      </x:c>
      <x:c r="P735" s="12" t="n">
        <x:f>N735-O735</x:f>
        <x:v>0</x:v>
      </x:c>
    </x:row>
    <x:row r="736" ht="21" customHeight="1">
      <x:c r="A736" s="7" t="n">
        <x:v>731</x:v>
      </x:c>
      <x:c r="B736" s="2" t="str">
        <x:v>TXN-00731</x:v>
      </x:c>
      <x:c r="C736" s="8" t="d">
        <x:v>2025-07-13T00:00:00.000Z</x:v>
      </x:c>
      <x:c r="D736" s="2" t="str">
        <x:v>Port Harcourt</x:v>
      </x:c>
      <x:c r="E736" s="2" t="str">
        <x:v>Fashion</x:v>
      </x:c>
      <x:c r="F736" s="2" t="str">
        <x:v>T-shirt</x:v>
      </x:c>
      <x:c r="G736" s="2" t="str">
        <x:v>Online</x:v>
      </x:c>
      <x:c r="H736" s="7" t="n">
        <x:v>1</x:v>
      </x:c>
      <x:c r="I736" s="9" t="n">
        <x:v>9000</x:v>
      </x:c>
      <x:c r="J736" s="9" t="n">
        <x:v>5000</x:v>
      </x:c>
      <x:c r="K736" s="10" t="n">
        <x:v>0</x:v>
      </x:c>
      <x:c r="L736" s="2" t="str">
        <x:v>Completed</x:v>
      </x:c>
      <x:c r="M736" s="12" t="n">
        <x:f>H736*I736</x:f>
        <x:v>9000</x:v>
      </x:c>
      <x:c r="N736" s="12" t="n">
        <x:f>IF(L736="Completed",ROUND(M736*(1-K736),2),0)</x:f>
        <x:v>9000</x:v>
      </x:c>
      <x:c r="O736" s="12" t="n">
        <x:f>IF(L736="Completed",H736*J736,0)</x:f>
        <x:v>5000</x:v>
      </x:c>
      <x:c r="P736" s="12" t="n">
        <x:f>N736-O736</x:f>
        <x:v>4000</x:v>
      </x:c>
    </x:row>
    <x:row r="737" ht="21" customHeight="1">
      <x:c r="A737" s="7" t="n">
        <x:v>732</x:v>
      </x:c>
      <x:c r="B737" s="2" t="str">
        <x:v>TXN-00732</x:v>
      </x:c>
      <x:c r="C737" s="8" t="d">
        <x:v>2025-07-08T00:00:00.000Z</x:v>
      </x:c>
      <x:c r="D737" s="2" t="str">
        <x:v>Port Harcourt</x:v>
      </x:c>
      <x:c r="E737" s="2" t="str">
        <x:v>Home</x:v>
      </x:c>
      <x:c r="F737" s="2" t="str">
        <x:v>Desk lamp</x:v>
      </x:c>
      <x:c r="G737" s="2" t="str">
        <x:v>Online</x:v>
      </x:c>
      <x:c r="H737" s="7" t="n">
        <x:v>1</x:v>
      </x:c>
      <x:c r="I737" s="9" t="n">
        <x:v>12000</x:v>
      </x:c>
      <x:c r="J737" s="9" t="n">
        <x:v>7200</x:v>
      </x:c>
      <x:c r="K737" s="10" t="n">
        <x:v>0.05</x:v>
      </x:c>
      <x:c r="L737" s="2" t="str">
        <x:v>Completed</x:v>
      </x:c>
      <x:c r="M737" s="12" t="n">
        <x:f>H737*I737</x:f>
        <x:v>12000</x:v>
      </x:c>
      <x:c r="N737" s="12" t="n">
        <x:f>IF(L737="Completed",ROUND(M737*(1-K737),2),0)</x:f>
        <x:v>11400</x:v>
      </x:c>
      <x:c r="O737" s="12" t="n">
        <x:f>IF(L737="Completed",H737*J737,0)</x:f>
        <x:v>7200</x:v>
      </x:c>
      <x:c r="P737" s="12" t="n">
        <x:f>N737-O737</x:f>
        <x:v>4200</x:v>
      </x:c>
    </x:row>
    <x:row r="738" ht="21" customHeight="1">
      <x:c r="A738" s="7" t="n">
        <x:v>733</x:v>
      </x:c>
      <x:c r="B738" s="2" t="str">
        <x:v>TXN-00733</x:v>
      </x:c>
      <x:c r="C738" s="8" t="d">
        <x:v>2025-07-15T00:00:00.000Z</x:v>
      </x:c>
      <x:c r="D738" s="2" t="str">
        <x:v>Abuja</x:v>
      </x:c>
      <x:c r="E738" s="2" t="str">
        <x:v>Home</x:v>
      </x:c>
      <x:c r="F738" s="2" t="str">
        <x:v>Desk lamp</x:v>
      </x:c>
      <x:c r="G738" s="2" t="str">
        <x:v>In-store</x:v>
      </x:c>
      <x:c r="H738" s="7" t="n">
        <x:v>1</x:v>
      </x:c>
      <x:c r="I738" s="9" t="n">
        <x:v>12000</x:v>
      </x:c>
      <x:c r="J738" s="9" t="n">
        <x:v>7200</x:v>
      </x:c>
      <x:c r="K738" s="10" t="n">
        <x:v>0</x:v>
      </x:c>
      <x:c r="L738" s="2" t="str">
        <x:v>Completed</x:v>
      </x:c>
      <x:c r="M738" s="12" t="n">
        <x:f>H738*I738</x:f>
        <x:v>12000</x:v>
      </x:c>
      <x:c r="N738" s="12" t="n">
        <x:f>IF(L738="Completed",ROUND(M738*(1-K738),2),0)</x:f>
        <x:v>12000</x:v>
      </x:c>
      <x:c r="O738" s="12" t="n">
        <x:f>IF(L738="Completed",H738*J738,0)</x:f>
        <x:v>7200</x:v>
      </x:c>
      <x:c r="P738" s="12" t="n">
        <x:f>N738-O738</x:f>
        <x:v>4800</x:v>
      </x:c>
    </x:row>
    <x:row r="739" ht="21" customHeight="1">
      <x:c r="A739" s="7" t="n">
        <x:v>734</x:v>
      </x:c>
      <x:c r="B739" s="2" t="str">
        <x:v>TXN-00734</x:v>
      </x:c>
      <x:c r="C739" s="8" t="d">
        <x:v>2025-07-11T00:00:00.000Z</x:v>
      </x:c>
      <x:c r="D739" s="2" t="str">
        <x:v>Abuja</x:v>
      </x:c>
      <x:c r="E739" s="2" t="str">
        <x:v>Home</x:v>
      </x:c>
      <x:c r="F739" s="2" t="str">
        <x:v>Cookware set</x:v>
      </x:c>
      <x:c r="G739" s="2" t="str">
        <x:v>Online</x:v>
      </x:c>
      <x:c r="H739" s="7" t="n">
        <x:v>1</x:v>
      </x:c>
      <x:c r="I739" s="9" t="n">
        <x:v>35000</x:v>
      </x:c>
      <x:c r="J739" s="9" t="n">
        <x:v>22500</x:v>
      </x:c>
      <x:c r="K739" s="10" t="n">
        <x:v>0</x:v>
      </x:c>
      <x:c r="L739" s="2" t="str">
        <x:v>Completed</x:v>
      </x:c>
      <x:c r="M739" s="12" t="n">
        <x:f>H739*I739</x:f>
        <x:v>35000</x:v>
      </x:c>
      <x:c r="N739" s="12" t="n">
        <x:f>IF(L739="Completed",ROUND(M739*(1-K739),2),0)</x:f>
        <x:v>35000</x:v>
      </x:c>
      <x:c r="O739" s="12" t="n">
        <x:f>IF(L739="Completed",H739*J739,0)</x:f>
        <x:v>22500</x:v>
      </x:c>
      <x:c r="P739" s="12" t="n">
        <x:f>N739-O739</x:f>
        <x:v>12500</x:v>
      </x:c>
    </x:row>
    <x:row r="740" ht="21" customHeight="1">
      <x:c r="A740" s="7" t="n">
        <x:v>735</x:v>
      </x:c>
      <x:c r="B740" s="2" t="str">
        <x:v>TXN-00735</x:v>
      </x:c>
      <x:c r="C740" s="8" t="d">
        <x:v>2025-07-26T00:00:00.000Z</x:v>
      </x:c>
      <x:c r="D740" s="2" t="str">
        <x:v>Abuja</x:v>
      </x:c>
      <x:c r="E740" s="2" t="str">
        <x:v>Fashion</x:v>
      </x:c>
      <x:c r="F740" s="2" t="str">
        <x:v>Handbag</x:v>
      </x:c>
      <x:c r="G740" s="2" t="str">
        <x:v>Online</x:v>
      </x:c>
      <x:c r="H740" s="7" t="n">
        <x:v>1</x:v>
      </x:c>
      <x:c r="I740" s="9" t="n">
        <x:v>22000</x:v>
      </x:c>
      <x:c r="J740" s="9" t="n">
        <x:v>13500</x:v>
      </x:c>
      <x:c r="K740" s="10" t="n">
        <x:v>0.1</x:v>
      </x:c>
      <x:c r="L740" s="2" t="str">
        <x:v>Returned</x:v>
      </x:c>
      <x:c r="M740" s="12" t="n">
        <x:f>H740*I740</x:f>
        <x:v>22000</x:v>
      </x:c>
      <x:c r="N740" s="12" t="n">
        <x:f>IF(L740="Completed",ROUND(M740*(1-K740),2),0)</x:f>
        <x:v>0</x:v>
      </x:c>
      <x:c r="O740" s="12" t="n">
        <x:f>IF(L740="Completed",H740*J740,0)</x:f>
        <x:v>0</x:v>
      </x:c>
      <x:c r="P740" s="12" t="n">
        <x:f>N740-O740</x:f>
        <x:v>0</x:v>
      </x:c>
    </x:row>
    <x:row r="741" ht="21" customHeight="1">
      <x:c r="A741" s="7" t="n">
        <x:v>736</x:v>
      </x:c>
      <x:c r="B741" s="2" t="str">
        <x:v>TXN-00736</x:v>
      </x:c>
      <x:c r="C741" s="8" t="d">
        <x:v>2025-07-03T00:00:00.000Z</x:v>
      </x:c>
      <x:c r="D741" s="2" t="str">
        <x:v>Lagos</x:v>
      </x:c>
      <x:c r="E741" s="2" t="str">
        <x:v>Home</x:v>
      </x:c>
      <x:c r="F741" s="2" t="str">
        <x:v>Desk lamp</x:v>
      </x:c>
      <x:c r="G741" s="2" t="str">
        <x:v>In-store</x:v>
      </x:c>
      <x:c r="H741" s="7" t="n">
        <x:v>3</x:v>
      </x:c>
      <x:c r="I741" s="9" t="n">
        <x:v>12000</x:v>
      </x:c>
      <x:c r="J741" s="9" t="n">
        <x:v>7200</x:v>
      </x:c>
      <x:c r="K741" s="10" t="n">
        <x:v>0</x:v>
      </x:c>
      <x:c r="L741" s="2" t="str">
        <x:v>Completed</x:v>
      </x:c>
      <x:c r="M741" s="12" t="n">
        <x:f>H741*I741</x:f>
        <x:v>36000</x:v>
      </x:c>
      <x:c r="N741" s="12" t="n">
        <x:f>IF(L741="Completed",ROUND(M741*(1-K741),2),0)</x:f>
        <x:v>36000</x:v>
      </x:c>
      <x:c r="O741" s="12" t="n">
        <x:f>IF(L741="Completed",H741*J741,0)</x:f>
        <x:v>21600</x:v>
      </x:c>
      <x:c r="P741" s="12" t="n">
        <x:f>N741-O741</x:f>
        <x:v>14400</x:v>
      </x:c>
    </x:row>
    <x:row r="742" ht="21" customHeight="1">
      <x:c r="A742" s="7" t="n">
        <x:v>737</x:v>
      </x:c>
      <x:c r="B742" s="2" t="str">
        <x:v>TXN-00737</x:v>
      </x:c>
      <x:c r="C742" s="8" t="d">
        <x:v>2025-07-26T00:00:00.000Z</x:v>
      </x:c>
      <x:c r="D742" s="2" t="str">
        <x:v>Kano</x:v>
      </x:c>
      <x:c r="E742" s="2" t="str">
        <x:v>Fashion</x:v>
      </x:c>
      <x:c r="F742" s="2" t="str">
        <x:v>Sneakers</x:v>
      </x:c>
      <x:c r="G742" s="2" t="str">
        <x:v>Online</x:v>
      </x:c>
      <x:c r="H742" s="7" t="n">
        <x:v>1</x:v>
      </x:c>
      <x:c r="I742" s="9" t="n">
        <x:v>28000</x:v>
      </x:c>
      <x:c r="J742" s="9" t="n">
        <x:v>17500</x:v>
      </x:c>
      <x:c r="K742" s="10" t="n">
        <x:v>0.05</x:v>
      </x:c>
      <x:c r="L742" s="2" t="str">
        <x:v>Completed</x:v>
      </x:c>
      <x:c r="M742" s="12" t="n">
        <x:f>H742*I742</x:f>
        <x:v>28000</x:v>
      </x:c>
      <x:c r="N742" s="12" t="n">
        <x:f>IF(L742="Completed",ROUND(M742*(1-K742),2),0)</x:f>
        <x:v>26600</x:v>
      </x:c>
      <x:c r="O742" s="12" t="n">
        <x:f>IF(L742="Completed",H742*J742,0)</x:f>
        <x:v>17500</x:v>
      </x:c>
      <x:c r="P742" s="12" t="n">
        <x:f>N742-O742</x:f>
        <x:v>9100</x:v>
      </x:c>
    </x:row>
    <x:row r="743" ht="21" customHeight="1">
      <x:c r="A743" s="7" t="n">
        <x:v>738</x:v>
      </x:c>
      <x:c r="B743" s="2" t="str">
        <x:v>TXN-00738</x:v>
      </x:c>
      <x:c r="C743" s="8" t="d">
        <x:v>2025-07-15T00:00:00.000Z</x:v>
      </x:c>
      <x:c r="D743" s="2" t="str">
        <x:v>Abuja</x:v>
      </x:c>
      <x:c r="E743" s="2" t="str">
        <x:v>Home</x:v>
      </x:c>
      <x:c r="F743" s="2" t="str">
        <x:v>Desk lamp</x:v>
      </x:c>
      <x:c r="G743" s="2" t="str">
        <x:v>Online</x:v>
      </x:c>
      <x:c r="H743" s="7" t="n">
        <x:v>2</x:v>
      </x:c>
      <x:c r="I743" s="9" t="n">
        <x:v>12000</x:v>
      </x:c>
      <x:c r="J743" s="9" t="n">
        <x:v>7200</x:v>
      </x:c>
      <x:c r="K743" s="10" t="n">
        <x:v>0</x:v>
      </x:c>
      <x:c r="L743" s="2" t="str">
        <x:v>Completed</x:v>
      </x:c>
      <x:c r="M743" s="12" t="n">
        <x:f>H743*I743</x:f>
        <x:v>24000</x:v>
      </x:c>
      <x:c r="N743" s="12" t="n">
        <x:f>IF(L743="Completed",ROUND(M743*(1-K743),2),0)</x:f>
        <x:v>24000</x:v>
      </x:c>
      <x:c r="O743" s="12" t="n">
        <x:f>IF(L743="Completed",H743*J743,0)</x:f>
        <x:v>14400</x:v>
      </x:c>
      <x:c r="P743" s="12" t="n">
        <x:f>N743-O743</x:f>
        <x:v>9600</x:v>
      </x:c>
    </x:row>
    <x:row r="744" ht="21" customHeight="1">
      <x:c r="A744" s="7" t="n">
        <x:v>739</x:v>
      </x:c>
      <x:c r="B744" s="2" t="str">
        <x:v>TXN-00739</x:v>
      </x:c>
      <x:c r="C744" s="8" t="d">
        <x:v>2025-07-23T00:00:00.000Z</x:v>
      </x:c>
      <x:c r="D744" s="2" t="str">
        <x:v>Lagos</x:v>
      </x:c>
      <x:c r="E744" s="2" t="str">
        <x:v>Electronics</x:v>
      </x:c>
      <x:c r="F744" s="2" t="str">
        <x:v>Power bank</x:v>
      </x:c>
      <x:c r="G744" s="2" t="str">
        <x:v>In-store</x:v>
      </x:c>
      <x:c r="H744" s="7" t="n">
        <x:v>3</x:v>
      </x:c>
      <x:c r="I744" s="9" t="n">
        <x:v>15000</x:v>
      </x:c>
      <x:c r="J744" s="9" t="n">
        <x:v>9500</x:v>
      </x:c>
      <x:c r="K744" s="10" t="n">
        <x:v>0.05</x:v>
      </x:c>
      <x:c r="L744" s="2" t="str">
        <x:v>Completed</x:v>
      </x:c>
      <x:c r="M744" s="12" t="n">
        <x:f>H744*I744</x:f>
        <x:v>45000</x:v>
      </x:c>
      <x:c r="N744" s="12" t="n">
        <x:f>IF(L744="Completed",ROUND(M744*(1-K744),2),0)</x:f>
        <x:v>42750</x:v>
      </x:c>
      <x:c r="O744" s="12" t="n">
        <x:f>IF(L744="Completed",H744*J744,0)</x:f>
        <x:v>28500</x:v>
      </x:c>
      <x:c r="P744" s="12" t="n">
        <x:f>N744-O744</x:f>
        <x:v>14250</x:v>
      </x:c>
    </x:row>
    <x:row r="745" ht="21" customHeight="1">
      <x:c r="A745" s="7" t="n">
        <x:v>740</x:v>
      </x:c>
      <x:c r="B745" s="2" t="str">
        <x:v>TXN-00740</x:v>
      </x:c>
      <x:c r="C745" s="8" t="d">
        <x:v>2025-07-02T00:00:00.000Z</x:v>
      </x:c>
      <x:c r="D745" s="2" t="str">
        <x:v>Kano</x:v>
      </x:c>
      <x:c r="E745" s="2" t="str">
        <x:v>Home</x:v>
      </x:c>
      <x:c r="F745" s="2" t="str">
        <x:v>Bedsheet</x:v>
      </x:c>
      <x:c r="G745" s="2" t="str">
        <x:v>Online</x:v>
      </x:c>
      <x:c r="H745" s="7" t="n">
        <x:v>1</x:v>
      </x:c>
      <x:c r="I745" s="9" t="n">
        <x:v>14000</x:v>
      </x:c>
      <x:c r="J745" s="9" t="n">
        <x:v>8500</x:v>
      </x:c>
      <x:c r="K745" s="10" t="n">
        <x:v>0.1</x:v>
      </x:c>
      <x:c r="L745" s="2" t="str">
        <x:v>Completed</x:v>
      </x:c>
      <x:c r="M745" s="12" t="n">
        <x:f>H745*I745</x:f>
        <x:v>14000</x:v>
      </x:c>
      <x:c r="N745" s="12" t="n">
        <x:f>IF(L745="Completed",ROUND(M745*(1-K745),2),0)</x:f>
        <x:v>12600</x:v>
      </x:c>
      <x:c r="O745" s="12" t="n">
        <x:f>IF(L745="Completed",H745*J745,0)</x:f>
        <x:v>8500</x:v>
      </x:c>
      <x:c r="P745" s="12" t="n">
        <x:f>N745-O745</x:f>
        <x:v>4100</x:v>
      </x:c>
    </x:row>
    <x:row r="746" ht="21" customHeight="1">
      <x:c r="A746" s="7" t="n">
        <x:v>741</x:v>
      </x:c>
      <x:c r="B746" s="2" t="str">
        <x:v>TXN-00741</x:v>
      </x:c>
      <x:c r="C746" s="8" t="d">
        <x:v>2025-07-01T00:00:00.000Z</x:v>
      </x:c>
      <x:c r="D746" s="2" t="str">
        <x:v>Lagos</x:v>
      </x:c>
      <x:c r="E746" s="2" t="str">
        <x:v>Electronics</x:v>
      </x:c>
      <x:c r="F746" s="2" t="str">
        <x:v>Headphones</x:v>
      </x:c>
      <x:c r="G746" s="2" t="str">
        <x:v>In-store</x:v>
      </x:c>
      <x:c r="H746" s="7" t="n">
        <x:v>1</x:v>
      </x:c>
      <x:c r="I746" s="9" t="n">
        <x:v>18000</x:v>
      </x:c>
      <x:c r="J746" s="9" t="n">
        <x:v>10500</x:v>
      </x:c>
      <x:c r="K746" s="10" t="n">
        <x:v>0</x:v>
      </x:c>
      <x:c r="L746" s="2" t="str">
        <x:v>Completed</x:v>
      </x:c>
      <x:c r="M746" s="12" t="n">
        <x:f>H746*I746</x:f>
        <x:v>18000</x:v>
      </x:c>
      <x:c r="N746" s="12" t="n">
        <x:f>IF(L746="Completed",ROUND(M746*(1-K746),2),0)</x:f>
        <x:v>18000</x:v>
      </x:c>
      <x:c r="O746" s="12" t="n">
        <x:f>IF(L746="Completed",H746*J746,0)</x:f>
        <x:v>10500</x:v>
      </x:c>
      <x:c r="P746" s="12" t="n">
        <x:f>N746-O746</x:f>
        <x:v>7500</x:v>
      </x:c>
    </x:row>
    <x:row r="747" ht="21" customHeight="1">
      <x:c r="A747" s="7" t="n">
        <x:v>742</x:v>
      </x:c>
      <x:c r="B747" s="2" t="str">
        <x:v>TXN-00742</x:v>
      </x:c>
      <x:c r="C747" s="8" t="d">
        <x:v>2025-07-09T00:00:00.000Z</x:v>
      </x:c>
      <x:c r="D747" s="2" t="str">
        <x:v>Kano</x:v>
      </x:c>
      <x:c r="E747" s="2" t="str">
        <x:v>Beauty</x:v>
      </x:c>
      <x:c r="F747" s="2" t="str">
        <x:v>Moisturizer</x:v>
      </x:c>
      <x:c r="G747" s="2" t="str">
        <x:v>Online</x:v>
      </x:c>
      <x:c r="H747" s="7" t="n">
        <x:v>1</x:v>
      </x:c>
      <x:c r="I747" s="9" t="n">
        <x:v>6500</x:v>
      </x:c>
      <x:c r="J747" s="9" t="n">
        <x:v>3500</x:v>
      </x:c>
      <x:c r="K747" s="10" t="n">
        <x:v>0</x:v>
      </x:c>
      <x:c r="L747" s="2" t="str">
        <x:v>Completed</x:v>
      </x:c>
      <x:c r="M747" s="12" t="n">
        <x:f>H747*I747</x:f>
        <x:v>6500</x:v>
      </x:c>
      <x:c r="N747" s="12" t="n">
        <x:f>IF(L747="Completed",ROUND(M747*(1-K747),2),0)</x:f>
        <x:v>6500</x:v>
      </x:c>
      <x:c r="O747" s="12" t="n">
        <x:f>IF(L747="Completed",H747*J747,0)</x:f>
        <x:v>3500</x:v>
      </x:c>
      <x:c r="P747" s="12" t="n">
        <x:f>N747-O747</x:f>
        <x:v>3000</x:v>
      </x:c>
    </x:row>
    <x:row r="748" ht="21" customHeight="1">
      <x:c r="A748" s="7" t="n">
        <x:v>743</x:v>
      </x:c>
      <x:c r="B748" s="2" t="str">
        <x:v>TXN-00743</x:v>
      </x:c>
      <x:c r="C748" s="8" t="d">
        <x:v>2025-07-17T00:00:00.000Z</x:v>
      </x:c>
      <x:c r="D748" s="2" t="str">
        <x:v>Abuja</x:v>
      </x:c>
      <x:c r="E748" s="2" t="str">
        <x:v>Home</x:v>
      </x:c>
      <x:c r="F748" s="2" t="str">
        <x:v>Desk lamp</x:v>
      </x:c>
      <x:c r="G748" s="2" t="str">
        <x:v>Online</x:v>
      </x:c>
      <x:c r="H748" s="7" t="n">
        <x:v>4</x:v>
      </x:c>
      <x:c r="I748" s="9" t="n">
        <x:v>12000</x:v>
      </x:c>
      <x:c r="J748" s="9" t="n">
        <x:v>7200</x:v>
      </x:c>
      <x:c r="K748" s="10" t="n">
        <x:v>0</x:v>
      </x:c>
      <x:c r="L748" s="2" t="str">
        <x:v>Completed</x:v>
      </x:c>
      <x:c r="M748" s="12" t="n">
        <x:f>H748*I748</x:f>
        <x:v>48000</x:v>
      </x:c>
      <x:c r="N748" s="12" t="n">
        <x:f>IF(L748="Completed",ROUND(M748*(1-K748),2),0)</x:f>
        <x:v>48000</x:v>
      </x:c>
      <x:c r="O748" s="12" t="n">
        <x:f>IF(L748="Completed",H748*J748,0)</x:f>
        <x:v>28800</x:v>
      </x:c>
      <x:c r="P748" s="12" t="n">
        <x:f>N748-O748</x:f>
        <x:v>19200</x:v>
      </x:c>
    </x:row>
    <x:row r="749" ht="21" customHeight="1">
      <x:c r="A749" s="7" t="n">
        <x:v>744</x:v>
      </x:c>
      <x:c r="B749" s="2" t="str">
        <x:v>TXN-00744</x:v>
      </x:c>
      <x:c r="C749" s="8" t="d">
        <x:v>2025-07-24T00:00:00.000Z</x:v>
      </x:c>
      <x:c r="D749" s="2" t="str">
        <x:v>Port Harcourt</x:v>
      </x:c>
      <x:c r="E749" s="2" t="str">
        <x:v>Fashion</x:v>
      </x:c>
      <x:c r="F749" s="2" t="str">
        <x:v>T-shirt</x:v>
      </x:c>
      <x:c r="G749" s="2" t="str">
        <x:v>In-store</x:v>
      </x:c>
      <x:c r="H749" s="7" t="n">
        <x:v>1</x:v>
      </x:c>
      <x:c r="I749" s="9" t="n">
        <x:v>9000</x:v>
      </x:c>
      <x:c r="J749" s="9" t="n">
        <x:v>5000</x:v>
      </x:c>
      <x:c r="K749" s="10" t="n">
        <x:v>0</x:v>
      </x:c>
      <x:c r="L749" s="2" t="str">
        <x:v>Completed</x:v>
      </x:c>
      <x:c r="M749" s="12" t="n">
        <x:f>H749*I749</x:f>
        <x:v>9000</x:v>
      </x:c>
      <x:c r="N749" s="12" t="n">
        <x:f>IF(L749="Completed",ROUND(M749*(1-K749),2),0)</x:f>
        <x:v>9000</x:v>
      </x:c>
      <x:c r="O749" s="12" t="n">
        <x:f>IF(L749="Completed",H749*J749,0)</x:f>
        <x:v>5000</x:v>
      </x:c>
      <x:c r="P749" s="12" t="n">
        <x:f>N749-O749</x:f>
        <x:v>4000</x:v>
      </x:c>
    </x:row>
    <x:row r="750" ht="21" customHeight="1">
      <x:c r="A750" s="7" t="n">
        <x:v>745</x:v>
      </x:c>
      <x:c r="B750" s="2" t="str">
        <x:v>TXN-00745</x:v>
      </x:c>
      <x:c r="C750" s="8" t="d">
        <x:v>2025-07-09T00:00:00.000Z</x:v>
      </x:c>
      <x:c r="D750" s="2" t="str">
        <x:v>Lagos</x:v>
      </x:c>
      <x:c r="E750" s="2" t="str">
        <x:v>Beauty</x:v>
      </x:c>
      <x:c r="F750" s="2" t="str">
        <x:v>Perfume</x:v>
      </x:c>
      <x:c r="G750" s="2" t="str">
        <x:v>In-store</x:v>
      </x:c>
      <x:c r="H750" s="7" t="n">
        <x:v>1</x:v>
      </x:c>
      <x:c r="I750" s="9" t="n">
        <x:v>17000</x:v>
      </x:c>
      <x:c r="J750" s="9" t="n">
        <x:v>9000</x:v>
      </x:c>
      <x:c r="K750" s="10" t="n">
        <x:v>0</x:v>
      </x:c>
      <x:c r="L750" s="2" t="str">
        <x:v>Completed</x:v>
      </x:c>
      <x:c r="M750" s="12" t="n">
        <x:f>H750*I750</x:f>
        <x:v>17000</x:v>
      </x:c>
      <x:c r="N750" s="12" t="n">
        <x:f>IF(L750="Completed",ROUND(M750*(1-K750),2),0)</x:f>
        <x:v>17000</x:v>
      </x:c>
      <x:c r="O750" s="12" t="n">
        <x:f>IF(L750="Completed",H750*J750,0)</x:f>
        <x:v>9000</x:v>
      </x:c>
      <x:c r="P750" s="12" t="n">
        <x:f>N750-O750</x:f>
        <x:v>8000</x:v>
      </x:c>
    </x:row>
    <x:row r="751" ht="21" customHeight="1">
      <x:c r="A751" s="7" t="n">
        <x:v>746</x:v>
      </x:c>
      <x:c r="B751" s="2" t="str">
        <x:v>TXN-00746</x:v>
      </x:c>
      <x:c r="C751" s="8" t="d">
        <x:v>2025-07-09T00:00:00.000Z</x:v>
      </x:c>
      <x:c r="D751" s="2" t="str">
        <x:v>Lagos</x:v>
      </x:c>
      <x:c r="E751" s="2" t="str">
        <x:v>Electronics</x:v>
      </x:c>
      <x:c r="F751" s="2" t="str">
        <x:v>Headphones</x:v>
      </x:c>
      <x:c r="G751" s="2" t="str">
        <x:v>In-store</x:v>
      </x:c>
      <x:c r="H751" s="7" t="n">
        <x:v>1</x:v>
      </x:c>
      <x:c r="I751" s="9" t="n">
        <x:v>18000</x:v>
      </x:c>
      <x:c r="J751" s="9" t="n">
        <x:v>10500</x:v>
      </x:c>
      <x:c r="K751" s="10" t="n">
        <x:v>0.05</x:v>
      </x:c>
      <x:c r="L751" s="2" t="str">
        <x:v>Returned</x:v>
      </x:c>
      <x:c r="M751" s="12" t="n">
        <x:f>H751*I751</x:f>
        <x:v>18000</x:v>
      </x:c>
      <x:c r="N751" s="12" t="n">
        <x:f>IF(L751="Completed",ROUND(M751*(1-K751),2),0)</x:f>
        <x:v>0</x:v>
      </x:c>
      <x:c r="O751" s="12" t="n">
        <x:f>IF(L751="Completed",H751*J751,0)</x:f>
        <x:v>0</x:v>
      </x:c>
      <x:c r="P751" s="12" t="n">
        <x:f>N751-O751</x:f>
        <x:v>0</x:v>
      </x:c>
    </x:row>
    <x:row r="752" ht="21" customHeight="1">
      <x:c r="A752" s="7" t="n">
        <x:v>747</x:v>
      </x:c>
      <x:c r="B752" s="2" t="str">
        <x:v>TXN-00747</x:v>
      </x:c>
      <x:c r="C752" s="8" t="d">
        <x:v>2025-07-24T00:00:00.000Z</x:v>
      </x:c>
      <x:c r="D752" s="2" t="str">
        <x:v>Lagos</x:v>
      </x:c>
      <x:c r="E752" s="2" t="str">
        <x:v>Home</x:v>
      </x:c>
      <x:c r="F752" s="2" t="str">
        <x:v>Bedsheet</x:v>
      </x:c>
      <x:c r="G752" s="2" t="str">
        <x:v>In-store</x:v>
      </x:c>
      <x:c r="H752" s="7" t="n">
        <x:v>3</x:v>
      </x:c>
      <x:c r="I752" s="9" t="n">
        <x:v>14000</x:v>
      </x:c>
      <x:c r="J752" s="9" t="n">
        <x:v>8500</x:v>
      </x:c>
      <x:c r="K752" s="10" t="n">
        <x:v>0.1</x:v>
      </x:c>
      <x:c r="L752" s="2" t="str">
        <x:v>Completed</x:v>
      </x:c>
      <x:c r="M752" s="12" t="n">
        <x:f>H752*I752</x:f>
        <x:v>42000</x:v>
      </x:c>
      <x:c r="N752" s="12" t="n">
        <x:f>IF(L752="Completed",ROUND(M752*(1-K752),2),0)</x:f>
        <x:v>37800</x:v>
      </x:c>
      <x:c r="O752" s="12" t="n">
        <x:f>IF(L752="Completed",H752*J752,0)</x:f>
        <x:v>25500</x:v>
      </x:c>
      <x:c r="P752" s="12" t="n">
        <x:f>N752-O752</x:f>
        <x:v>12300</x:v>
      </x:c>
    </x:row>
    <x:row r="753" ht="21" customHeight="1">
      <x:c r="A753" s="7" t="n">
        <x:v>748</x:v>
      </x:c>
      <x:c r="B753" s="2" t="str">
        <x:v>TXN-00748</x:v>
      </x:c>
      <x:c r="C753" s="8" t="d">
        <x:v>2025-07-26T00:00:00.000Z</x:v>
      </x:c>
      <x:c r="D753" s="2" t="str">
        <x:v>Abuja</x:v>
      </x:c>
      <x:c r="E753" s="2" t="str">
        <x:v>Beauty</x:v>
      </x:c>
      <x:c r="F753" s="2" t="str">
        <x:v>Body wash</x:v>
      </x:c>
      <x:c r="G753" s="2" t="str">
        <x:v>In-store</x:v>
      </x:c>
      <x:c r="H753" s="7" t="n">
        <x:v>1</x:v>
      </x:c>
      <x:c r="I753" s="9" t="n">
        <x:v>4500</x:v>
      </x:c>
      <x:c r="J753" s="9" t="n">
        <x:v>2300</x:v>
      </x:c>
      <x:c r="K753" s="10" t="n">
        <x:v>0</x:v>
      </x:c>
      <x:c r="L753" s="2" t="str">
        <x:v>Completed</x:v>
      </x:c>
      <x:c r="M753" s="12" t="n">
        <x:f>H753*I753</x:f>
        <x:v>4500</x:v>
      </x:c>
      <x:c r="N753" s="12" t="n">
        <x:f>IF(L753="Completed",ROUND(M753*(1-K753),2),0)</x:f>
        <x:v>4500</x:v>
      </x:c>
      <x:c r="O753" s="12" t="n">
        <x:f>IF(L753="Completed",H753*J753,0)</x:f>
        <x:v>2300</x:v>
      </x:c>
      <x:c r="P753" s="12" t="n">
        <x:f>N753-O753</x:f>
        <x:v>2200</x:v>
      </x:c>
    </x:row>
    <x:row r="754" ht="21" customHeight="1">
      <x:c r="A754" s="7" t="n">
        <x:v>749</x:v>
      </x:c>
      <x:c r="B754" s="2" t="str">
        <x:v>TXN-00749</x:v>
      </x:c>
      <x:c r="C754" s="8" t="d">
        <x:v>2025-07-02T00:00:00.000Z</x:v>
      </x:c>
      <x:c r="D754" s="2" t="str">
        <x:v>Abuja</x:v>
      </x:c>
      <x:c r="E754" s="2" t="str">
        <x:v>Electronics</x:v>
      </x:c>
      <x:c r="F754" s="2" t="str">
        <x:v>Headphones</x:v>
      </x:c>
      <x:c r="G754" s="2" t="str">
        <x:v>In-store</x:v>
      </x:c>
      <x:c r="H754" s="7" t="n">
        <x:v>1</x:v>
      </x:c>
      <x:c r="I754" s="9" t="n">
        <x:v>18000</x:v>
      </x:c>
      <x:c r="J754" s="9" t="n">
        <x:v>10500</x:v>
      </x:c>
      <x:c r="K754" s="10" t="n">
        <x:v>0.05</x:v>
      </x:c>
      <x:c r="L754" s="2" t="str">
        <x:v>Completed</x:v>
      </x:c>
      <x:c r="M754" s="12" t="n">
        <x:f>H754*I754</x:f>
        <x:v>18000</x:v>
      </x:c>
      <x:c r="N754" s="12" t="n">
        <x:f>IF(L754="Completed",ROUND(M754*(1-K754),2),0)</x:f>
        <x:v>17100</x:v>
      </x:c>
      <x:c r="O754" s="12" t="n">
        <x:f>IF(L754="Completed",H754*J754,0)</x:f>
        <x:v>10500</x:v>
      </x:c>
      <x:c r="P754" s="12" t="n">
        <x:f>N754-O754</x:f>
        <x:v>6600</x:v>
      </x:c>
    </x:row>
    <x:row r="755" ht="21" customHeight="1">
      <x:c r="A755" s="7" t="n">
        <x:v>750</x:v>
      </x:c>
      <x:c r="B755" s="2" t="str">
        <x:v>TXN-00750</x:v>
      </x:c>
      <x:c r="C755" s="8" t="d">
        <x:v>2025-07-16T00:00:00.000Z</x:v>
      </x:c>
      <x:c r="D755" s="2" t="str">
        <x:v>Kano</x:v>
      </x:c>
      <x:c r="E755" s="2" t="str">
        <x:v>Home</x:v>
      </x:c>
      <x:c r="F755" s="2" t="str">
        <x:v>Bedsheet</x:v>
      </x:c>
      <x:c r="G755" s="2" t="str">
        <x:v>Online</x:v>
      </x:c>
      <x:c r="H755" s="7" t="n">
        <x:v>1</x:v>
      </x:c>
      <x:c r="I755" s="9" t="n">
        <x:v>14000</x:v>
      </x:c>
      <x:c r="J755" s="9" t="n">
        <x:v>8500</x:v>
      </x:c>
      <x:c r="K755" s="10" t="n">
        <x:v>0</x:v>
      </x:c>
      <x:c r="L755" s="2" t="str">
        <x:v>Completed</x:v>
      </x:c>
      <x:c r="M755" s="12" t="n">
        <x:f>H755*I755</x:f>
        <x:v>14000</x:v>
      </x:c>
      <x:c r="N755" s="12" t="n">
        <x:f>IF(L755="Completed",ROUND(M755*(1-K755),2),0)</x:f>
        <x:v>14000</x:v>
      </x:c>
      <x:c r="O755" s="12" t="n">
        <x:f>IF(L755="Completed",H755*J755,0)</x:f>
        <x:v>8500</x:v>
      </x:c>
      <x:c r="P755" s="12" t="n">
        <x:f>N755-O755</x:f>
        <x:v>5500</x:v>
      </x:c>
    </x:row>
    <x:row r="756" ht="21" customHeight="1">
      <x:c r="A756" s="7" t="n">
        <x:v>751</x:v>
      </x:c>
      <x:c r="B756" s="2" t="str">
        <x:v>TXN-00751</x:v>
      </x:c>
      <x:c r="C756" s="8" t="d">
        <x:v>2025-07-07T00:00:00.000Z</x:v>
      </x:c>
      <x:c r="D756" s="2" t="str">
        <x:v>Abuja</x:v>
      </x:c>
      <x:c r="E756" s="2" t="str">
        <x:v>Electronics</x:v>
      </x:c>
      <x:c r="F756" s="2" t="str">
        <x:v>Bluetooth speaker</x:v>
      </x:c>
      <x:c r="G756" s="2" t="str">
        <x:v>Online</x:v>
      </x:c>
      <x:c r="H756" s="7" t="n">
        <x:v>1</x:v>
      </x:c>
      <x:c r="I756" s="9" t="n">
        <x:v>26000</x:v>
      </x:c>
      <x:c r="J756" s="9" t="n">
        <x:v>17000</x:v>
      </x:c>
      <x:c r="K756" s="10" t="n">
        <x:v>0.1</x:v>
      </x:c>
      <x:c r="L756" s="2" t="str">
        <x:v>Completed</x:v>
      </x:c>
      <x:c r="M756" s="12" t="n">
        <x:f>H756*I756</x:f>
        <x:v>26000</x:v>
      </x:c>
      <x:c r="N756" s="12" t="n">
        <x:f>IF(L756="Completed",ROUND(M756*(1-K756),2),0)</x:f>
        <x:v>23400</x:v>
      </x:c>
      <x:c r="O756" s="12" t="n">
        <x:f>IF(L756="Completed",H756*J756,0)</x:f>
        <x:v>17000</x:v>
      </x:c>
      <x:c r="P756" s="12" t="n">
        <x:f>N756-O756</x:f>
        <x:v>6400</x:v>
      </x:c>
    </x:row>
    <x:row r="757" ht="21" customHeight="1">
      <x:c r="A757" s="7" t="n">
        <x:v>752</x:v>
      </x:c>
      <x:c r="B757" s="2" t="str">
        <x:v>TXN-00752</x:v>
      </x:c>
      <x:c r="C757" s="8" t="d">
        <x:v>2025-07-30T00:00:00.000Z</x:v>
      </x:c>
      <x:c r="D757" s="2" t="str">
        <x:v>Kano</x:v>
      </x:c>
      <x:c r="E757" s="2" t="str">
        <x:v>Electronics</x:v>
      </x:c>
      <x:c r="F757" s="2" t="str">
        <x:v>Power bank</x:v>
      </x:c>
      <x:c r="G757" s="2" t="str">
        <x:v>In-store</x:v>
      </x:c>
      <x:c r="H757" s="7" t="n">
        <x:v>2</x:v>
      </x:c>
      <x:c r="I757" s="9" t="n">
        <x:v>15000</x:v>
      </x:c>
      <x:c r="J757" s="9" t="n">
        <x:v>9500</x:v>
      </x:c>
      <x:c r="K757" s="10" t="n">
        <x:v>0</x:v>
      </x:c>
      <x:c r="L757" s="2" t="str">
        <x:v>Completed</x:v>
      </x:c>
      <x:c r="M757" s="12" t="n">
        <x:f>H757*I757</x:f>
        <x:v>30000</x:v>
      </x:c>
      <x:c r="N757" s="12" t="n">
        <x:f>IF(L757="Completed",ROUND(M757*(1-K757),2),0)</x:f>
        <x:v>30000</x:v>
      </x:c>
      <x:c r="O757" s="12" t="n">
        <x:f>IF(L757="Completed",H757*J757,0)</x:f>
        <x:v>19000</x:v>
      </x:c>
      <x:c r="P757" s="12" t="n">
        <x:f>N757-O757</x:f>
        <x:v>11000</x:v>
      </x:c>
    </x:row>
    <x:row r="758" ht="21" customHeight="1">
      <x:c r="A758" s="7" t="n">
        <x:v>753</x:v>
      </x:c>
      <x:c r="B758" s="2" t="str">
        <x:v>TXN-00753</x:v>
      </x:c>
      <x:c r="C758" s="8" t="d">
        <x:v>2025-07-25T00:00:00.000Z</x:v>
      </x:c>
      <x:c r="D758" s="2" t="str">
        <x:v>Lagos</x:v>
      </x:c>
      <x:c r="E758" s="2" t="str">
        <x:v>Fashion</x:v>
      </x:c>
      <x:c r="F758" s="2" t="str">
        <x:v>Handbag</x:v>
      </x:c>
      <x:c r="G758" s="2" t="str">
        <x:v>In-store</x:v>
      </x:c>
      <x:c r="H758" s="7" t="n">
        <x:v>2</x:v>
      </x:c>
      <x:c r="I758" s="9" t="n">
        <x:v>22000</x:v>
      </x:c>
      <x:c r="J758" s="9" t="n">
        <x:v>13500</x:v>
      </x:c>
      <x:c r="K758" s="10" t="n">
        <x:v>0.05</x:v>
      </x:c>
      <x:c r="L758" s="2" t="str">
        <x:v>Completed</x:v>
      </x:c>
      <x:c r="M758" s="12" t="n">
        <x:f>H758*I758</x:f>
        <x:v>44000</x:v>
      </x:c>
      <x:c r="N758" s="12" t="n">
        <x:f>IF(L758="Completed",ROUND(M758*(1-K758),2),0)</x:f>
        <x:v>41800</x:v>
      </x:c>
      <x:c r="O758" s="12" t="n">
        <x:f>IF(L758="Completed",H758*J758,0)</x:f>
        <x:v>27000</x:v>
      </x:c>
      <x:c r="P758" s="12" t="n">
        <x:f>N758-O758</x:f>
        <x:v>14800</x:v>
      </x:c>
    </x:row>
    <x:row r="759" ht="21" customHeight="1">
      <x:c r="A759" s="7" t="n">
        <x:v>754</x:v>
      </x:c>
      <x:c r="B759" s="2" t="str">
        <x:v>TXN-00754</x:v>
      </x:c>
      <x:c r="C759" s="8" t="d">
        <x:v>2025-07-09T00:00:00.000Z</x:v>
      </x:c>
      <x:c r="D759" s="2" t="str">
        <x:v>Lagos</x:v>
      </x:c>
      <x:c r="E759" s="2" t="str">
        <x:v>Beauty</x:v>
      </x:c>
      <x:c r="F759" s="2" t="str">
        <x:v>Perfume</x:v>
      </x:c>
      <x:c r="G759" s="2" t="str">
        <x:v>In-store</x:v>
      </x:c>
      <x:c r="H759" s="7" t="n">
        <x:v>1</x:v>
      </x:c>
      <x:c r="I759" s="9" t="n">
        <x:v>17000</x:v>
      </x:c>
      <x:c r="J759" s="9" t="n">
        <x:v>9000</x:v>
      </x:c>
      <x:c r="K759" s="10" t="n">
        <x:v>0.05</x:v>
      </x:c>
      <x:c r="L759" s="2" t="str">
        <x:v>Completed</x:v>
      </x:c>
      <x:c r="M759" s="12" t="n">
        <x:f>H759*I759</x:f>
        <x:v>17000</x:v>
      </x:c>
      <x:c r="N759" s="12" t="n">
        <x:f>IF(L759="Completed",ROUND(M759*(1-K759),2),0)</x:f>
        <x:v>16150</x:v>
      </x:c>
      <x:c r="O759" s="12" t="n">
        <x:f>IF(L759="Completed",H759*J759,0)</x:f>
        <x:v>9000</x:v>
      </x:c>
      <x:c r="P759" s="12" t="n">
        <x:f>N759-O759</x:f>
        <x:v>7150</x:v>
      </x:c>
    </x:row>
    <x:row r="760" ht="21" customHeight="1">
      <x:c r="A760" s="7" t="n">
        <x:v>755</x:v>
      </x:c>
      <x:c r="B760" s="2" t="str">
        <x:v>TXN-00755</x:v>
      </x:c>
      <x:c r="C760" s="8" t="d">
        <x:v>2025-07-09T00:00:00.000Z</x:v>
      </x:c>
      <x:c r="D760" s="2" t="str">
        <x:v>Lagos</x:v>
      </x:c>
      <x:c r="E760" s="2" t="str">
        <x:v>Fashion</x:v>
      </x:c>
      <x:c r="F760" s="2" t="str">
        <x:v>Sneakers</x:v>
      </x:c>
      <x:c r="G760" s="2" t="str">
        <x:v>Online</x:v>
      </x:c>
      <x:c r="H760" s="7" t="n">
        <x:v>1</x:v>
      </x:c>
      <x:c r="I760" s="9" t="n">
        <x:v>28000</x:v>
      </x:c>
      <x:c r="J760" s="9" t="n">
        <x:v>17500</x:v>
      </x:c>
      <x:c r="K760" s="10" t="n">
        <x:v>0.1</x:v>
      </x:c>
      <x:c r="L760" s="2" t="str">
        <x:v>Completed</x:v>
      </x:c>
      <x:c r="M760" s="12" t="n">
        <x:f>H760*I760</x:f>
        <x:v>28000</x:v>
      </x:c>
      <x:c r="N760" s="12" t="n">
        <x:f>IF(L760="Completed",ROUND(M760*(1-K760),2),0)</x:f>
        <x:v>25200</x:v>
      </x:c>
      <x:c r="O760" s="12" t="n">
        <x:f>IF(L760="Completed",H760*J760,0)</x:f>
        <x:v>17500</x:v>
      </x:c>
      <x:c r="P760" s="12" t="n">
        <x:f>N760-O760</x:f>
        <x:v>7700</x:v>
      </x:c>
    </x:row>
    <x:row r="761" ht="21" customHeight="1">
      <x:c r="A761" s="7" t="n">
        <x:v>756</x:v>
      </x:c>
      <x:c r="B761" s="2" t="str">
        <x:v>TXN-00756</x:v>
      </x:c>
      <x:c r="C761" s="8" t="d">
        <x:v>2025-07-16T00:00:00.000Z</x:v>
      </x:c>
      <x:c r="D761" s="2" t="str">
        <x:v>Lagos</x:v>
      </x:c>
      <x:c r="E761" s="2" t="str">
        <x:v>Beauty</x:v>
      </x:c>
      <x:c r="F761" s="2" t="str">
        <x:v>Body wash</x:v>
      </x:c>
      <x:c r="G761" s="2" t="str">
        <x:v>In-store</x:v>
      </x:c>
      <x:c r="H761" s="7" t="n">
        <x:v>2</x:v>
      </x:c>
      <x:c r="I761" s="9" t="n">
        <x:v>4500</x:v>
      </x:c>
      <x:c r="J761" s="9" t="n">
        <x:v>2300</x:v>
      </x:c>
      <x:c r="K761" s="10" t="n">
        <x:v>0.1</x:v>
      </x:c>
      <x:c r="L761" s="2" t="str">
        <x:v>Completed</x:v>
      </x:c>
      <x:c r="M761" s="12" t="n">
        <x:f>H761*I761</x:f>
        <x:v>9000</x:v>
      </x:c>
      <x:c r="N761" s="12" t="n">
        <x:f>IF(L761="Completed",ROUND(M761*(1-K761),2),0)</x:f>
        <x:v>8100</x:v>
      </x:c>
      <x:c r="O761" s="12" t="n">
        <x:f>IF(L761="Completed",H761*J761,0)</x:f>
        <x:v>4600</x:v>
      </x:c>
      <x:c r="P761" s="12" t="n">
        <x:f>N761-O761</x:f>
        <x:v>3500</x:v>
      </x:c>
    </x:row>
    <x:row r="762" ht="21" customHeight="1">
      <x:c r="A762" s="7" t="n">
        <x:v>757</x:v>
      </x:c>
      <x:c r="B762" s="2" t="str">
        <x:v>TXN-00757</x:v>
      </x:c>
      <x:c r="C762" s="8" t="d">
        <x:v>2025-07-20T00:00:00.000Z</x:v>
      </x:c>
      <x:c r="D762" s="2" t="str">
        <x:v>Abuja</x:v>
      </x:c>
      <x:c r="E762" s="2" t="str">
        <x:v>Home</x:v>
      </x:c>
      <x:c r="F762" s="2" t="str">
        <x:v>Cookware set</x:v>
      </x:c>
      <x:c r="G762" s="2" t="str">
        <x:v>In-store</x:v>
      </x:c>
      <x:c r="H762" s="7" t="n">
        <x:v>1</x:v>
      </x:c>
      <x:c r="I762" s="9" t="n">
        <x:v>35000</x:v>
      </x:c>
      <x:c r="J762" s="9" t="n">
        <x:v>22500</x:v>
      </x:c>
      <x:c r="K762" s="10" t="n">
        <x:v>0</x:v>
      </x:c>
      <x:c r="L762" s="2" t="str">
        <x:v>Completed</x:v>
      </x:c>
      <x:c r="M762" s="12" t="n">
        <x:f>H762*I762</x:f>
        <x:v>35000</x:v>
      </x:c>
      <x:c r="N762" s="12" t="n">
        <x:f>IF(L762="Completed",ROUND(M762*(1-K762),2),0)</x:f>
        <x:v>35000</x:v>
      </x:c>
      <x:c r="O762" s="12" t="n">
        <x:f>IF(L762="Completed",H762*J762,0)</x:f>
        <x:v>22500</x:v>
      </x:c>
      <x:c r="P762" s="12" t="n">
        <x:f>N762-O762</x:f>
        <x:v>12500</x:v>
      </x:c>
    </x:row>
    <x:row r="763" ht="21" customHeight="1">
      <x:c r="A763" s="7" t="n">
        <x:v>758</x:v>
      </x:c>
      <x:c r="B763" s="2" t="str">
        <x:v>TXN-00758</x:v>
      </x:c>
      <x:c r="C763" s="8" t="d">
        <x:v>2025-07-15T00:00:00.000Z</x:v>
      </x:c>
      <x:c r="D763" s="2" t="str">
        <x:v>Lagos</x:v>
      </x:c>
      <x:c r="E763" s="2" t="str">
        <x:v>Electronics</x:v>
      </x:c>
      <x:c r="F763" s="2" t="str">
        <x:v>Bluetooth speaker</x:v>
      </x:c>
      <x:c r="G763" s="2" t="str">
        <x:v>In-store</x:v>
      </x:c>
      <x:c r="H763" s="7" t="n">
        <x:v>1</x:v>
      </x:c>
      <x:c r="I763" s="9" t="n">
        <x:v>26000</x:v>
      </x:c>
      <x:c r="J763" s="9" t="n">
        <x:v>17000</x:v>
      </x:c>
      <x:c r="K763" s="10" t="n">
        <x:v>0.1</x:v>
      </x:c>
      <x:c r="L763" s="2" t="str">
        <x:v>Completed</x:v>
      </x:c>
      <x:c r="M763" s="12" t="n">
        <x:f>H763*I763</x:f>
        <x:v>26000</x:v>
      </x:c>
      <x:c r="N763" s="12" t="n">
        <x:f>IF(L763="Completed",ROUND(M763*(1-K763),2),0)</x:f>
        <x:v>23400</x:v>
      </x:c>
      <x:c r="O763" s="12" t="n">
        <x:f>IF(L763="Completed",H763*J763,0)</x:f>
        <x:v>17000</x:v>
      </x:c>
      <x:c r="P763" s="12" t="n">
        <x:f>N763-O763</x:f>
        <x:v>6400</x:v>
      </x:c>
    </x:row>
    <x:row r="764" ht="21" customHeight="1">
      <x:c r="A764" s="7" t="n">
        <x:v>759</x:v>
      </x:c>
      <x:c r="B764" s="2" t="str">
        <x:v>TXN-00759</x:v>
      </x:c>
      <x:c r="C764" s="8" t="d">
        <x:v>2025-07-13T00:00:00.000Z</x:v>
      </x:c>
      <x:c r="D764" s="2" t="str">
        <x:v>Port Harcourt</x:v>
      </x:c>
      <x:c r="E764" s="2" t="str">
        <x:v>Fashion</x:v>
      </x:c>
      <x:c r="F764" s="2" t="str">
        <x:v>Handbag</x:v>
      </x:c>
      <x:c r="G764" s="2" t="str">
        <x:v>Online</x:v>
      </x:c>
      <x:c r="H764" s="7" t="n">
        <x:v>1</x:v>
      </x:c>
      <x:c r="I764" s="9" t="n">
        <x:v>22000</x:v>
      </x:c>
      <x:c r="J764" s="9" t="n">
        <x:v>13500</x:v>
      </x:c>
      <x:c r="K764" s="10" t="n">
        <x:v>0.05</x:v>
      </x:c>
      <x:c r="L764" s="2" t="str">
        <x:v>Returned</x:v>
      </x:c>
      <x:c r="M764" s="12" t="n">
        <x:f>H764*I764</x:f>
        <x:v>22000</x:v>
      </x:c>
      <x:c r="N764" s="12" t="n">
        <x:f>IF(L764="Completed",ROUND(M764*(1-K764),2),0)</x:f>
        <x:v>0</x:v>
      </x:c>
      <x:c r="O764" s="12" t="n">
        <x:f>IF(L764="Completed",H764*J764,0)</x:f>
        <x:v>0</x:v>
      </x:c>
      <x:c r="P764" s="12" t="n">
        <x:f>N764-O764</x:f>
        <x:v>0</x:v>
      </x:c>
    </x:row>
    <x:row r="765" ht="21" customHeight="1">
      <x:c r="A765" s="7" t="n">
        <x:v>760</x:v>
      </x:c>
      <x:c r="B765" s="2" t="str">
        <x:v>TXN-00760</x:v>
      </x:c>
      <x:c r="C765" s="8" t="d">
        <x:v>2025-07-07T00:00:00.000Z</x:v>
      </x:c>
      <x:c r="D765" s="2" t="str">
        <x:v>Kano</x:v>
      </x:c>
      <x:c r="E765" s="2" t="str">
        <x:v>Home</x:v>
      </x:c>
      <x:c r="F765" s="2" t="str">
        <x:v>Desk lamp</x:v>
      </x:c>
      <x:c r="G765" s="2" t="str">
        <x:v>Online</x:v>
      </x:c>
      <x:c r="H765" s="7" t="n">
        <x:v>1</x:v>
      </x:c>
      <x:c r="I765" s="9" t="n">
        <x:v>12000</x:v>
      </x:c>
      <x:c r="J765" s="9" t="n">
        <x:v>7200</x:v>
      </x:c>
      <x:c r="K765" s="10" t="n">
        <x:v>0.1</x:v>
      </x:c>
      <x:c r="L765" s="2" t="str">
        <x:v>Completed</x:v>
      </x:c>
      <x:c r="M765" s="12" t="n">
        <x:f>H765*I765</x:f>
        <x:v>12000</x:v>
      </x:c>
      <x:c r="N765" s="12" t="n">
        <x:f>IF(L765="Completed",ROUND(M765*(1-K765),2),0)</x:f>
        <x:v>10800</x:v>
      </x:c>
      <x:c r="O765" s="12" t="n">
        <x:f>IF(L765="Completed",H765*J765,0)</x:f>
        <x:v>7200</x:v>
      </x:c>
      <x:c r="P765" s="12" t="n">
        <x:f>N765-O765</x:f>
        <x:v>3600</x:v>
      </x:c>
    </x:row>
    <x:row r="766" ht="21" customHeight="1">
      <x:c r="A766" s="7" t="n">
        <x:v>761</x:v>
      </x:c>
      <x:c r="B766" s="2" t="str">
        <x:v>TXN-00761</x:v>
      </x:c>
      <x:c r="C766" s="8" t="d">
        <x:v>2025-07-19T00:00:00.000Z</x:v>
      </x:c>
      <x:c r="D766" s="2" t="str">
        <x:v>Abuja</x:v>
      </x:c>
      <x:c r="E766" s="2" t="str">
        <x:v>Electronics</x:v>
      </x:c>
      <x:c r="F766" s="2" t="str">
        <x:v>Bluetooth speaker</x:v>
      </x:c>
      <x:c r="G766" s="2" t="str">
        <x:v>Online</x:v>
      </x:c>
      <x:c r="H766" s="7" t="n">
        <x:v>1</x:v>
      </x:c>
      <x:c r="I766" s="9" t="n">
        <x:v>26000</x:v>
      </x:c>
      <x:c r="J766" s="9" t="n">
        <x:v>17000</x:v>
      </x:c>
      <x:c r="K766" s="10" t="n">
        <x:v>0</x:v>
      </x:c>
      <x:c r="L766" s="2" t="str">
        <x:v>Completed</x:v>
      </x:c>
      <x:c r="M766" s="12" t="n">
        <x:f>H766*I766</x:f>
        <x:v>26000</x:v>
      </x:c>
      <x:c r="N766" s="12" t="n">
        <x:f>IF(L766="Completed",ROUND(M766*(1-K766),2),0)</x:f>
        <x:v>26000</x:v>
      </x:c>
      <x:c r="O766" s="12" t="n">
        <x:f>IF(L766="Completed",H766*J766,0)</x:f>
        <x:v>17000</x:v>
      </x:c>
      <x:c r="P766" s="12" t="n">
        <x:f>N766-O766</x:f>
        <x:v>9000</x:v>
      </x:c>
    </x:row>
    <x:row r="767" ht="21" customHeight="1">
      <x:c r="A767" s="7" t="n">
        <x:v>762</x:v>
      </x:c>
      <x:c r="B767" s="2" t="str">
        <x:v>TXN-00762</x:v>
      </x:c>
      <x:c r="C767" s="8" t="d">
        <x:v>2025-07-12T00:00:00.000Z</x:v>
      </x:c>
      <x:c r="D767" s="2" t="str">
        <x:v>Port Harcourt</x:v>
      </x:c>
      <x:c r="E767" s="2" t="str">
        <x:v>Electronics</x:v>
      </x:c>
      <x:c r="F767" s="2" t="str">
        <x:v>Headphones</x:v>
      </x:c>
      <x:c r="G767" s="2" t="str">
        <x:v>Online</x:v>
      </x:c>
      <x:c r="H767" s="7" t="n">
        <x:v>1</x:v>
      </x:c>
      <x:c r="I767" s="9" t="n">
        <x:v>18000</x:v>
      </x:c>
      <x:c r="J767" s="9" t="n">
        <x:v>10500</x:v>
      </x:c>
      <x:c r="K767" s="10" t="n">
        <x:v>0.05</x:v>
      </x:c>
      <x:c r="L767" s="2" t="str">
        <x:v>Completed</x:v>
      </x:c>
      <x:c r="M767" s="12" t="n">
        <x:f>H767*I767</x:f>
        <x:v>18000</x:v>
      </x:c>
      <x:c r="N767" s="12" t="n">
        <x:f>IF(L767="Completed",ROUND(M767*(1-K767),2),0)</x:f>
        <x:v>17100</x:v>
      </x:c>
      <x:c r="O767" s="12" t="n">
        <x:f>IF(L767="Completed",H767*J767,0)</x:f>
        <x:v>10500</x:v>
      </x:c>
      <x:c r="P767" s="12" t="n">
        <x:f>N767-O767</x:f>
        <x:v>6600</x:v>
      </x:c>
    </x:row>
    <x:row r="768" ht="21" customHeight="1">
      <x:c r="A768" s="7" t="n">
        <x:v>763</x:v>
      </x:c>
      <x:c r="B768" s="2" t="str">
        <x:v>TXN-00763</x:v>
      </x:c>
      <x:c r="C768" s="8" t="d">
        <x:v>2025-07-04T00:00:00.000Z</x:v>
      </x:c>
      <x:c r="D768" s="2" t="str">
        <x:v>Lagos</x:v>
      </x:c>
      <x:c r="E768" s="2" t="str">
        <x:v>Fashion</x:v>
      </x:c>
      <x:c r="F768" s="2" t="str">
        <x:v>T-shirt</x:v>
      </x:c>
      <x:c r="G768" s="2" t="str">
        <x:v>In-store</x:v>
      </x:c>
      <x:c r="H768" s="7" t="n">
        <x:v>1</x:v>
      </x:c>
      <x:c r="I768" s="9" t="n">
        <x:v>9000</x:v>
      </x:c>
      <x:c r="J768" s="9" t="n">
        <x:v>5000</x:v>
      </x:c>
      <x:c r="K768" s="10" t="n">
        <x:v>0</x:v>
      </x:c>
      <x:c r="L768" s="2" t="str">
        <x:v>Returned</x:v>
      </x:c>
      <x:c r="M768" s="12" t="n">
        <x:f>H768*I768</x:f>
        <x:v>9000</x:v>
      </x:c>
      <x:c r="N768" s="12" t="n">
        <x:f>IF(L768="Completed",ROUND(M768*(1-K768),2),0)</x:f>
        <x:v>0</x:v>
      </x:c>
      <x:c r="O768" s="12" t="n">
        <x:f>IF(L768="Completed",H768*J768,0)</x:f>
        <x:v>0</x:v>
      </x:c>
      <x:c r="P768" s="12" t="n">
        <x:f>N768-O768</x:f>
        <x:v>0</x:v>
      </x:c>
    </x:row>
    <x:row r="769" ht="21" customHeight="1">
      <x:c r="A769" s="7" t="n">
        <x:v>764</x:v>
      </x:c>
      <x:c r="B769" s="2" t="str">
        <x:v>TXN-00764</x:v>
      </x:c>
      <x:c r="C769" s="8" t="d">
        <x:v>2025-07-06T00:00:00.000Z</x:v>
      </x:c>
      <x:c r="D769" s="2" t="str">
        <x:v>Lagos</x:v>
      </x:c>
      <x:c r="E769" s="2" t="str">
        <x:v>Home</x:v>
      </x:c>
      <x:c r="F769" s="2" t="str">
        <x:v>Cookware set</x:v>
      </x:c>
      <x:c r="G769" s="2" t="str">
        <x:v>Online</x:v>
      </x:c>
      <x:c r="H769" s="7" t="n">
        <x:v>1</x:v>
      </x:c>
      <x:c r="I769" s="9" t="n">
        <x:v>35000</x:v>
      </x:c>
      <x:c r="J769" s="9" t="n">
        <x:v>22500</x:v>
      </x:c>
      <x:c r="K769" s="10" t="n">
        <x:v>0.05</x:v>
      </x:c>
      <x:c r="L769" s="2" t="str">
        <x:v>Completed</x:v>
      </x:c>
      <x:c r="M769" s="12" t="n">
        <x:f>H769*I769</x:f>
        <x:v>35000</x:v>
      </x:c>
      <x:c r="N769" s="12" t="n">
        <x:f>IF(L769="Completed",ROUND(M769*(1-K769),2),0)</x:f>
        <x:v>33250</x:v>
      </x:c>
      <x:c r="O769" s="12" t="n">
        <x:f>IF(L769="Completed",H769*J769,0)</x:f>
        <x:v>22500</x:v>
      </x:c>
      <x:c r="P769" s="12" t="n">
        <x:f>N769-O769</x:f>
        <x:v>10750</x:v>
      </x:c>
    </x:row>
    <x:row r="770" ht="21" customHeight="1">
      <x:c r="A770" s="7" t="n">
        <x:v>765</x:v>
      </x:c>
      <x:c r="B770" s="2" t="str">
        <x:v>TXN-00765</x:v>
      </x:c>
      <x:c r="C770" s="8" t="d">
        <x:v>2025-07-28T00:00:00.000Z</x:v>
      </x:c>
      <x:c r="D770" s="2" t="str">
        <x:v>Lagos</x:v>
      </x:c>
      <x:c r="E770" s="2" t="str">
        <x:v>Electronics</x:v>
      </x:c>
      <x:c r="F770" s="2" t="str">
        <x:v>Power bank</x:v>
      </x:c>
      <x:c r="G770" s="2" t="str">
        <x:v>Online</x:v>
      </x:c>
      <x:c r="H770" s="7" t="n">
        <x:v>1</x:v>
      </x:c>
      <x:c r="I770" s="9" t="n">
        <x:v>15000</x:v>
      </x:c>
      <x:c r="J770" s="9" t="n">
        <x:v>9500</x:v>
      </x:c>
      <x:c r="K770" s="10" t="n">
        <x:v>0</x:v>
      </x:c>
      <x:c r="L770" s="2" t="str">
        <x:v>Completed</x:v>
      </x:c>
      <x:c r="M770" s="12" t="n">
        <x:f>H770*I770</x:f>
        <x:v>15000</x:v>
      </x:c>
      <x:c r="N770" s="12" t="n">
        <x:f>IF(L770="Completed",ROUND(M770*(1-K770),2),0)</x:f>
        <x:v>15000</x:v>
      </x:c>
      <x:c r="O770" s="12" t="n">
        <x:f>IF(L770="Completed",H770*J770,0)</x:f>
        <x:v>9500</x:v>
      </x:c>
      <x:c r="P770" s="12" t="n">
        <x:f>N770-O770</x:f>
        <x:v>5500</x:v>
      </x:c>
    </x:row>
    <x:row r="771" ht="21" customHeight="1">
      <x:c r="A771" s="7" t="n">
        <x:v>766</x:v>
      </x:c>
      <x:c r="B771" s="2" t="str">
        <x:v>TXN-00766</x:v>
      </x:c>
      <x:c r="C771" s="8" t="d">
        <x:v>2025-07-26T00:00:00.000Z</x:v>
      </x:c>
      <x:c r="D771" s="2" t="str">
        <x:v>Lagos</x:v>
      </x:c>
      <x:c r="E771" s="2" t="str">
        <x:v>Electronics</x:v>
      </x:c>
      <x:c r="F771" s="2" t="str">
        <x:v>Power bank</x:v>
      </x:c>
      <x:c r="G771" s="2" t="str">
        <x:v>Online</x:v>
      </x:c>
      <x:c r="H771" s="7" t="n">
        <x:v>2</x:v>
      </x:c>
      <x:c r="I771" s="9" t="n">
        <x:v>15000</x:v>
      </x:c>
      <x:c r="J771" s="9" t="n">
        <x:v>9500</x:v>
      </x:c>
      <x:c r="K771" s="10" t="n">
        <x:v>0</x:v>
      </x:c>
      <x:c r="L771" s="2" t="str">
        <x:v>Completed</x:v>
      </x:c>
      <x:c r="M771" s="12" t="n">
        <x:f>H771*I771</x:f>
        <x:v>30000</x:v>
      </x:c>
      <x:c r="N771" s="12" t="n">
        <x:f>IF(L771="Completed",ROUND(M771*(1-K771),2),0)</x:f>
        <x:v>30000</x:v>
      </x:c>
      <x:c r="O771" s="12" t="n">
        <x:f>IF(L771="Completed",H771*J771,0)</x:f>
        <x:v>19000</x:v>
      </x:c>
      <x:c r="P771" s="12" t="n">
        <x:f>N771-O771</x:f>
        <x:v>11000</x:v>
      </x:c>
    </x:row>
    <x:row r="772" ht="21" customHeight="1">
      <x:c r="A772" s="7" t="n">
        <x:v>767</x:v>
      </x:c>
      <x:c r="B772" s="2" t="str">
        <x:v>TXN-00767</x:v>
      </x:c>
      <x:c r="C772" s="8" t="d">
        <x:v>2025-07-11T00:00:00.000Z</x:v>
      </x:c>
      <x:c r="D772" s="2" t="str">
        <x:v>Lagos</x:v>
      </x:c>
      <x:c r="E772" s="2" t="str">
        <x:v>Electronics</x:v>
      </x:c>
      <x:c r="F772" s="2" t="str">
        <x:v>Bluetooth speaker</x:v>
      </x:c>
      <x:c r="G772" s="2" t="str">
        <x:v>In-store</x:v>
      </x:c>
      <x:c r="H772" s="7" t="n">
        <x:v>1</x:v>
      </x:c>
      <x:c r="I772" s="9" t="n">
        <x:v>26000</x:v>
      </x:c>
      <x:c r="J772" s="9" t="n">
        <x:v>17000</x:v>
      </x:c>
      <x:c r="K772" s="10" t="n">
        <x:v>0</x:v>
      </x:c>
      <x:c r="L772" s="2" t="str">
        <x:v>Completed</x:v>
      </x:c>
      <x:c r="M772" s="12" t="n">
        <x:f>H772*I772</x:f>
        <x:v>26000</x:v>
      </x:c>
      <x:c r="N772" s="12" t="n">
        <x:f>IF(L772="Completed",ROUND(M772*(1-K772),2),0)</x:f>
        <x:v>26000</x:v>
      </x:c>
      <x:c r="O772" s="12" t="n">
        <x:f>IF(L772="Completed",H772*J772,0)</x:f>
        <x:v>17000</x:v>
      </x:c>
      <x:c r="P772" s="12" t="n">
        <x:f>N772-O772</x:f>
        <x:v>9000</x:v>
      </x:c>
    </x:row>
    <x:row r="773" ht="21" customHeight="1">
      <x:c r="A773" s="7" t="n">
        <x:v>768</x:v>
      </x:c>
      <x:c r="B773" s="2" t="str">
        <x:v>TXN-00768</x:v>
      </x:c>
      <x:c r="C773" s="8" t="d">
        <x:v>2025-07-01T00:00:00.000Z</x:v>
      </x:c>
      <x:c r="D773" s="2" t="str">
        <x:v>Lagos</x:v>
      </x:c>
      <x:c r="E773" s="2" t="str">
        <x:v>Beauty</x:v>
      </x:c>
      <x:c r="F773" s="2" t="str">
        <x:v>Perfume</x:v>
      </x:c>
      <x:c r="G773" s="2" t="str">
        <x:v>Online</x:v>
      </x:c>
      <x:c r="H773" s="7" t="n">
        <x:v>2</x:v>
      </x:c>
      <x:c r="I773" s="9" t="n">
        <x:v>17000</x:v>
      </x:c>
      <x:c r="J773" s="9" t="n">
        <x:v>9000</x:v>
      </x:c>
      <x:c r="K773" s="10" t="n">
        <x:v>0</x:v>
      </x:c>
      <x:c r="L773" s="2" t="str">
        <x:v>Completed</x:v>
      </x:c>
      <x:c r="M773" s="12" t="n">
        <x:f>H773*I773</x:f>
        <x:v>34000</x:v>
      </x:c>
      <x:c r="N773" s="12" t="n">
        <x:f>IF(L773="Completed",ROUND(M773*(1-K773),2),0)</x:f>
        <x:v>34000</x:v>
      </x:c>
      <x:c r="O773" s="12" t="n">
        <x:f>IF(L773="Completed",H773*J773,0)</x:f>
        <x:v>18000</x:v>
      </x:c>
      <x:c r="P773" s="12" t="n">
        <x:f>N773-O773</x:f>
        <x:v>16000</x:v>
      </x:c>
    </x:row>
    <x:row r="774" ht="21" customHeight="1">
      <x:c r="A774" s="7" t="n">
        <x:v>769</x:v>
      </x:c>
      <x:c r="B774" s="2" t="str">
        <x:v>TXN-00769</x:v>
      </x:c>
      <x:c r="C774" s="8" t="d">
        <x:v>2025-07-01T00:00:00.000Z</x:v>
      </x:c>
      <x:c r="D774" s="2" t="str">
        <x:v>Lagos</x:v>
      </x:c>
      <x:c r="E774" s="2" t="str">
        <x:v>Electronics</x:v>
      </x:c>
      <x:c r="F774" s="2" t="str">
        <x:v>Power bank</x:v>
      </x:c>
      <x:c r="G774" s="2" t="str">
        <x:v>Online</x:v>
      </x:c>
      <x:c r="H774" s="7" t="n">
        <x:v>1</x:v>
      </x:c>
      <x:c r="I774" s="9" t="n">
        <x:v>15000</x:v>
      </x:c>
      <x:c r="J774" s="9" t="n">
        <x:v>9500</x:v>
      </x:c>
      <x:c r="K774" s="10" t="n">
        <x:v>0.1</x:v>
      </x:c>
      <x:c r="L774" s="2" t="str">
        <x:v>Completed</x:v>
      </x:c>
      <x:c r="M774" s="12" t="n">
        <x:f>H774*I774</x:f>
        <x:v>15000</x:v>
      </x:c>
      <x:c r="N774" s="12" t="n">
        <x:f>IF(L774="Completed",ROUND(M774*(1-K774),2),0)</x:f>
        <x:v>13500</x:v>
      </x:c>
      <x:c r="O774" s="12" t="n">
        <x:f>IF(L774="Completed",H774*J774,0)</x:f>
        <x:v>9500</x:v>
      </x:c>
      <x:c r="P774" s="12" t="n">
        <x:f>N774-O774</x:f>
        <x:v>4000</x:v>
      </x:c>
    </x:row>
    <x:row r="775" ht="21" customHeight="1">
      <x:c r="A775" s="7" t="n">
        <x:v>770</x:v>
      </x:c>
      <x:c r="B775" s="2" t="str">
        <x:v>TXN-00770</x:v>
      </x:c>
      <x:c r="C775" s="8" t="d">
        <x:v>2025-07-07T00:00:00.000Z</x:v>
      </x:c>
      <x:c r="D775" s="2" t="str">
        <x:v>Port Harcourt</x:v>
      </x:c>
      <x:c r="E775" s="2" t="str">
        <x:v>Electronics</x:v>
      </x:c>
      <x:c r="F775" s="2" t="str">
        <x:v>Bluetooth speaker</x:v>
      </x:c>
      <x:c r="G775" s="2" t="str">
        <x:v>Online</x:v>
      </x:c>
      <x:c r="H775" s="7" t="n">
        <x:v>1</x:v>
      </x:c>
      <x:c r="I775" s="9" t="n">
        <x:v>26000</x:v>
      </x:c>
      <x:c r="J775" s="9" t="n">
        <x:v>17000</x:v>
      </x:c>
      <x:c r="K775" s="10" t="n">
        <x:v>0.15</x:v>
      </x:c>
      <x:c r="L775" s="2" t="str">
        <x:v>Completed</x:v>
      </x:c>
      <x:c r="M775" s="12" t="n">
        <x:f>H775*I775</x:f>
        <x:v>26000</x:v>
      </x:c>
      <x:c r="N775" s="12" t="n">
        <x:f>IF(L775="Completed",ROUND(M775*(1-K775),2),0)</x:f>
        <x:v>22100</x:v>
      </x:c>
      <x:c r="O775" s="12" t="n">
        <x:f>IF(L775="Completed",H775*J775,0)</x:f>
        <x:v>17000</x:v>
      </x:c>
      <x:c r="P775" s="12" t="n">
        <x:f>N775-O775</x:f>
        <x:v>5100</x:v>
      </x:c>
    </x:row>
    <x:row r="776" ht="21" customHeight="1">
      <x:c r="A776" s="7" t="n">
        <x:v>771</x:v>
      </x:c>
      <x:c r="B776" s="2" t="str">
        <x:v>TXN-00771</x:v>
      </x:c>
      <x:c r="C776" s="8" t="d">
        <x:v>2025-07-27T00:00:00.000Z</x:v>
      </x:c>
      <x:c r="D776" s="2" t="str">
        <x:v>Kano</x:v>
      </x:c>
      <x:c r="E776" s="2" t="str">
        <x:v>Beauty</x:v>
      </x:c>
      <x:c r="F776" s="2" t="str">
        <x:v>Body wash</x:v>
      </x:c>
      <x:c r="G776" s="2" t="str">
        <x:v>Online</x:v>
      </x:c>
      <x:c r="H776" s="7" t="n">
        <x:v>1</x:v>
      </x:c>
      <x:c r="I776" s="9" t="n">
        <x:v>4500</x:v>
      </x:c>
      <x:c r="J776" s="9" t="n">
        <x:v>2300</x:v>
      </x:c>
      <x:c r="K776" s="10" t="n">
        <x:v>0</x:v>
      </x:c>
      <x:c r="L776" s="2" t="str">
        <x:v>Completed</x:v>
      </x:c>
      <x:c r="M776" s="12" t="n">
        <x:f>H776*I776</x:f>
        <x:v>4500</x:v>
      </x:c>
      <x:c r="N776" s="12" t="n">
        <x:f>IF(L776="Completed",ROUND(M776*(1-K776),2),0)</x:f>
        <x:v>4500</x:v>
      </x:c>
      <x:c r="O776" s="12" t="n">
        <x:f>IF(L776="Completed",H776*J776,0)</x:f>
        <x:v>2300</x:v>
      </x:c>
      <x:c r="P776" s="12" t="n">
        <x:f>N776-O776</x:f>
        <x:v>2200</x:v>
      </x:c>
    </x:row>
    <x:row r="777" ht="21" customHeight="1">
      <x:c r="A777" s="7" t="n">
        <x:v>772</x:v>
      </x:c>
      <x:c r="B777" s="2" t="str">
        <x:v>TXN-00772</x:v>
      </x:c>
      <x:c r="C777" s="8" t="d">
        <x:v>2025-07-28T00:00:00.000Z</x:v>
      </x:c>
      <x:c r="D777" s="2" t="str">
        <x:v>Abuja</x:v>
      </x:c>
      <x:c r="E777" s="2" t="str">
        <x:v>Fashion</x:v>
      </x:c>
      <x:c r="F777" s="2" t="str">
        <x:v>T-shirt</x:v>
      </x:c>
      <x:c r="G777" s="2" t="str">
        <x:v>Online</x:v>
      </x:c>
      <x:c r="H777" s="7" t="n">
        <x:v>1</x:v>
      </x:c>
      <x:c r="I777" s="9" t="n">
        <x:v>9000</x:v>
      </x:c>
      <x:c r="J777" s="9" t="n">
        <x:v>5000</x:v>
      </x:c>
      <x:c r="K777" s="10" t="n">
        <x:v>0</x:v>
      </x:c>
      <x:c r="L777" s="2" t="str">
        <x:v>Completed</x:v>
      </x:c>
      <x:c r="M777" s="12" t="n">
        <x:f>H777*I777</x:f>
        <x:v>9000</x:v>
      </x:c>
      <x:c r="N777" s="12" t="n">
        <x:f>IF(L777="Completed",ROUND(M777*(1-K777),2),0)</x:f>
        <x:v>9000</x:v>
      </x:c>
      <x:c r="O777" s="12" t="n">
        <x:f>IF(L777="Completed",H777*J777,0)</x:f>
        <x:v>5000</x:v>
      </x:c>
      <x:c r="P777" s="12" t="n">
        <x:f>N777-O777</x:f>
        <x:v>4000</x:v>
      </x:c>
    </x:row>
    <x:row r="778" ht="21" customHeight="1">
      <x:c r="A778" s="7" t="n">
        <x:v>773</x:v>
      </x:c>
      <x:c r="B778" s="2" t="str">
        <x:v>TXN-00773</x:v>
      </x:c>
      <x:c r="C778" s="8" t="d">
        <x:v>2025-07-14T00:00:00.000Z</x:v>
      </x:c>
      <x:c r="D778" s="2" t="str">
        <x:v>Lagos</x:v>
      </x:c>
      <x:c r="E778" s="2" t="str">
        <x:v>Home</x:v>
      </x:c>
      <x:c r="F778" s="2" t="str">
        <x:v>Cookware set</x:v>
      </x:c>
      <x:c r="G778" s="2" t="str">
        <x:v>In-store</x:v>
      </x:c>
      <x:c r="H778" s="7" t="n">
        <x:v>1</x:v>
      </x:c>
      <x:c r="I778" s="9" t="n">
        <x:v>35000</x:v>
      </x:c>
      <x:c r="J778" s="9" t="n">
        <x:v>22500</x:v>
      </x:c>
      <x:c r="K778" s="10" t="n">
        <x:v>0.05</x:v>
      </x:c>
      <x:c r="L778" s="2" t="str">
        <x:v>Completed</x:v>
      </x:c>
      <x:c r="M778" s="12" t="n">
        <x:f>H778*I778</x:f>
        <x:v>35000</x:v>
      </x:c>
      <x:c r="N778" s="12" t="n">
        <x:f>IF(L778="Completed",ROUND(M778*(1-K778),2),0)</x:f>
        <x:v>33250</x:v>
      </x:c>
      <x:c r="O778" s="12" t="n">
        <x:f>IF(L778="Completed",H778*J778,0)</x:f>
        <x:v>22500</x:v>
      </x:c>
      <x:c r="P778" s="12" t="n">
        <x:f>N778-O778</x:f>
        <x:v>10750</x:v>
      </x:c>
    </x:row>
    <x:row r="779" ht="21" customHeight="1">
      <x:c r="A779" s="7" t="n">
        <x:v>774</x:v>
      </x:c>
      <x:c r="B779" s="2" t="str">
        <x:v>TXN-00774</x:v>
      </x:c>
      <x:c r="C779" s="8" t="d">
        <x:v>2025-07-05T00:00:00.000Z</x:v>
      </x:c>
      <x:c r="D779" s="2" t="str">
        <x:v>Kano</x:v>
      </x:c>
      <x:c r="E779" s="2" t="str">
        <x:v>Fashion</x:v>
      </x:c>
      <x:c r="F779" s="2" t="str">
        <x:v>Sneakers</x:v>
      </x:c>
      <x:c r="G779" s="2" t="str">
        <x:v>In-store</x:v>
      </x:c>
      <x:c r="H779" s="7" t="n">
        <x:v>2</x:v>
      </x:c>
      <x:c r="I779" s="9" t="n">
        <x:v>28000</x:v>
      </x:c>
      <x:c r="J779" s="9" t="n">
        <x:v>17500</x:v>
      </x:c>
      <x:c r="K779" s="10" t="n">
        <x:v>0.05</x:v>
      </x:c>
      <x:c r="L779" s="2" t="str">
        <x:v>Completed</x:v>
      </x:c>
      <x:c r="M779" s="12" t="n">
        <x:f>H779*I779</x:f>
        <x:v>56000</x:v>
      </x:c>
      <x:c r="N779" s="12" t="n">
        <x:f>IF(L779="Completed",ROUND(M779*(1-K779),2),0)</x:f>
        <x:v>53200</x:v>
      </x:c>
      <x:c r="O779" s="12" t="n">
        <x:f>IF(L779="Completed",H779*J779,0)</x:f>
        <x:v>35000</x:v>
      </x:c>
      <x:c r="P779" s="12" t="n">
        <x:f>N779-O779</x:f>
        <x:v>18200</x:v>
      </x:c>
    </x:row>
    <x:row r="780" ht="21" customHeight="1">
      <x:c r="A780" s="7" t="n">
        <x:v>775</x:v>
      </x:c>
      <x:c r="B780" s="2" t="str">
        <x:v>TXN-00775</x:v>
      </x:c>
      <x:c r="C780" s="8" t="d">
        <x:v>2025-07-01T00:00:00.000Z</x:v>
      </x:c>
      <x:c r="D780" s="2" t="str">
        <x:v>Kano</x:v>
      </x:c>
      <x:c r="E780" s="2" t="str">
        <x:v>Beauty</x:v>
      </x:c>
      <x:c r="F780" s="2" t="str">
        <x:v>Moisturizer</x:v>
      </x:c>
      <x:c r="G780" s="2" t="str">
        <x:v>Online</x:v>
      </x:c>
      <x:c r="H780" s="7" t="n">
        <x:v>1</x:v>
      </x:c>
      <x:c r="I780" s="9" t="n">
        <x:v>6500</x:v>
      </x:c>
      <x:c r="J780" s="9" t="n">
        <x:v>3500</x:v>
      </x:c>
      <x:c r="K780" s="10" t="n">
        <x:v>0</x:v>
      </x:c>
      <x:c r="L780" s="2" t="str">
        <x:v>Completed</x:v>
      </x:c>
      <x:c r="M780" s="12" t="n">
        <x:f>H780*I780</x:f>
        <x:v>6500</x:v>
      </x:c>
      <x:c r="N780" s="12" t="n">
        <x:f>IF(L780="Completed",ROUND(M780*(1-K780),2),0)</x:f>
        <x:v>6500</x:v>
      </x:c>
      <x:c r="O780" s="12" t="n">
        <x:f>IF(L780="Completed",H780*J780,0)</x:f>
        <x:v>3500</x:v>
      </x:c>
      <x:c r="P780" s="12" t="n">
        <x:f>N780-O780</x:f>
        <x:v>3000</x:v>
      </x:c>
    </x:row>
    <x:row r="781" ht="21" customHeight="1">
      <x:c r="A781" s="7" t="n">
        <x:v>776</x:v>
      </x:c>
      <x:c r="B781" s="2" t="str">
        <x:v>TXN-00776</x:v>
      </x:c>
      <x:c r="C781" s="8" t="d">
        <x:v>2025-07-16T00:00:00.000Z</x:v>
      </x:c>
      <x:c r="D781" s="2" t="str">
        <x:v>Kano</x:v>
      </x:c>
      <x:c r="E781" s="2" t="str">
        <x:v>Electronics</x:v>
      </x:c>
      <x:c r="F781" s="2" t="str">
        <x:v>Power bank</x:v>
      </x:c>
      <x:c r="G781" s="2" t="str">
        <x:v>Online</x:v>
      </x:c>
      <x:c r="H781" s="7" t="n">
        <x:v>1</x:v>
      </x:c>
      <x:c r="I781" s="9" t="n">
        <x:v>15000</x:v>
      </x:c>
      <x:c r="J781" s="9" t="n">
        <x:v>9500</x:v>
      </x:c>
      <x:c r="K781" s="10" t="n">
        <x:v>0.1</x:v>
      </x:c>
      <x:c r="L781" s="2" t="str">
        <x:v>Completed</x:v>
      </x:c>
      <x:c r="M781" s="12" t="n">
        <x:f>H781*I781</x:f>
        <x:v>15000</x:v>
      </x:c>
      <x:c r="N781" s="12" t="n">
        <x:f>IF(L781="Completed",ROUND(M781*(1-K781),2),0)</x:f>
        <x:v>13500</x:v>
      </x:c>
      <x:c r="O781" s="12" t="n">
        <x:f>IF(L781="Completed",H781*J781,0)</x:f>
        <x:v>9500</x:v>
      </x:c>
      <x:c r="P781" s="12" t="n">
        <x:f>N781-O781</x:f>
        <x:v>4000</x:v>
      </x:c>
    </x:row>
    <x:row r="782" ht="21" customHeight="1">
      <x:c r="A782" s="7" t="n">
        <x:v>777</x:v>
      </x:c>
      <x:c r="B782" s="2" t="str">
        <x:v>TXN-00777</x:v>
      </x:c>
      <x:c r="C782" s="8" t="d">
        <x:v>2025-07-05T00:00:00.000Z</x:v>
      </x:c>
      <x:c r="D782" s="2" t="str">
        <x:v>Kano</x:v>
      </x:c>
      <x:c r="E782" s="2" t="str">
        <x:v>Home</x:v>
      </x:c>
      <x:c r="F782" s="2" t="str">
        <x:v>Desk lamp</x:v>
      </x:c>
      <x:c r="G782" s="2" t="str">
        <x:v>Online</x:v>
      </x:c>
      <x:c r="H782" s="7" t="n">
        <x:v>3</x:v>
      </x:c>
      <x:c r="I782" s="9" t="n">
        <x:v>12000</x:v>
      </x:c>
      <x:c r="J782" s="9" t="n">
        <x:v>7200</x:v>
      </x:c>
      <x:c r="K782" s="10" t="n">
        <x:v>0</x:v>
      </x:c>
      <x:c r="L782" s="2" t="str">
        <x:v>Completed</x:v>
      </x:c>
      <x:c r="M782" s="12" t="n">
        <x:f>H782*I782</x:f>
        <x:v>36000</x:v>
      </x:c>
      <x:c r="N782" s="12" t="n">
        <x:f>IF(L782="Completed",ROUND(M782*(1-K782),2),0)</x:f>
        <x:v>36000</x:v>
      </x:c>
      <x:c r="O782" s="12" t="n">
        <x:f>IF(L782="Completed",H782*J782,0)</x:f>
        <x:v>21600</x:v>
      </x:c>
      <x:c r="P782" s="12" t="n">
        <x:f>N782-O782</x:f>
        <x:v>14400</x:v>
      </x:c>
    </x:row>
    <x:row r="783" ht="21" customHeight="1">
      <x:c r="A783" s="7" t="n">
        <x:v>778</x:v>
      </x:c>
      <x:c r="B783" s="2" t="str">
        <x:v>TXN-00778</x:v>
      </x:c>
      <x:c r="C783" s="8" t="d">
        <x:v>2025-07-05T00:00:00.000Z</x:v>
      </x:c>
      <x:c r="D783" s="2" t="str">
        <x:v>Abuja</x:v>
      </x:c>
      <x:c r="E783" s="2" t="str">
        <x:v>Beauty</x:v>
      </x:c>
      <x:c r="F783" s="2" t="str">
        <x:v>Perfume</x:v>
      </x:c>
      <x:c r="G783" s="2" t="str">
        <x:v>In-store</x:v>
      </x:c>
      <x:c r="H783" s="7" t="n">
        <x:v>1</x:v>
      </x:c>
      <x:c r="I783" s="9" t="n">
        <x:v>17000</x:v>
      </x:c>
      <x:c r="J783" s="9" t="n">
        <x:v>9000</x:v>
      </x:c>
      <x:c r="K783" s="10" t="n">
        <x:v>0</x:v>
      </x:c>
      <x:c r="L783" s="2" t="str">
        <x:v>Completed</x:v>
      </x:c>
      <x:c r="M783" s="12" t="n">
        <x:f>H783*I783</x:f>
        <x:v>17000</x:v>
      </x:c>
      <x:c r="N783" s="12" t="n">
        <x:f>IF(L783="Completed",ROUND(M783*(1-K783),2),0)</x:f>
        <x:v>17000</x:v>
      </x:c>
      <x:c r="O783" s="12" t="n">
        <x:f>IF(L783="Completed",H783*J783,0)</x:f>
        <x:v>9000</x:v>
      </x:c>
      <x:c r="P783" s="12" t="n">
        <x:f>N783-O783</x:f>
        <x:v>8000</x:v>
      </x:c>
    </x:row>
    <x:row r="784" ht="21" customHeight="1">
      <x:c r="A784" s="7" t="n">
        <x:v>779</x:v>
      </x:c>
      <x:c r="B784" s="2" t="str">
        <x:v>TXN-00779</x:v>
      </x:c>
      <x:c r="C784" s="8" t="d">
        <x:v>2025-07-01T00:00:00.000Z</x:v>
      </x:c>
      <x:c r="D784" s="2" t="str">
        <x:v>Port Harcourt</x:v>
      </x:c>
      <x:c r="E784" s="2" t="str">
        <x:v>Beauty</x:v>
      </x:c>
      <x:c r="F784" s="2" t="str">
        <x:v>Moisturizer</x:v>
      </x:c>
      <x:c r="G784" s="2" t="str">
        <x:v>In-store</x:v>
      </x:c>
      <x:c r="H784" s="7" t="n">
        <x:v>1</x:v>
      </x:c>
      <x:c r="I784" s="9" t="n">
        <x:v>6500</x:v>
      </x:c>
      <x:c r="J784" s="9" t="n">
        <x:v>3500</x:v>
      </x:c>
      <x:c r="K784" s="10" t="n">
        <x:v>0</x:v>
      </x:c>
      <x:c r="L784" s="2" t="str">
        <x:v>Completed</x:v>
      </x:c>
      <x:c r="M784" s="12" t="n">
        <x:f>H784*I784</x:f>
        <x:v>6500</x:v>
      </x:c>
      <x:c r="N784" s="12" t="n">
        <x:f>IF(L784="Completed",ROUND(M784*(1-K784),2),0)</x:f>
        <x:v>6500</x:v>
      </x:c>
      <x:c r="O784" s="12" t="n">
        <x:f>IF(L784="Completed",H784*J784,0)</x:f>
        <x:v>3500</x:v>
      </x:c>
      <x:c r="P784" s="12" t="n">
        <x:f>N784-O784</x:f>
        <x:v>3000</x:v>
      </x:c>
    </x:row>
    <x:row r="785" ht="21" customHeight="1">
      <x:c r="A785" s="7" t="n">
        <x:v>780</x:v>
      </x:c>
      <x:c r="B785" s="2" t="str">
        <x:v>TXN-00780</x:v>
      </x:c>
      <x:c r="C785" s="8" t="d">
        <x:v>2025-07-08T00:00:00.000Z</x:v>
      </x:c>
      <x:c r="D785" s="2" t="str">
        <x:v>Lagos</x:v>
      </x:c>
      <x:c r="E785" s="2" t="str">
        <x:v>Beauty</x:v>
      </x:c>
      <x:c r="F785" s="2" t="str">
        <x:v>Perfume</x:v>
      </x:c>
      <x:c r="G785" s="2" t="str">
        <x:v>In-store</x:v>
      </x:c>
      <x:c r="H785" s="7" t="n">
        <x:v>1</x:v>
      </x:c>
      <x:c r="I785" s="9" t="n">
        <x:v>17000</x:v>
      </x:c>
      <x:c r="J785" s="9" t="n">
        <x:v>9000</x:v>
      </x:c>
      <x:c r="K785" s="10" t="n">
        <x:v>0</x:v>
      </x:c>
      <x:c r="L785" s="2" t="str">
        <x:v>Completed</x:v>
      </x:c>
      <x:c r="M785" s="12" t="n">
        <x:f>H785*I785</x:f>
        <x:v>17000</x:v>
      </x:c>
      <x:c r="N785" s="12" t="n">
        <x:f>IF(L785="Completed",ROUND(M785*(1-K785),2),0)</x:f>
        <x:v>17000</x:v>
      </x:c>
      <x:c r="O785" s="12" t="n">
        <x:f>IF(L785="Completed",H785*J785,0)</x:f>
        <x:v>9000</x:v>
      </x:c>
      <x:c r="P785" s="12" t="n">
        <x:f>N785-O785</x:f>
        <x:v>8000</x:v>
      </x:c>
    </x:row>
    <x:row r="786" ht="21" customHeight="1">
      <x:c r="A786" s="7" t="n">
        <x:v>781</x:v>
      </x:c>
      <x:c r="B786" s="2" t="str">
        <x:v>TXN-00781</x:v>
      </x:c>
      <x:c r="C786" s="8" t="d">
        <x:v>2025-07-20T00:00:00.000Z</x:v>
      </x:c>
      <x:c r="D786" s="2" t="str">
        <x:v>Port Harcourt</x:v>
      </x:c>
      <x:c r="E786" s="2" t="str">
        <x:v>Electronics</x:v>
      </x:c>
      <x:c r="F786" s="2" t="str">
        <x:v>Headphones</x:v>
      </x:c>
      <x:c r="G786" s="2" t="str">
        <x:v>In-store</x:v>
      </x:c>
      <x:c r="H786" s="7" t="n">
        <x:v>1</x:v>
      </x:c>
      <x:c r="I786" s="9" t="n">
        <x:v>18000</x:v>
      </x:c>
      <x:c r="J786" s="9" t="n">
        <x:v>10500</x:v>
      </x:c>
      <x:c r="K786" s="10" t="n">
        <x:v>0.05</x:v>
      </x:c>
      <x:c r="L786" s="2" t="str">
        <x:v>Completed</x:v>
      </x:c>
      <x:c r="M786" s="12" t="n">
        <x:f>H786*I786</x:f>
        <x:v>18000</x:v>
      </x:c>
      <x:c r="N786" s="12" t="n">
        <x:f>IF(L786="Completed",ROUND(M786*(1-K786),2),0)</x:f>
        <x:v>17100</x:v>
      </x:c>
      <x:c r="O786" s="12" t="n">
        <x:f>IF(L786="Completed",H786*J786,0)</x:f>
        <x:v>10500</x:v>
      </x:c>
      <x:c r="P786" s="12" t="n">
        <x:f>N786-O786</x:f>
        <x:v>6600</x:v>
      </x:c>
    </x:row>
    <x:row r="787" ht="21" customHeight="1">
      <x:c r="A787" s="7" t="n">
        <x:v>782</x:v>
      </x:c>
      <x:c r="B787" s="2" t="str">
        <x:v>TXN-00782</x:v>
      </x:c>
      <x:c r="C787" s="8" t="d">
        <x:v>2025-08-23T00:00:00.000Z</x:v>
      </x:c>
      <x:c r="D787" s="2" t="str">
        <x:v>Lagos</x:v>
      </x:c>
      <x:c r="E787" s="2" t="str">
        <x:v>Electronics</x:v>
      </x:c>
      <x:c r="F787" s="2" t="str">
        <x:v>Headphones</x:v>
      </x:c>
      <x:c r="G787" s="2" t="str">
        <x:v>Online</x:v>
      </x:c>
      <x:c r="H787" s="7" t="n">
        <x:v>1</x:v>
      </x:c>
      <x:c r="I787" s="9" t="n">
        <x:v>18000</x:v>
      </x:c>
      <x:c r="J787" s="9" t="n">
        <x:v>10500</x:v>
      </x:c>
      <x:c r="K787" s="10" t="n">
        <x:v>0</x:v>
      </x:c>
      <x:c r="L787" s="2" t="str">
        <x:v>Completed</x:v>
      </x:c>
      <x:c r="M787" s="12" t="n">
        <x:f>H787*I787</x:f>
        <x:v>18000</x:v>
      </x:c>
      <x:c r="N787" s="12" t="n">
        <x:f>IF(L787="Completed",ROUND(M787*(1-K787),2),0)</x:f>
        <x:v>18000</x:v>
      </x:c>
      <x:c r="O787" s="12" t="n">
        <x:f>IF(L787="Completed",H787*J787,0)</x:f>
        <x:v>10500</x:v>
      </x:c>
      <x:c r="P787" s="12" t="n">
        <x:f>N787-O787</x:f>
        <x:v>7500</x:v>
      </x:c>
    </x:row>
    <x:row r="788" ht="21" customHeight="1">
      <x:c r="A788" s="7" t="n">
        <x:v>783</x:v>
      </x:c>
      <x:c r="B788" s="2" t="str">
        <x:v>TXN-00783</x:v>
      </x:c>
      <x:c r="C788" s="8" t="d">
        <x:v>2025-08-23T00:00:00.000Z</x:v>
      </x:c>
      <x:c r="D788" s="2" t="str">
        <x:v>Port Harcourt</x:v>
      </x:c>
      <x:c r="E788" s="2" t="str">
        <x:v>Beauty</x:v>
      </x:c>
      <x:c r="F788" s="2" t="str">
        <x:v>Body wash</x:v>
      </x:c>
      <x:c r="G788" s="2" t="str">
        <x:v>In-store</x:v>
      </x:c>
      <x:c r="H788" s="7" t="n">
        <x:v>1</x:v>
      </x:c>
      <x:c r="I788" s="9" t="n">
        <x:v>4500</x:v>
      </x:c>
      <x:c r="J788" s="9" t="n">
        <x:v>2300</x:v>
      </x:c>
      <x:c r="K788" s="10" t="n">
        <x:v>0.05</x:v>
      </x:c>
      <x:c r="L788" s="2" t="str">
        <x:v>Completed</x:v>
      </x:c>
      <x:c r="M788" s="12" t="n">
        <x:f>H788*I788</x:f>
        <x:v>4500</x:v>
      </x:c>
      <x:c r="N788" s="12" t="n">
        <x:f>IF(L788="Completed",ROUND(M788*(1-K788),2),0)</x:f>
        <x:v>4275</x:v>
      </x:c>
      <x:c r="O788" s="12" t="n">
        <x:f>IF(L788="Completed",H788*J788,0)</x:f>
        <x:v>2300</x:v>
      </x:c>
      <x:c r="P788" s="12" t="n">
        <x:f>N788-O788</x:f>
        <x:v>1975</x:v>
      </x:c>
    </x:row>
    <x:row r="789" ht="21" customHeight="1">
      <x:c r="A789" s="7" t="n">
        <x:v>784</x:v>
      </x:c>
      <x:c r="B789" s="2" t="str">
        <x:v>TXN-00784</x:v>
      </x:c>
      <x:c r="C789" s="8" t="d">
        <x:v>2025-08-12T00:00:00.000Z</x:v>
      </x:c>
      <x:c r="D789" s="2" t="str">
        <x:v>Abuja</x:v>
      </x:c>
      <x:c r="E789" s="2" t="str">
        <x:v>Home</x:v>
      </x:c>
      <x:c r="F789" s="2" t="str">
        <x:v>Desk lamp</x:v>
      </x:c>
      <x:c r="G789" s="2" t="str">
        <x:v>Online</x:v>
      </x:c>
      <x:c r="H789" s="7" t="n">
        <x:v>1</x:v>
      </x:c>
      <x:c r="I789" s="9" t="n">
        <x:v>12000</x:v>
      </x:c>
      <x:c r="J789" s="9" t="n">
        <x:v>7200</x:v>
      </x:c>
      <x:c r="K789" s="10" t="n">
        <x:v>0</x:v>
      </x:c>
      <x:c r="L789" s="2" t="str">
        <x:v>Completed</x:v>
      </x:c>
      <x:c r="M789" s="12" t="n">
        <x:f>H789*I789</x:f>
        <x:v>12000</x:v>
      </x:c>
      <x:c r="N789" s="12" t="n">
        <x:f>IF(L789="Completed",ROUND(M789*(1-K789),2),0)</x:f>
        <x:v>12000</x:v>
      </x:c>
      <x:c r="O789" s="12" t="n">
        <x:f>IF(L789="Completed",H789*J789,0)</x:f>
        <x:v>7200</x:v>
      </x:c>
      <x:c r="P789" s="12" t="n">
        <x:f>N789-O789</x:f>
        <x:v>4800</x:v>
      </x:c>
    </x:row>
    <x:row r="790" ht="21" customHeight="1">
      <x:c r="A790" s="7" t="n">
        <x:v>785</x:v>
      </x:c>
      <x:c r="B790" s="2" t="str">
        <x:v>TXN-00785</x:v>
      </x:c>
      <x:c r="C790" s="8" t="d">
        <x:v>2025-08-30T00:00:00.000Z</x:v>
      </x:c>
      <x:c r="D790" s="2" t="str">
        <x:v>Lagos</x:v>
      </x:c>
      <x:c r="E790" s="2" t="str">
        <x:v>Electronics</x:v>
      </x:c>
      <x:c r="F790" s="2" t="str">
        <x:v>Power bank</x:v>
      </x:c>
      <x:c r="G790" s="2" t="str">
        <x:v>Online</x:v>
      </x:c>
      <x:c r="H790" s="7" t="n">
        <x:v>2</x:v>
      </x:c>
      <x:c r="I790" s="9" t="n">
        <x:v>15000</x:v>
      </x:c>
      <x:c r="J790" s="9" t="n">
        <x:v>9500</x:v>
      </x:c>
      <x:c r="K790" s="10" t="n">
        <x:v>0.15</x:v>
      </x:c>
      <x:c r="L790" s="2" t="str">
        <x:v>Completed</x:v>
      </x:c>
      <x:c r="M790" s="12" t="n">
        <x:f>H790*I790</x:f>
        <x:v>30000</x:v>
      </x:c>
      <x:c r="N790" s="12" t="n">
        <x:f>IF(L790="Completed",ROUND(M790*(1-K790),2),0)</x:f>
        <x:v>25500</x:v>
      </x:c>
      <x:c r="O790" s="12" t="n">
        <x:f>IF(L790="Completed",H790*J790,0)</x:f>
        <x:v>19000</x:v>
      </x:c>
      <x:c r="P790" s="12" t="n">
        <x:f>N790-O790</x:f>
        <x:v>6500</x:v>
      </x:c>
    </x:row>
    <x:row r="791" ht="21" customHeight="1">
      <x:c r="A791" s="7" t="n">
        <x:v>786</x:v>
      </x:c>
      <x:c r="B791" s="2" t="str">
        <x:v>TXN-00786</x:v>
      </x:c>
      <x:c r="C791" s="8" t="d">
        <x:v>2025-08-21T00:00:00.000Z</x:v>
      </x:c>
      <x:c r="D791" s="2" t="str">
        <x:v>Lagos</x:v>
      </x:c>
      <x:c r="E791" s="2" t="str">
        <x:v>Fashion</x:v>
      </x:c>
      <x:c r="F791" s="2" t="str">
        <x:v>Sneakers</x:v>
      </x:c>
      <x:c r="G791" s="2" t="str">
        <x:v>In-store</x:v>
      </x:c>
      <x:c r="H791" s="7" t="n">
        <x:v>1</x:v>
      </x:c>
      <x:c r="I791" s="9" t="n">
        <x:v>28000</x:v>
      </x:c>
      <x:c r="J791" s="9" t="n">
        <x:v>17500</x:v>
      </x:c>
      <x:c r="K791" s="10" t="n">
        <x:v>0</x:v>
      </x:c>
      <x:c r="L791" s="2" t="str">
        <x:v>Completed</x:v>
      </x:c>
      <x:c r="M791" s="12" t="n">
        <x:f>H791*I791</x:f>
        <x:v>28000</x:v>
      </x:c>
      <x:c r="N791" s="12" t="n">
        <x:f>IF(L791="Completed",ROUND(M791*(1-K791),2),0)</x:f>
        <x:v>28000</x:v>
      </x:c>
      <x:c r="O791" s="12" t="n">
        <x:f>IF(L791="Completed",H791*J791,0)</x:f>
        <x:v>17500</x:v>
      </x:c>
      <x:c r="P791" s="12" t="n">
        <x:f>N791-O791</x:f>
        <x:v>10500</x:v>
      </x:c>
    </x:row>
    <x:row r="792" ht="21" customHeight="1">
      <x:c r="A792" s="7" t="n">
        <x:v>787</x:v>
      </x:c>
      <x:c r="B792" s="2" t="str">
        <x:v>TXN-00787</x:v>
      </x:c>
      <x:c r="C792" s="8" t="d">
        <x:v>2025-08-07T00:00:00.000Z</x:v>
      </x:c>
      <x:c r="D792" s="2" t="str">
        <x:v>Kano</x:v>
      </x:c>
      <x:c r="E792" s="2" t="str">
        <x:v>Fashion</x:v>
      </x:c>
      <x:c r="F792" s="2" t="str">
        <x:v>Handbag</x:v>
      </x:c>
      <x:c r="G792" s="2" t="str">
        <x:v>Online</x:v>
      </x:c>
      <x:c r="H792" s="7" t="n">
        <x:v>1</x:v>
      </x:c>
      <x:c r="I792" s="9" t="n">
        <x:v>22000</x:v>
      </x:c>
      <x:c r="J792" s="9" t="n">
        <x:v>13500</x:v>
      </x:c>
      <x:c r="K792" s="10" t="n">
        <x:v>0</x:v>
      </x:c>
      <x:c r="L792" s="2" t="str">
        <x:v>Completed</x:v>
      </x:c>
      <x:c r="M792" s="12" t="n">
        <x:f>H792*I792</x:f>
        <x:v>22000</x:v>
      </x:c>
      <x:c r="N792" s="12" t="n">
        <x:f>IF(L792="Completed",ROUND(M792*(1-K792),2),0)</x:f>
        <x:v>22000</x:v>
      </x:c>
      <x:c r="O792" s="12" t="n">
        <x:f>IF(L792="Completed",H792*J792,0)</x:f>
        <x:v>13500</x:v>
      </x:c>
      <x:c r="P792" s="12" t="n">
        <x:f>N792-O792</x:f>
        <x:v>8500</x:v>
      </x:c>
    </x:row>
    <x:row r="793" ht="21" customHeight="1">
      <x:c r="A793" s="7" t="n">
        <x:v>788</x:v>
      </x:c>
      <x:c r="B793" s="2" t="str">
        <x:v>TXN-00788</x:v>
      </x:c>
      <x:c r="C793" s="8" t="d">
        <x:v>2025-08-18T00:00:00.000Z</x:v>
      </x:c>
      <x:c r="D793" s="2" t="str">
        <x:v>Lagos</x:v>
      </x:c>
      <x:c r="E793" s="2" t="str">
        <x:v>Home</x:v>
      </x:c>
      <x:c r="F793" s="2" t="str">
        <x:v>Bedsheet</x:v>
      </x:c>
      <x:c r="G793" s="2" t="str">
        <x:v>Online</x:v>
      </x:c>
      <x:c r="H793" s="7" t="n">
        <x:v>1</x:v>
      </x:c>
      <x:c r="I793" s="9" t="n">
        <x:v>14000</x:v>
      </x:c>
      <x:c r="J793" s="9" t="n">
        <x:v>8500</x:v>
      </x:c>
      <x:c r="K793" s="10" t="n">
        <x:v>0</x:v>
      </x:c>
      <x:c r="L793" s="2" t="str">
        <x:v>Completed</x:v>
      </x:c>
      <x:c r="M793" s="12" t="n">
        <x:f>H793*I793</x:f>
        <x:v>14000</x:v>
      </x:c>
      <x:c r="N793" s="12" t="n">
        <x:f>IF(L793="Completed",ROUND(M793*(1-K793),2),0)</x:f>
        <x:v>14000</x:v>
      </x:c>
      <x:c r="O793" s="12" t="n">
        <x:f>IF(L793="Completed",H793*J793,0)</x:f>
        <x:v>8500</x:v>
      </x:c>
      <x:c r="P793" s="12" t="n">
        <x:f>N793-O793</x:f>
        <x:v>5500</x:v>
      </x:c>
    </x:row>
    <x:row r="794" ht="21" customHeight="1">
      <x:c r="A794" s="7" t="n">
        <x:v>789</x:v>
      </x:c>
      <x:c r="B794" s="2" t="str">
        <x:v>TXN-00789</x:v>
      </x:c>
      <x:c r="C794" s="8" t="d">
        <x:v>2025-08-17T00:00:00.000Z</x:v>
      </x:c>
      <x:c r="D794" s="2" t="str">
        <x:v>Abuja</x:v>
      </x:c>
      <x:c r="E794" s="2" t="str">
        <x:v>Home</x:v>
      </x:c>
      <x:c r="F794" s="2" t="str">
        <x:v>Cookware set</x:v>
      </x:c>
      <x:c r="G794" s="2" t="str">
        <x:v>Online</x:v>
      </x:c>
      <x:c r="H794" s="7" t="n">
        <x:v>4</x:v>
      </x:c>
      <x:c r="I794" s="9" t="n">
        <x:v>35000</x:v>
      </x:c>
      <x:c r="J794" s="9" t="n">
        <x:v>22500</x:v>
      </x:c>
      <x:c r="K794" s="10" t="n">
        <x:v>0.05</x:v>
      </x:c>
      <x:c r="L794" s="2" t="str">
        <x:v>Completed</x:v>
      </x:c>
      <x:c r="M794" s="12" t="n">
        <x:f>H794*I794</x:f>
        <x:v>140000</x:v>
      </x:c>
      <x:c r="N794" s="12" t="n">
        <x:f>IF(L794="Completed",ROUND(M794*(1-K794),2),0)</x:f>
        <x:v>133000</x:v>
      </x:c>
      <x:c r="O794" s="12" t="n">
        <x:f>IF(L794="Completed",H794*J794,0)</x:f>
        <x:v>90000</x:v>
      </x:c>
      <x:c r="P794" s="12" t="n">
        <x:f>N794-O794</x:f>
        <x:v>43000</x:v>
      </x:c>
    </x:row>
    <x:row r="795" ht="21" customHeight="1">
      <x:c r="A795" s="7" t="n">
        <x:v>790</x:v>
      </x:c>
      <x:c r="B795" s="2" t="str">
        <x:v>TXN-00790</x:v>
      </x:c>
      <x:c r="C795" s="8" t="d">
        <x:v>2025-08-05T00:00:00.000Z</x:v>
      </x:c>
      <x:c r="D795" s="2" t="str">
        <x:v>Port Harcourt</x:v>
      </x:c>
      <x:c r="E795" s="2" t="str">
        <x:v>Beauty</x:v>
      </x:c>
      <x:c r="F795" s="2" t="str">
        <x:v>Perfume</x:v>
      </x:c>
      <x:c r="G795" s="2" t="str">
        <x:v>Online</x:v>
      </x:c>
      <x:c r="H795" s="7" t="n">
        <x:v>1</x:v>
      </x:c>
      <x:c r="I795" s="9" t="n">
        <x:v>17000</x:v>
      </x:c>
      <x:c r="J795" s="9" t="n">
        <x:v>9000</x:v>
      </x:c>
      <x:c r="K795" s="10" t="n">
        <x:v>0</x:v>
      </x:c>
      <x:c r="L795" s="2" t="str">
        <x:v>Completed</x:v>
      </x:c>
      <x:c r="M795" s="12" t="n">
        <x:f>H795*I795</x:f>
        <x:v>17000</x:v>
      </x:c>
      <x:c r="N795" s="12" t="n">
        <x:f>IF(L795="Completed",ROUND(M795*(1-K795),2),0)</x:f>
        <x:v>17000</x:v>
      </x:c>
      <x:c r="O795" s="12" t="n">
        <x:f>IF(L795="Completed",H795*J795,0)</x:f>
        <x:v>9000</x:v>
      </x:c>
      <x:c r="P795" s="12" t="n">
        <x:f>N795-O795</x:f>
        <x:v>8000</x:v>
      </x:c>
    </x:row>
    <x:row r="796" ht="21" customHeight="1">
      <x:c r="A796" s="7" t="n">
        <x:v>791</x:v>
      </x:c>
      <x:c r="B796" s="2" t="str">
        <x:v>TXN-00791</x:v>
      </x:c>
      <x:c r="C796" s="8" t="d">
        <x:v>2025-08-01T00:00:00.000Z</x:v>
      </x:c>
      <x:c r="D796" s="2" t="str">
        <x:v>Lagos</x:v>
      </x:c>
      <x:c r="E796" s="2" t="str">
        <x:v>Beauty</x:v>
      </x:c>
      <x:c r="F796" s="2" t="str">
        <x:v>Perfume</x:v>
      </x:c>
      <x:c r="G796" s="2" t="str">
        <x:v>In-store</x:v>
      </x:c>
      <x:c r="H796" s="7" t="n">
        <x:v>2</x:v>
      </x:c>
      <x:c r="I796" s="9" t="n">
        <x:v>17000</x:v>
      </x:c>
      <x:c r="J796" s="9" t="n">
        <x:v>9000</x:v>
      </x:c>
      <x:c r="K796" s="10" t="n">
        <x:v>0</x:v>
      </x:c>
      <x:c r="L796" s="2" t="str">
        <x:v>Completed</x:v>
      </x:c>
      <x:c r="M796" s="12" t="n">
        <x:f>H796*I796</x:f>
        <x:v>34000</x:v>
      </x:c>
      <x:c r="N796" s="12" t="n">
        <x:f>IF(L796="Completed",ROUND(M796*(1-K796),2),0)</x:f>
        <x:v>34000</x:v>
      </x:c>
      <x:c r="O796" s="12" t="n">
        <x:f>IF(L796="Completed",H796*J796,0)</x:f>
        <x:v>18000</x:v>
      </x:c>
      <x:c r="P796" s="12" t="n">
        <x:f>N796-O796</x:f>
        <x:v>16000</x:v>
      </x:c>
    </x:row>
    <x:row r="797" ht="21" customHeight="1">
      <x:c r="A797" s="7" t="n">
        <x:v>792</x:v>
      </x:c>
      <x:c r="B797" s="2" t="str">
        <x:v>TXN-00792</x:v>
      </x:c>
      <x:c r="C797" s="8" t="d">
        <x:v>2025-08-04T00:00:00.000Z</x:v>
      </x:c>
      <x:c r="D797" s="2" t="str">
        <x:v>Lagos</x:v>
      </x:c>
      <x:c r="E797" s="2" t="str">
        <x:v>Electronics</x:v>
      </x:c>
      <x:c r="F797" s="2" t="str">
        <x:v>Bluetooth speaker</x:v>
      </x:c>
      <x:c r="G797" s="2" t="str">
        <x:v>Online</x:v>
      </x:c>
      <x:c r="H797" s="7" t="n">
        <x:v>1</x:v>
      </x:c>
      <x:c r="I797" s="9" t="n">
        <x:v>26000</x:v>
      </x:c>
      <x:c r="J797" s="9" t="n">
        <x:v>17000</x:v>
      </x:c>
      <x:c r="K797" s="10" t="n">
        <x:v>0</x:v>
      </x:c>
      <x:c r="L797" s="2" t="str">
        <x:v>Completed</x:v>
      </x:c>
      <x:c r="M797" s="12" t="n">
        <x:f>H797*I797</x:f>
        <x:v>26000</x:v>
      </x:c>
      <x:c r="N797" s="12" t="n">
        <x:f>IF(L797="Completed",ROUND(M797*(1-K797),2),0)</x:f>
        <x:v>26000</x:v>
      </x:c>
      <x:c r="O797" s="12" t="n">
        <x:f>IF(L797="Completed",H797*J797,0)</x:f>
        <x:v>17000</x:v>
      </x:c>
      <x:c r="P797" s="12" t="n">
        <x:f>N797-O797</x:f>
        <x:v>9000</x:v>
      </x:c>
    </x:row>
    <x:row r="798" ht="21" customHeight="1">
      <x:c r="A798" s="7" t="n">
        <x:v>793</x:v>
      </x:c>
      <x:c r="B798" s="2" t="str">
        <x:v>TXN-00793</x:v>
      </x:c>
      <x:c r="C798" s="8" t="d">
        <x:v>2025-08-24T00:00:00.000Z</x:v>
      </x:c>
      <x:c r="D798" s="2" t="str">
        <x:v>Lagos</x:v>
      </x:c>
      <x:c r="E798" s="2" t="str">
        <x:v>Beauty</x:v>
      </x:c>
      <x:c r="F798" s="2" t="str">
        <x:v>Moisturizer</x:v>
      </x:c>
      <x:c r="G798" s="2" t="str">
        <x:v>In-store</x:v>
      </x:c>
      <x:c r="H798" s="7" t="n">
        <x:v>1</x:v>
      </x:c>
      <x:c r="I798" s="9" t="n">
        <x:v>6500</x:v>
      </x:c>
      <x:c r="J798" s="9" t="n">
        <x:v>3500</x:v>
      </x:c>
      <x:c r="K798" s="10" t="n">
        <x:v>0</x:v>
      </x:c>
      <x:c r="L798" s="2" t="str">
        <x:v>Completed</x:v>
      </x:c>
      <x:c r="M798" s="12" t="n">
        <x:f>H798*I798</x:f>
        <x:v>6500</x:v>
      </x:c>
      <x:c r="N798" s="12" t="n">
        <x:f>IF(L798="Completed",ROUND(M798*(1-K798),2),0)</x:f>
        <x:v>6500</x:v>
      </x:c>
      <x:c r="O798" s="12" t="n">
        <x:f>IF(L798="Completed",H798*J798,0)</x:f>
        <x:v>3500</x:v>
      </x:c>
      <x:c r="P798" s="12" t="n">
        <x:f>N798-O798</x:f>
        <x:v>3000</x:v>
      </x:c>
    </x:row>
    <x:row r="799" ht="21" customHeight="1">
      <x:c r="A799" s="7" t="n">
        <x:v>794</x:v>
      </x:c>
      <x:c r="B799" s="2" t="str">
        <x:v>TXN-00794</x:v>
      </x:c>
      <x:c r="C799" s="8" t="d">
        <x:v>2025-08-21T00:00:00.000Z</x:v>
      </x:c>
      <x:c r="D799" s="2" t="str">
        <x:v>Lagos</x:v>
      </x:c>
      <x:c r="E799" s="2" t="str">
        <x:v>Electronics</x:v>
      </x:c>
      <x:c r="F799" s="2" t="str">
        <x:v>Headphones</x:v>
      </x:c>
      <x:c r="G799" s="2" t="str">
        <x:v>In-store</x:v>
      </x:c>
      <x:c r="H799" s="7" t="n">
        <x:v>1</x:v>
      </x:c>
      <x:c r="I799" s="9" t="n">
        <x:v>18000</x:v>
      </x:c>
      <x:c r="J799" s="9" t="n">
        <x:v>10500</x:v>
      </x:c>
      <x:c r="K799" s="10" t="n">
        <x:v>0</x:v>
      </x:c>
      <x:c r="L799" s="2" t="str">
        <x:v>Completed</x:v>
      </x:c>
      <x:c r="M799" s="12" t="n">
        <x:f>H799*I799</x:f>
        <x:v>18000</x:v>
      </x:c>
      <x:c r="N799" s="12" t="n">
        <x:f>IF(L799="Completed",ROUND(M799*(1-K799),2),0)</x:f>
        <x:v>18000</x:v>
      </x:c>
      <x:c r="O799" s="12" t="n">
        <x:f>IF(L799="Completed",H799*J799,0)</x:f>
        <x:v>10500</x:v>
      </x:c>
      <x:c r="P799" s="12" t="n">
        <x:f>N799-O799</x:f>
        <x:v>7500</x:v>
      </x:c>
    </x:row>
    <x:row r="800" ht="21" customHeight="1">
      <x:c r="A800" s="7" t="n">
        <x:v>795</x:v>
      </x:c>
      <x:c r="B800" s="2" t="str">
        <x:v>TXN-00795</x:v>
      </x:c>
      <x:c r="C800" s="8" t="d">
        <x:v>2025-08-30T00:00:00.000Z</x:v>
      </x:c>
      <x:c r="D800" s="2" t="str">
        <x:v>Lagos</x:v>
      </x:c>
      <x:c r="E800" s="2" t="str">
        <x:v>Fashion</x:v>
      </x:c>
      <x:c r="F800" s="2" t="str">
        <x:v>T-shirt</x:v>
      </x:c>
      <x:c r="G800" s="2" t="str">
        <x:v>In-store</x:v>
      </x:c>
      <x:c r="H800" s="7" t="n">
        <x:v>1</x:v>
      </x:c>
      <x:c r="I800" s="9" t="n">
        <x:v>9000</x:v>
      </x:c>
      <x:c r="J800" s="9" t="n">
        <x:v>5000</x:v>
      </x:c>
      <x:c r="K800" s="10" t="n">
        <x:v>0</x:v>
      </x:c>
      <x:c r="L800" s="2" t="str">
        <x:v>Completed</x:v>
      </x:c>
      <x:c r="M800" s="12" t="n">
        <x:f>H800*I800</x:f>
        <x:v>9000</x:v>
      </x:c>
      <x:c r="N800" s="12" t="n">
        <x:f>IF(L800="Completed",ROUND(M800*(1-K800),2),0)</x:f>
        <x:v>9000</x:v>
      </x:c>
      <x:c r="O800" s="12" t="n">
        <x:f>IF(L800="Completed",H800*J800,0)</x:f>
        <x:v>5000</x:v>
      </x:c>
      <x:c r="P800" s="12" t="n">
        <x:f>N800-O800</x:f>
        <x:v>4000</x:v>
      </x:c>
    </x:row>
    <x:row r="801" ht="21" customHeight="1">
      <x:c r="A801" s="7" t="n">
        <x:v>796</x:v>
      </x:c>
      <x:c r="B801" s="2" t="str">
        <x:v>TXN-00796</x:v>
      </x:c>
      <x:c r="C801" s="8" t="d">
        <x:v>2025-08-03T00:00:00.000Z</x:v>
      </x:c>
      <x:c r="D801" s="2" t="str">
        <x:v>Port Harcourt</x:v>
      </x:c>
      <x:c r="E801" s="2" t="str">
        <x:v>Electronics</x:v>
      </x:c>
      <x:c r="F801" s="2" t="str">
        <x:v>Headphones</x:v>
      </x:c>
      <x:c r="G801" s="2" t="str">
        <x:v>Online</x:v>
      </x:c>
      <x:c r="H801" s="7" t="n">
        <x:v>2</x:v>
      </x:c>
      <x:c r="I801" s="9" t="n">
        <x:v>18000</x:v>
      </x:c>
      <x:c r="J801" s="9" t="n">
        <x:v>10500</x:v>
      </x:c>
      <x:c r="K801" s="10" t="n">
        <x:v>0</x:v>
      </x:c>
      <x:c r="L801" s="2" t="str">
        <x:v>Completed</x:v>
      </x:c>
      <x:c r="M801" s="12" t="n">
        <x:f>H801*I801</x:f>
        <x:v>36000</x:v>
      </x:c>
      <x:c r="N801" s="12" t="n">
        <x:f>IF(L801="Completed",ROUND(M801*(1-K801),2),0)</x:f>
        <x:v>36000</x:v>
      </x:c>
      <x:c r="O801" s="12" t="n">
        <x:f>IF(L801="Completed",H801*J801,0)</x:f>
        <x:v>21000</x:v>
      </x:c>
      <x:c r="P801" s="12" t="n">
        <x:f>N801-O801</x:f>
        <x:v>15000</x:v>
      </x:c>
    </x:row>
    <x:row r="802" ht="21" customHeight="1">
      <x:c r="A802" s="7" t="n">
        <x:v>797</x:v>
      </x:c>
      <x:c r="B802" s="2" t="str">
        <x:v>TXN-00797</x:v>
      </x:c>
      <x:c r="C802" s="8" t="d">
        <x:v>2025-08-09T00:00:00.000Z</x:v>
      </x:c>
      <x:c r="D802" s="2" t="str">
        <x:v>Abuja</x:v>
      </x:c>
      <x:c r="E802" s="2" t="str">
        <x:v>Beauty</x:v>
      </x:c>
      <x:c r="F802" s="2" t="str">
        <x:v>Perfume</x:v>
      </x:c>
      <x:c r="G802" s="2" t="str">
        <x:v>Online</x:v>
      </x:c>
      <x:c r="H802" s="7" t="n">
        <x:v>1</x:v>
      </x:c>
      <x:c r="I802" s="9" t="n">
        <x:v>17000</x:v>
      </x:c>
      <x:c r="J802" s="9" t="n">
        <x:v>9000</x:v>
      </x:c>
      <x:c r="K802" s="10" t="n">
        <x:v>0</x:v>
      </x:c>
      <x:c r="L802" s="2" t="str">
        <x:v>Completed</x:v>
      </x:c>
      <x:c r="M802" s="12" t="n">
        <x:f>H802*I802</x:f>
        <x:v>17000</x:v>
      </x:c>
      <x:c r="N802" s="12" t="n">
        <x:f>IF(L802="Completed",ROUND(M802*(1-K802),2),0)</x:f>
        <x:v>17000</x:v>
      </x:c>
      <x:c r="O802" s="12" t="n">
        <x:f>IF(L802="Completed",H802*J802,0)</x:f>
        <x:v>9000</x:v>
      </x:c>
      <x:c r="P802" s="12" t="n">
        <x:f>N802-O802</x:f>
        <x:v>8000</x:v>
      </x:c>
    </x:row>
    <x:row r="803" ht="21" customHeight="1">
      <x:c r="A803" s="7" t="n">
        <x:v>798</x:v>
      </x:c>
      <x:c r="B803" s="2" t="str">
        <x:v>TXN-00798</x:v>
      </x:c>
      <x:c r="C803" s="8" t="d">
        <x:v>2025-08-04T00:00:00.000Z</x:v>
      </x:c>
      <x:c r="D803" s="2" t="str">
        <x:v>Lagos</x:v>
      </x:c>
      <x:c r="E803" s="2" t="str">
        <x:v>Fashion</x:v>
      </x:c>
      <x:c r="F803" s="2" t="str">
        <x:v>Sneakers</x:v>
      </x:c>
      <x:c r="G803" s="2" t="str">
        <x:v>Online</x:v>
      </x:c>
      <x:c r="H803" s="7" t="n">
        <x:v>1</x:v>
      </x:c>
      <x:c r="I803" s="9" t="n">
        <x:v>28000</x:v>
      </x:c>
      <x:c r="J803" s="9" t="n">
        <x:v>17500</x:v>
      </x:c>
      <x:c r="K803" s="10" t="n">
        <x:v>0.05</x:v>
      </x:c>
      <x:c r="L803" s="2" t="str">
        <x:v>Completed</x:v>
      </x:c>
      <x:c r="M803" s="12" t="n">
        <x:f>H803*I803</x:f>
        <x:v>28000</x:v>
      </x:c>
      <x:c r="N803" s="12" t="n">
        <x:f>IF(L803="Completed",ROUND(M803*(1-K803),2),0)</x:f>
        <x:v>26600</x:v>
      </x:c>
      <x:c r="O803" s="12" t="n">
        <x:f>IF(L803="Completed",H803*J803,0)</x:f>
        <x:v>17500</x:v>
      </x:c>
      <x:c r="P803" s="12" t="n">
        <x:f>N803-O803</x:f>
        <x:v>9100</x:v>
      </x:c>
    </x:row>
    <x:row r="804" ht="21" customHeight="1">
      <x:c r="A804" s="7" t="n">
        <x:v>799</x:v>
      </x:c>
      <x:c r="B804" s="2" t="str">
        <x:v>TXN-00799</x:v>
      </x:c>
      <x:c r="C804" s="8" t="d">
        <x:v>2025-08-13T00:00:00.000Z</x:v>
      </x:c>
      <x:c r="D804" s="2" t="str">
        <x:v>Kano</x:v>
      </x:c>
      <x:c r="E804" s="2" t="str">
        <x:v>Beauty</x:v>
      </x:c>
      <x:c r="F804" s="2" t="str">
        <x:v>Body wash</x:v>
      </x:c>
      <x:c r="G804" s="2" t="str">
        <x:v>Online</x:v>
      </x:c>
      <x:c r="H804" s="7" t="n">
        <x:v>1</x:v>
      </x:c>
      <x:c r="I804" s="9" t="n">
        <x:v>4500</x:v>
      </x:c>
      <x:c r="J804" s="9" t="n">
        <x:v>2300</x:v>
      </x:c>
      <x:c r="K804" s="10" t="n">
        <x:v>0.05</x:v>
      </x:c>
      <x:c r="L804" s="2" t="str">
        <x:v>Completed</x:v>
      </x:c>
      <x:c r="M804" s="12" t="n">
        <x:f>H804*I804</x:f>
        <x:v>4500</x:v>
      </x:c>
      <x:c r="N804" s="12" t="n">
        <x:f>IF(L804="Completed",ROUND(M804*(1-K804),2),0)</x:f>
        <x:v>4275</x:v>
      </x:c>
      <x:c r="O804" s="12" t="n">
        <x:f>IF(L804="Completed",H804*J804,0)</x:f>
        <x:v>2300</x:v>
      </x:c>
      <x:c r="P804" s="12" t="n">
        <x:f>N804-O804</x:f>
        <x:v>1975</x:v>
      </x:c>
    </x:row>
    <x:row r="805" ht="21" customHeight="1">
      <x:c r="A805" s="7" t="n">
        <x:v>800</x:v>
      </x:c>
      <x:c r="B805" s="2" t="str">
        <x:v>TXN-00800</x:v>
      </x:c>
      <x:c r="C805" s="8" t="d">
        <x:v>2025-08-15T00:00:00.000Z</x:v>
      </x:c>
      <x:c r="D805" s="2" t="str">
        <x:v>Lagos</x:v>
      </x:c>
      <x:c r="E805" s="2" t="str">
        <x:v>Fashion</x:v>
      </x:c>
      <x:c r="F805" s="2" t="str">
        <x:v>T-shirt</x:v>
      </x:c>
      <x:c r="G805" s="2" t="str">
        <x:v>Online</x:v>
      </x:c>
      <x:c r="H805" s="7" t="n">
        <x:v>1</x:v>
      </x:c>
      <x:c r="I805" s="9" t="n">
        <x:v>9000</x:v>
      </x:c>
      <x:c r="J805" s="9" t="n">
        <x:v>5000</x:v>
      </x:c>
      <x:c r="K805" s="10" t="n">
        <x:v>0.15</x:v>
      </x:c>
      <x:c r="L805" s="2" t="str">
        <x:v>Completed</x:v>
      </x:c>
      <x:c r="M805" s="12" t="n">
        <x:f>H805*I805</x:f>
        <x:v>9000</x:v>
      </x:c>
      <x:c r="N805" s="12" t="n">
        <x:f>IF(L805="Completed",ROUND(M805*(1-K805),2),0)</x:f>
        <x:v>7650</x:v>
      </x:c>
      <x:c r="O805" s="12" t="n">
        <x:f>IF(L805="Completed",H805*J805,0)</x:f>
        <x:v>5000</x:v>
      </x:c>
      <x:c r="P805" s="12" t="n">
        <x:f>N805-O805</x:f>
        <x:v>2650</x:v>
      </x:c>
    </x:row>
    <x:row r="806" ht="21" customHeight="1">
      <x:c r="A806" s="7" t="n">
        <x:v>801</x:v>
      </x:c>
      <x:c r="B806" s="2" t="str">
        <x:v>TXN-00801</x:v>
      </x:c>
      <x:c r="C806" s="8" t="d">
        <x:v>2025-08-16T00:00:00.000Z</x:v>
      </x:c>
      <x:c r="D806" s="2" t="str">
        <x:v>Lagos</x:v>
      </x:c>
      <x:c r="E806" s="2" t="str">
        <x:v>Beauty</x:v>
      </x:c>
      <x:c r="F806" s="2" t="str">
        <x:v>Body wash</x:v>
      </x:c>
      <x:c r="G806" s="2" t="str">
        <x:v>Online</x:v>
      </x:c>
      <x:c r="H806" s="7" t="n">
        <x:v>1</x:v>
      </x:c>
      <x:c r="I806" s="9" t="n">
        <x:v>4500</x:v>
      </x:c>
      <x:c r="J806" s="9" t="n">
        <x:v>2300</x:v>
      </x:c>
      <x:c r="K806" s="10" t="n">
        <x:v>0.05</x:v>
      </x:c>
      <x:c r="L806" s="2" t="str">
        <x:v>Completed</x:v>
      </x:c>
      <x:c r="M806" s="12" t="n">
        <x:f>H806*I806</x:f>
        <x:v>4500</x:v>
      </x:c>
      <x:c r="N806" s="12" t="n">
        <x:f>IF(L806="Completed",ROUND(M806*(1-K806),2),0)</x:f>
        <x:v>4275</x:v>
      </x:c>
      <x:c r="O806" s="12" t="n">
        <x:f>IF(L806="Completed",H806*J806,0)</x:f>
        <x:v>2300</x:v>
      </x:c>
      <x:c r="P806" s="12" t="n">
        <x:f>N806-O806</x:f>
        <x:v>1975</x:v>
      </x:c>
    </x:row>
    <x:row r="807" ht="21" customHeight="1">
      <x:c r="A807" s="7" t="n">
        <x:v>802</x:v>
      </x:c>
      <x:c r="B807" s="2" t="str">
        <x:v>TXN-00802</x:v>
      </x:c>
      <x:c r="C807" s="8" t="d">
        <x:v>2025-08-10T00:00:00.000Z</x:v>
      </x:c>
      <x:c r="D807" s="2" t="str">
        <x:v>Abuja</x:v>
      </x:c>
      <x:c r="E807" s="2" t="str">
        <x:v>Beauty</x:v>
      </x:c>
      <x:c r="F807" s="2" t="str">
        <x:v>Moisturizer</x:v>
      </x:c>
      <x:c r="G807" s="2" t="str">
        <x:v>Online</x:v>
      </x:c>
      <x:c r="H807" s="7" t="n">
        <x:v>1</x:v>
      </x:c>
      <x:c r="I807" s="9" t="n">
        <x:v>6500</x:v>
      </x:c>
      <x:c r="J807" s="9" t="n">
        <x:v>3500</x:v>
      </x:c>
      <x:c r="K807" s="10" t="n">
        <x:v>0</x:v>
      </x:c>
      <x:c r="L807" s="2" t="str">
        <x:v>Completed</x:v>
      </x:c>
      <x:c r="M807" s="12" t="n">
        <x:f>H807*I807</x:f>
        <x:v>6500</x:v>
      </x:c>
      <x:c r="N807" s="12" t="n">
        <x:f>IF(L807="Completed",ROUND(M807*(1-K807),2),0)</x:f>
        <x:v>6500</x:v>
      </x:c>
      <x:c r="O807" s="12" t="n">
        <x:f>IF(L807="Completed",H807*J807,0)</x:f>
        <x:v>3500</x:v>
      </x:c>
      <x:c r="P807" s="12" t="n">
        <x:f>N807-O807</x:f>
        <x:v>3000</x:v>
      </x:c>
    </x:row>
    <x:row r="808" ht="21" customHeight="1">
      <x:c r="A808" s="7" t="n">
        <x:v>803</x:v>
      </x:c>
      <x:c r="B808" s="2" t="str">
        <x:v>TXN-00803</x:v>
      </x:c>
      <x:c r="C808" s="8" t="d">
        <x:v>2025-08-29T00:00:00.000Z</x:v>
      </x:c>
      <x:c r="D808" s="2" t="str">
        <x:v>Port Harcourt</x:v>
      </x:c>
      <x:c r="E808" s="2" t="str">
        <x:v>Fashion</x:v>
      </x:c>
      <x:c r="F808" s="2" t="str">
        <x:v>T-shirt</x:v>
      </x:c>
      <x:c r="G808" s="2" t="str">
        <x:v>Online</x:v>
      </x:c>
      <x:c r="H808" s="7" t="n">
        <x:v>1</x:v>
      </x:c>
      <x:c r="I808" s="9" t="n">
        <x:v>9000</x:v>
      </x:c>
      <x:c r="J808" s="9" t="n">
        <x:v>5000</x:v>
      </x:c>
      <x:c r="K808" s="10" t="n">
        <x:v>0</x:v>
      </x:c>
      <x:c r="L808" s="2" t="str">
        <x:v>Returned</x:v>
      </x:c>
      <x:c r="M808" s="12" t="n">
        <x:f>H808*I808</x:f>
        <x:v>9000</x:v>
      </x:c>
      <x:c r="N808" s="12" t="n">
        <x:f>IF(L808="Completed",ROUND(M808*(1-K808),2),0)</x:f>
        <x:v>0</x:v>
      </x:c>
      <x:c r="O808" s="12" t="n">
        <x:f>IF(L808="Completed",H808*J808,0)</x:f>
        <x:v>0</x:v>
      </x:c>
      <x:c r="P808" s="12" t="n">
        <x:f>N808-O808</x:f>
        <x:v>0</x:v>
      </x:c>
    </x:row>
    <x:row r="809" ht="21" customHeight="1">
      <x:c r="A809" s="7" t="n">
        <x:v>804</x:v>
      </x:c>
      <x:c r="B809" s="2" t="str">
        <x:v>TXN-00804</x:v>
      </x:c>
      <x:c r="C809" s="8" t="d">
        <x:v>2025-08-29T00:00:00.000Z</x:v>
      </x:c>
      <x:c r="D809" s="2" t="str">
        <x:v>Abuja</x:v>
      </x:c>
      <x:c r="E809" s="2" t="str">
        <x:v>Electronics</x:v>
      </x:c>
      <x:c r="F809" s="2" t="str">
        <x:v>Power bank</x:v>
      </x:c>
      <x:c r="G809" s="2" t="str">
        <x:v>In-store</x:v>
      </x:c>
      <x:c r="H809" s="7" t="n">
        <x:v>1</x:v>
      </x:c>
      <x:c r="I809" s="9" t="n">
        <x:v>15000</x:v>
      </x:c>
      <x:c r="J809" s="9" t="n">
        <x:v>9500</x:v>
      </x:c>
      <x:c r="K809" s="10" t="n">
        <x:v>0</x:v>
      </x:c>
      <x:c r="L809" s="2" t="str">
        <x:v>Completed</x:v>
      </x:c>
      <x:c r="M809" s="12" t="n">
        <x:f>H809*I809</x:f>
        <x:v>15000</x:v>
      </x:c>
      <x:c r="N809" s="12" t="n">
        <x:f>IF(L809="Completed",ROUND(M809*(1-K809),2),0)</x:f>
        <x:v>15000</x:v>
      </x:c>
      <x:c r="O809" s="12" t="n">
        <x:f>IF(L809="Completed",H809*J809,0)</x:f>
        <x:v>9500</x:v>
      </x:c>
      <x:c r="P809" s="12" t="n">
        <x:f>N809-O809</x:f>
        <x:v>5500</x:v>
      </x:c>
    </x:row>
    <x:row r="810" ht="21" customHeight="1">
      <x:c r="A810" s="7" t="n">
        <x:v>805</x:v>
      </x:c>
      <x:c r="B810" s="2" t="str">
        <x:v>TXN-00805</x:v>
      </x:c>
      <x:c r="C810" s="8" t="d">
        <x:v>2025-08-10T00:00:00.000Z</x:v>
      </x:c>
      <x:c r="D810" s="2" t="str">
        <x:v>Lagos</x:v>
      </x:c>
      <x:c r="E810" s="2" t="str">
        <x:v>Beauty</x:v>
      </x:c>
      <x:c r="F810" s="2" t="str">
        <x:v>Body wash</x:v>
      </x:c>
      <x:c r="G810" s="2" t="str">
        <x:v>Online</x:v>
      </x:c>
      <x:c r="H810" s="7" t="n">
        <x:v>1</x:v>
      </x:c>
      <x:c r="I810" s="9" t="n">
        <x:v>4500</x:v>
      </x:c>
      <x:c r="J810" s="9" t="n">
        <x:v>2300</x:v>
      </x:c>
      <x:c r="K810" s="10" t="n">
        <x:v>0.1</x:v>
      </x:c>
      <x:c r="L810" s="2" t="str">
        <x:v>Completed</x:v>
      </x:c>
      <x:c r="M810" s="12" t="n">
        <x:f>H810*I810</x:f>
        <x:v>4500</x:v>
      </x:c>
      <x:c r="N810" s="12" t="n">
        <x:f>IF(L810="Completed",ROUND(M810*(1-K810),2),0)</x:f>
        <x:v>4050</x:v>
      </x:c>
      <x:c r="O810" s="12" t="n">
        <x:f>IF(L810="Completed",H810*J810,0)</x:f>
        <x:v>2300</x:v>
      </x:c>
      <x:c r="P810" s="12" t="n">
        <x:f>N810-O810</x:f>
        <x:v>1750</x:v>
      </x:c>
    </x:row>
    <x:row r="811" ht="21" customHeight="1">
      <x:c r="A811" s="7" t="n">
        <x:v>806</x:v>
      </x:c>
      <x:c r="B811" s="2" t="str">
        <x:v>TXN-00806</x:v>
      </x:c>
      <x:c r="C811" s="8" t="d">
        <x:v>2025-08-14T00:00:00.000Z</x:v>
      </x:c>
      <x:c r="D811" s="2" t="str">
        <x:v>Port Harcourt</x:v>
      </x:c>
      <x:c r="E811" s="2" t="str">
        <x:v>Fashion</x:v>
      </x:c>
      <x:c r="F811" s="2" t="str">
        <x:v>T-shirt</x:v>
      </x:c>
      <x:c r="G811" s="2" t="str">
        <x:v>Online</x:v>
      </x:c>
      <x:c r="H811" s="7" t="n">
        <x:v>2</x:v>
      </x:c>
      <x:c r="I811" s="9" t="n">
        <x:v>9000</x:v>
      </x:c>
      <x:c r="J811" s="9" t="n">
        <x:v>5000</x:v>
      </x:c>
      <x:c r="K811" s="10" t="n">
        <x:v>0.1</x:v>
      </x:c>
      <x:c r="L811" s="2" t="str">
        <x:v>Completed</x:v>
      </x:c>
      <x:c r="M811" s="12" t="n">
        <x:f>H811*I811</x:f>
        <x:v>18000</x:v>
      </x:c>
      <x:c r="N811" s="12" t="n">
        <x:f>IF(L811="Completed",ROUND(M811*(1-K811),2),0)</x:f>
        <x:v>16200</x:v>
      </x:c>
      <x:c r="O811" s="12" t="n">
        <x:f>IF(L811="Completed",H811*J811,0)</x:f>
        <x:v>10000</x:v>
      </x:c>
      <x:c r="P811" s="12" t="n">
        <x:f>N811-O811</x:f>
        <x:v>6200</x:v>
      </x:c>
    </x:row>
    <x:row r="812" ht="21" customHeight="1">
      <x:c r="A812" s="7" t="n">
        <x:v>807</x:v>
      </x:c>
      <x:c r="B812" s="2" t="str">
        <x:v>TXN-00807</x:v>
      </x:c>
      <x:c r="C812" s="8" t="d">
        <x:v>2025-08-16T00:00:00.000Z</x:v>
      </x:c>
      <x:c r="D812" s="2" t="str">
        <x:v>Lagos</x:v>
      </x:c>
      <x:c r="E812" s="2" t="str">
        <x:v>Home</x:v>
      </x:c>
      <x:c r="F812" s="2" t="str">
        <x:v>Bedsheet</x:v>
      </x:c>
      <x:c r="G812" s="2" t="str">
        <x:v>In-store</x:v>
      </x:c>
      <x:c r="H812" s="7" t="n">
        <x:v>4</x:v>
      </x:c>
      <x:c r="I812" s="9" t="n">
        <x:v>14000</x:v>
      </x:c>
      <x:c r="J812" s="9" t="n">
        <x:v>8500</x:v>
      </x:c>
      <x:c r="K812" s="10" t="n">
        <x:v>0.05</x:v>
      </x:c>
      <x:c r="L812" s="2" t="str">
        <x:v>Completed</x:v>
      </x:c>
      <x:c r="M812" s="12" t="n">
        <x:f>H812*I812</x:f>
        <x:v>56000</x:v>
      </x:c>
      <x:c r="N812" s="12" t="n">
        <x:f>IF(L812="Completed",ROUND(M812*(1-K812),2),0)</x:f>
        <x:v>53200</x:v>
      </x:c>
      <x:c r="O812" s="12" t="n">
        <x:f>IF(L812="Completed",H812*J812,0)</x:f>
        <x:v>34000</x:v>
      </x:c>
      <x:c r="P812" s="12" t="n">
        <x:f>N812-O812</x:f>
        <x:v>19200</x:v>
      </x:c>
    </x:row>
    <x:row r="813" ht="21" customHeight="1">
      <x:c r="A813" s="7" t="n">
        <x:v>808</x:v>
      </x:c>
      <x:c r="B813" s="2" t="str">
        <x:v>TXN-00808</x:v>
      </x:c>
      <x:c r="C813" s="8" t="d">
        <x:v>2025-08-19T00:00:00.000Z</x:v>
      </x:c>
      <x:c r="D813" s="2" t="str">
        <x:v>Lagos</x:v>
      </x:c>
      <x:c r="E813" s="2" t="str">
        <x:v>Electronics</x:v>
      </x:c>
      <x:c r="F813" s="2" t="str">
        <x:v>Power bank</x:v>
      </x:c>
      <x:c r="G813" s="2" t="str">
        <x:v>In-store</x:v>
      </x:c>
      <x:c r="H813" s="7" t="n">
        <x:v>1</x:v>
      </x:c>
      <x:c r="I813" s="9" t="n">
        <x:v>15000</x:v>
      </x:c>
      <x:c r="J813" s="9" t="n">
        <x:v>9500</x:v>
      </x:c>
      <x:c r="K813" s="10" t="n">
        <x:v>0</x:v>
      </x:c>
      <x:c r="L813" s="2" t="str">
        <x:v>Completed</x:v>
      </x:c>
      <x:c r="M813" s="12" t="n">
        <x:f>H813*I813</x:f>
        <x:v>15000</x:v>
      </x:c>
      <x:c r="N813" s="12" t="n">
        <x:f>IF(L813="Completed",ROUND(M813*(1-K813),2),0)</x:f>
        <x:v>15000</x:v>
      </x:c>
      <x:c r="O813" s="12" t="n">
        <x:f>IF(L813="Completed",H813*J813,0)</x:f>
        <x:v>9500</x:v>
      </x:c>
      <x:c r="P813" s="12" t="n">
        <x:f>N813-O813</x:f>
        <x:v>5500</x:v>
      </x:c>
    </x:row>
    <x:row r="814" ht="21" customHeight="1">
      <x:c r="A814" s="7" t="n">
        <x:v>809</x:v>
      </x:c>
      <x:c r="B814" s="2" t="str">
        <x:v>TXN-00809</x:v>
      </x:c>
      <x:c r="C814" s="8" t="d">
        <x:v>2025-08-14T00:00:00.000Z</x:v>
      </x:c>
      <x:c r="D814" s="2" t="str">
        <x:v>Lagos</x:v>
      </x:c>
      <x:c r="E814" s="2" t="str">
        <x:v>Fashion</x:v>
      </x:c>
      <x:c r="F814" s="2" t="str">
        <x:v>Sneakers</x:v>
      </x:c>
      <x:c r="G814" s="2" t="str">
        <x:v>In-store</x:v>
      </x:c>
      <x:c r="H814" s="7" t="n">
        <x:v>2</x:v>
      </x:c>
      <x:c r="I814" s="9" t="n">
        <x:v>28000</x:v>
      </x:c>
      <x:c r="J814" s="9" t="n">
        <x:v>17500</x:v>
      </x:c>
      <x:c r="K814" s="10" t="n">
        <x:v>0.05</x:v>
      </x:c>
      <x:c r="L814" s="2" t="str">
        <x:v>Returned</x:v>
      </x:c>
      <x:c r="M814" s="12" t="n">
        <x:f>H814*I814</x:f>
        <x:v>56000</x:v>
      </x:c>
      <x:c r="N814" s="12" t="n">
        <x:f>IF(L814="Completed",ROUND(M814*(1-K814),2),0)</x:f>
        <x:v>0</x:v>
      </x:c>
      <x:c r="O814" s="12" t="n">
        <x:f>IF(L814="Completed",H814*J814,0)</x:f>
        <x:v>0</x:v>
      </x:c>
      <x:c r="P814" s="12" t="n">
        <x:f>N814-O814</x:f>
        <x:v>0</x:v>
      </x:c>
    </x:row>
    <x:row r="815" ht="21" customHeight="1">
      <x:c r="A815" s="7" t="n">
        <x:v>810</x:v>
      </x:c>
      <x:c r="B815" s="2" t="str">
        <x:v>TXN-00810</x:v>
      </x:c>
      <x:c r="C815" s="8" t="d">
        <x:v>2025-08-23T00:00:00.000Z</x:v>
      </x:c>
      <x:c r="D815" s="2" t="str">
        <x:v>Port Harcourt</x:v>
      </x:c>
      <x:c r="E815" s="2" t="str">
        <x:v>Fashion</x:v>
      </x:c>
      <x:c r="F815" s="2" t="str">
        <x:v>T-shirt</x:v>
      </x:c>
      <x:c r="G815" s="2" t="str">
        <x:v>In-store</x:v>
      </x:c>
      <x:c r="H815" s="7" t="n">
        <x:v>2</x:v>
      </x:c>
      <x:c r="I815" s="9" t="n">
        <x:v>9000</x:v>
      </x:c>
      <x:c r="J815" s="9" t="n">
        <x:v>5000</x:v>
      </x:c>
      <x:c r="K815" s="10" t="n">
        <x:v>0.1</x:v>
      </x:c>
      <x:c r="L815" s="2" t="str">
        <x:v>Completed</x:v>
      </x:c>
      <x:c r="M815" s="12" t="n">
        <x:f>H815*I815</x:f>
        <x:v>18000</x:v>
      </x:c>
      <x:c r="N815" s="12" t="n">
        <x:f>IF(L815="Completed",ROUND(M815*(1-K815),2),0)</x:f>
        <x:v>16200</x:v>
      </x:c>
      <x:c r="O815" s="12" t="n">
        <x:f>IF(L815="Completed",H815*J815,0)</x:f>
        <x:v>10000</x:v>
      </x:c>
      <x:c r="P815" s="12" t="n">
        <x:f>N815-O815</x:f>
        <x:v>6200</x:v>
      </x:c>
    </x:row>
    <x:row r="816" ht="21" customHeight="1">
      <x:c r="A816" s="7" t="n">
        <x:v>811</x:v>
      </x:c>
      <x:c r="B816" s="2" t="str">
        <x:v>TXN-00811</x:v>
      </x:c>
      <x:c r="C816" s="8" t="d">
        <x:v>2025-08-01T00:00:00.000Z</x:v>
      </x:c>
      <x:c r="D816" s="2" t="str">
        <x:v>Abuja</x:v>
      </x:c>
      <x:c r="E816" s="2" t="str">
        <x:v>Beauty</x:v>
      </x:c>
      <x:c r="F816" s="2" t="str">
        <x:v>Perfume</x:v>
      </x:c>
      <x:c r="G816" s="2" t="str">
        <x:v>Online</x:v>
      </x:c>
      <x:c r="H816" s="7" t="n">
        <x:v>2</x:v>
      </x:c>
      <x:c r="I816" s="9" t="n">
        <x:v>17000</x:v>
      </x:c>
      <x:c r="J816" s="9" t="n">
        <x:v>9000</x:v>
      </x:c>
      <x:c r="K816" s="10" t="n">
        <x:v>0</x:v>
      </x:c>
      <x:c r="L816" s="2" t="str">
        <x:v>Completed</x:v>
      </x:c>
      <x:c r="M816" s="12" t="n">
        <x:f>H816*I816</x:f>
        <x:v>34000</x:v>
      </x:c>
      <x:c r="N816" s="12" t="n">
        <x:f>IF(L816="Completed",ROUND(M816*(1-K816),2),0)</x:f>
        <x:v>34000</x:v>
      </x:c>
      <x:c r="O816" s="12" t="n">
        <x:f>IF(L816="Completed",H816*J816,0)</x:f>
        <x:v>18000</x:v>
      </x:c>
      <x:c r="P816" s="12" t="n">
        <x:f>N816-O816</x:f>
        <x:v>16000</x:v>
      </x:c>
    </x:row>
    <x:row r="817" ht="21" customHeight="1">
      <x:c r="A817" s="7" t="n">
        <x:v>812</x:v>
      </x:c>
      <x:c r="B817" s="2" t="str">
        <x:v>TXN-00812</x:v>
      </x:c>
      <x:c r="C817" s="8" t="d">
        <x:v>2025-08-27T00:00:00.000Z</x:v>
      </x:c>
      <x:c r="D817" s="2" t="str">
        <x:v>Kano</x:v>
      </x:c>
      <x:c r="E817" s="2" t="str">
        <x:v>Beauty</x:v>
      </x:c>
      <x:c r="F817" s="2" t="str">
        <x:v>Body wash</x:v>
      </x:c>
      <x:c r="G817" s="2" t="str">
        <x:v>In-store</x:v>
      </x:c>
      <x:c r="H817" s="7" t="n">
        <x:v>1</x:v>
      </x:c>
      <x:c r="I817" s="9" t="n">
        <x:v>4500</x:v>
      </x:c>
      <x:c r="J817" s="9" t="n">
        <x:v>2300</x:v>
      </x:c>
      <x:c r="K817" s="10" t="n">
        <x:v>0</x:v>
      </x:c>
      <x:c r="L817" s="2" t="str">
        <x:v>Completed</x:v>
      </x:c>
      <x:c r="M817" s="12" t="n">
        <x:f>H817*I817</x:f>
        <x:v>4500</x:v>
      </x:c>
      <x:c r="N817" s="12" t="n">
        <x:f>IF(L817="Completed",ROUND(M817*(1-K817),2),0)</x:f>
        <x:v>4500</x:v>
      </x:c>
      <x:c r="O817" s="12" t="n">
        <x:f>IF(L817="Completed",H817*J817,0)</x:f>
        <x:v>2300</x:v>
      </x:c>
      <x:c r="P817" s="12" t="n">
        <x:f>N817-O817</x:f>
        <x:v>2200</x:v>
      </x:c>
    </x:row>
    <x:row r="818" ht="21" customHeight="1">
      <x:c r="A818" s="7" t="n">
        <x:v>813</x:v>
      </x:c>
      <x:c r="B818" s="2" t="str">
        <x:v>TXN-00813</x:v>
      </x:c>
      <x:c r="C818" s="8" t="d">
        <x:v>2025-08-30T00:00:00.000Z</x:v>
      </x:c>
      <x:c r="D818" s="2" t="str">
        <x:v>Kano</x:v>
      </x:c>
      <x:c r="E818" s="2" t="str">
        <x:v>Beauty</x:v>
      </x:c>
      <x:c r="F818" s="2" t="str">
        <x:v>Body wash</x:v>
      </x:c>
      <x:c r="G818" s="2" t="str">
        <x:v>Online</x:v>
      </x:c>
      <x:c r="H818" s="7" t="n">
        <x:v>1</x:v>
      </x:c>
      <x:c r="I818" s="9" t="n">
        <x:v>4500</x:v>
      </x:c>
      <x:c r="J818" s="9" t="n">
        <x:v>2300</x:v>
      </x:c>
      <x:c r="K818" s="10" t="n">
        <x:v>0</x:v>
      </x:c>
      <x:c r="L818" s="2" t="str">
        <x:v>Completed</x:v>
      </x:c>
      <x:c r="M818" s="12" t="n">
        <x:f>H818*I818</x:f>
        <x:v>4500</x:v>
      </x:c>
      <x:c r="N818" s="12" t="n">
        <x:f>IF(L818="Completed",ROUND(M818*(1-K818),2),0)</x:f>
        <x:v>4500</x:v>
      </x:c>
      <x:c r="O818" s="12" t="n">
        <x:f>IF(L818="Completed",H818*J818,0)</x:f>
        <x:v>2300</x:v>
      </x:c>
      <x:c r="P818" s="12" t="n">
        <x:f>N818-O818</x:f>
        <x:v>2200</x:v>
      </x:c>
    </x:row>
    <x:row r="819" ht="21" customHeight="1">
      <x:c r="A819" s="7" t="n">
        <x:v>814</x:v>
      </x:c>
      <x:c r="B819" s="2" t="str">
        <x:v>TXN-00814</x:v>
      </x:c>
      <x:c r="C819" s="8" t="d">
        <x:v>2025-08-26T00:00:00.000Z</x:v>
      </x:c>
      <x:c r="D819" s="2" t="str">
        <x:v>Abuja</x:v>
      </x:c>
      <x:c r="E819" s="2" t="str">
        <x:v>Fashion</x:v>
      </x:c>
      <x:c r="F819" s="2" t="str">
        <x:v>Sneakers</x:v>
      </x:c>
      <x:c r="G819" s="2" t="str">
        <x:v>Online</x:v>
      </x:c>
      <x:c r="H819" s="7" t="n">
        <x:v>1</x:v>
      </x:c>
      <x:c r="I819" s="9" t="n">
        <x:v>28000</x:v>
      </x:c>
      <x:c r="J819" s="9" t="n">
        <x:v>17500</x:v>
      </x:c>
      <x:c r="K819" s="10" t="n">
        <x:v>0</x:v>
      </x:c>
      <x:c r="L819" s="2" t="str">
        <x:v>Returned</x:v>
      </x:c>
      <x:c r="M819" s="12" t="n">
        <x:f>H819*I819</x:f>
        <x:v>28000</x:v>
      </x:c>
      <x:c r="N819" s="12" t="n">
        <x:f>IF(L819="Completed",ROUND(M819*(1-K819),2),0)</x:f>
        <x:v>0</x:v>
      </x:c>
      <x:c r="O819" s="12" t="n">
        <x:f>IF(L819="Completed",H819*J819,0)</x:f>
        <x:v>0</x:v>
      </x:c>
      <x:c r="P819" s="12" t="n">
        <x:f>N819-O819</x:f>
        <x:v>0</x:v>
      </x:c>
    </x:row>
    <x:row r="820" ht="21" customHeight="1">
      <x:c r="A820" s="7" t="n">
        <x:v>815</x:v>
      </x:c>
      <x:c r="B820" s="2" t="str">
        <x:v>TXN-00815</x:v>
      </x:c>
      <x:c r="C820" s="8" t="d">
        <x:v>2025-08-18T00:00:00.000Z</x:v>
      </x:c>
      <x:c r="D820" s="2" t="str">
        <x:v>Abuja</x:v>
      </x:c>
      <x:c r="E820" s="2" t="str">
        <x:v>Beauty</x:v>
      </x:c>
      <x:c r="F820" s="2" t="str">
        <x:v>Perfume</x:v>
      </x:c>
      <x:c r="G820" s="2" t="str">
        <x:v>Online</x:v>
      </x:c>
      <x:c r="H820" s="7" t="n">
        <x:v>4</x:v>
      </x:c>
      <x:c r="I820" s="9" t="n">
        <x:v>17000</x:v>
      </x:c>
      <x:c r="J820" s="9" t="n">
        <x:v>9000</x:v>
      </x:c>
      <x:c r="K820" s="10" t="n">
        <x:v>0</x:v>
      </x:c>
      <x:c r="L820" s="2" t="str">
        <x:v>Completed</x:v>
      </x:c>
      <x:c r="M820" s="12" t="n">
        <x:f>H820*I820</x:f>
        <x:v>68000</x:v>
      </x:c>
      <x:c r="N820" s="12" t="n">
        <x:f>IF(L820="Completed",ROUND(M820*(1-K820),2),0)</x:f>
        <x:v>68000</x:v>
      </x:c>
      <x:c r="O820" s="12" t="n">
        <x:f>IF(L820="Completed",H820*J820,0)</x:f>
        <x:v>36000</x:v>
      </x:c>
      <x:c r="P820" s="12" t="n">
        <x:f>N820-O820</x:f>
        <x:v>32000</x:v>
      </x:c>
    </x:row>
    <x:row r="821" ht="21" customHeight="1">
      <x:c r="A821" s="7" t="n">
        <x:v>816</x:v>
      </x:c>
      <x:c r="B821" s="2" t="str">
        <x:v>TXN-00816</x:v>
      </x:c>
      <x:c r="C821" s="8" t="d">
        <x:v>2025-08-02T00:00:00.000Z</x:v>
      </x:c>
      <x:c r="D821" s="2" t="str">
        <x:v>Lagos</x:v>
      </x:c>
      <x:c r="E821" s="2" t="str">
        <x:v>Home</x:v>
      </x:c>
      <x:c r="F821" s="2" t="str">
        <x:v>Cookware set</x:v>
      </x:c>
      <x:c r="G821" s="2" t="str">
        <x:v>Online</x:v>
      </x:c>
      <x:c r="H821" s="7" t="n">
        <x:v>2</x:v>
      </x:c>
      <x:c r="I821" s="9" t="n">
        <x:v>35000</x:v>
      </x:c>
      <x:c r="J821" s="9" t="n">
        <x:v>22500</x:v>
      </x:c>
      <x:c r="K821" s="10" t="n">
        <x:v>0.1</x:v>
      </x:c>
      <x:c r="L821" s="2" t="str">
        <x:v>Completed</x:v>
      </x:c>
      <x:c r="M821" s="12" t="n">
        <x:f>H821*I821</x:f>
        <x:v>70000</x:v>
      </x:c>
      <x:c r="N821" s="12" t="n">
        <x:f>IF(L821="Completed",ROUND(M821*(1-K821),2),0)</x:f>
        <x:v>63000</x:v>
      </x:c>
      <x:c r="O821" s="12" t="n">
        <x:f>IF(L821="Completed",H821*J821,0)</x:f>
        <x:v>45000</x:v>
      </x:c>
      <x:c r="P821" s="12" t="n">
        <x:f>N821-O821</x:f>
        <x:v>18000</x:v>
      </x:c>
    </x:row>
    <x:row r="822" ht="21" customHeight="1">
      <x:c r="A822" s="7" t="n">
        <x:v>817</x:v>
      </x:c>
      <x:c r="B822" s="2" t="str">
        <x:v>TXN-00817</x:v>
      </x:c>
      <x:c r="C822" s="8" t="d">
        <x:v>2025-08-02T00:00:00.000Z</x:v>
      </x:c>
      <x:c r="D822" s="2" t="str">
        <x:v>Abuja</x:v>
      </x:c>
      <x:c r="E822" s="2" t="str">
        <x:v>Home</x:v>
      </x:c>
      <x:c r="F822" s="2" t="str">
        <x:v>Bedsheet</x:v>
      </x:c>
      <x:c r="G822" s="2" t="str">
        <x:v>In-store</x:v>
      </x:c>
      <x:c r="H822" s="7" t="n">
        <x:v>3</x:v>
      </x:c>
      <x:c r="I822" s="9" t="n">
        <x:v>14000</x:v>
      </x:c>
      <x:c r="J822" s="9" t="n">
        <x:v>8500</x:v>
      </x:c>
      <x:c r="K822" s="10" t="n">
        <x:v>0.1</x:v>
      </x:c>
      <x:c r="L822" s="2" t="str">
        <x:v>Completed</x:v>
      </x:c>
      <x:c r="M822" s="12" t="n">
        <x:f>H822*I822</x:f>
        <x:v>42000</x:v>
      </x:c>
      <x:c r="N822" s="12" t="n">
        <x:f>IF(L822="Completed",ROUND(M822*(1-K822),2),0)</x:f>
        <x:v>37800</x:v>
      </x:c>
      <x:c r="O822" s="12" t="n">
        <x:f>IF(L822="Completed",H822*J822,0)</x:f>
        <x:v>25500</x:v>
      </x:c>
      <x:c r="P822" s="12" t="n">
        <x:f>N822-O822</x:f>
        <x:v>12300</x:v>
      </x:c>
    </x:row>
    <x:row r="823" ht="21" customHeight="1">
      <x:c r="A823" s="7" t="n">
        <x:v>818</x:v>
      </x:c>
      <x:c r="B823" s="2" t="str">
        <x:v>TXN-00818</x:v>
      </x:c>
      <x:c r="C823" s="8" t="d">
        <x:v>2025-08-06T00:00:00.000Z</x:v>
      </x:c>
      <x:c r="D823" s="2" t="str">
        <x:v>Port Harcourt</x:v>
      </x:c>
      <x:c r="E823" s="2" t="str">
        <x:v>Beauty</x:v>
      </x:c>
      <x:c r="F823" s="2" t="str">
        <x:v>Perfume</x:v>
      </x:c>
      <x:c r="G823" s="2" t="str">
        <x:v>Online</x:v>
      </x:c>
      <x:c r="H823" s="7" t="n">
        <x:v>1</x:v>
      </x:c>
      <x:c r="I823" s="9" t="n">
        <x:v>17000</x:v>
      </x:c>
      <x:c r="J823" s="9" t="n">
        <x:v>9000</x:v>
      </x:c>
      <x:c r="K823" s="10" t="n">
        <x:v>0</x:v>
      </x:c>
      <x:c r="L823" s="2" t="str">
        <x:v>Completed</x:v>
      </x:c>
      <x:c r="M823" s="12" t="n">
        <x:f>H823*I823</x:f>
        <x:v>17000</x:v>
      </x:c>
      <x:c r="N823" s="12" t="n">
        <x:f>IF(L823="Completed",ROUND(M823*(1-K823),2),0)</x:f>
        <x:v>17000</x:v>
      </x:c>
      <x:c r="O823" s="12" t="n">
        <x:f>IF(L823="Completed",H823*J823,0)</x:f>
        <x:v>9000</x:v>
      </x:c>
      <x:c r="P823" s="12" t="n">
        <x:f>N823-O823</x:f>
        <x:v>8000</x:v>
      </x:c>
    </x:row>
    <x:row r="824" ht="21" customHeight="1">
      <x:c r="A824" s="7" t="n">
        <x:v>819</x:v>
      </x:c>
      <x:c r="B824" s="2" t="str">
        <x:v>TXN-00819</x:v>
      </x:c>
      <x:c r="C824" s="8" t="d">
        <x:v>2025-08-31T00:00:00.000Z</x:v>
      </x:c>
      <x:c r="D824" s="2" t="str">
        <x:v>Lagos</x:v>
      </x:c>
      <x:c r="E824" s="2" t="str">
        <x:v>Beauty</x:v>
      </x:c>
      <x:c r="F824" s="2" t="str">
        <x:v>Body wash</x:v>
      </x:c>
      <x:c r="G824" s="2" t="str">
        <x:v>Online</x:v>
      </x:c>
      <x:c r="H824" s="7" t="n">
        <x:v>1</x:v>
      </x:c>
      <x:c r="I824" s="9" t="n">
        <x:v>4500</x:v>
      </x:c>
      <x:c r="J824" s="9" t="n">
        <x:v>2300</x:v>
      </x:c>
      <x:c r="K824" s="10" t="n">
        <x:v>0</x:v>
      </x:c>
      <x:c r="L824" s="2" t="str">
        <x:v>Completed</x:v>
      </x:c>
      <x:c r="M824" s="12" t="n">
        <x:f>H824*I824</x:f>
        <x:v>4500</x:v>
      </x:c>
      <x:c r="N824" s="12" t="n">
        <x:f>IF(L824="Completed",ROUND(M824*(1-K824),2),0)</x:f>
        <x:v>4500</x:v>
      </x:c>
      <x:c r="O824" s="12" t="n">
        <x:f>IF(L824="Completed",H824*J824,0)</x:f>
        <x:v>2300</x:v>
      </x:c>
      <x:c r="P824" s="12" t="n">
        <x:f>N824-O824</x:f>
        <x:v>2200</x:v>
      </x:c>
    </x:row>
    <x:row r="825" ht="21" customHeight="1">
      <x:c r="A825" s="7" t="n">
        <x:v>820</x:v>
      </x:c>
      <x:c r="B825" s="2" t="str">
        <x:v>TXN-00820</x:v>
      </x:c>
      <x:c r="C825" s="8" t="d">
        <x:v>2025-08-19T00:00:00.000Z</x:v>
      </x:c>
      <x:c r="D825" s="2" t="str">
        <x:v>Abuja</x:v>
      </x:c>
      <x:c r="E825" s="2" t="str">
        <x:v>Electronics</x:v>
      </x:c>
      <x:c r="F825" s="2" t="str">
        <x:v>Power bank</x:v>
      </x:c>
      <x:c r="G825" s="2" t="str">
        <x:v>In-store</x:v>
      </x:c>
      <x:c r="H825" s="7" t="n">
        <x:v>1</x:v>
      </x:c>
      <x:c r="I825" s="9" t="n">
        <x:v>15000</x:v>
      </x:c>
      <x:c r="J825" s="9" t="n">
        <x:v>9500</x:v>
      </x:c>
      <x:c r="K825" s="10" t="n">
        <x:v>0.1</x:v>
      </x:c>
      <x:c r="L825" s="2" t="str">
        <x:v>Completed</x:v>
      </x:c>
      <x:c r="M825" s="12" t="n">
        <x:f>H825*I825</x:f>
        <x:v>15000</x:v>
      </x:c>
      <x:c r="N825" s="12" t="n">
        <x:f>IF(L825="Completed",ROUND(M825*(1-K825),2),0)</x:f>
        <x:v>13500</x:v>
      </x:c>
      <x:c r="O825" s="12" t="n">
        <x:f>IF(L825="Completed",H825*J825,0)</x:f>
        <x:v>9500</x:v>
      </x:c>
      <x:c r="P825" s="12" t="n">
        <x:f>N825-O825</x:f>
        <x:v>4000</x:v>
      </x:c>
    </x:row>
    <x:row r="826" ht="21" customHeight="1">
      <x:c r="A826" s="7" t="n">
        <x:v>821</x:v>
      </x:c>
      <x:c r="B826" s="2" t="str">
        <x:v>TXN-00821</x:v>
      </x:c>
      <x:c r="C826" s="8" t="d">
        <x:v>2025-08-20T00:00:00.000Z</x:v>
      </x:c>
      <x:c r="D826" s="2" t="str">
        <x:v>Kano</x:v>
      </x:c>
      <x:c r="E826" s="2" t="str">
        <x:v>Home</x:v>
      </x:c>
      <x:c r="F826" s="2" t="str">
        <x:v>Desk lamp</x:v>
      </x:c>
      <x:c r="G826" s="2" t="str">
        <x:v>In-store</x:v>
      </x:c>
      <x:c r="H826" s="7" t="n">
        <x:v>1</x:v>
      </x:c>
      <x:c r="I826" s="9" t="n">
        <x:v>12000</x:v>
      </x:c>
      <x:c r="J826" s="9" t="n">
        <x:v>7200</x:v>
      </x:c>
      <x:c r="K826" s="10" t="n">
        <x:v>0.1</x:v>
      </x:c>
      <x:c r="L826" s="2" t="str">
        <x:v>Completed</x:v>
      </x:c>
      <x:c r="M826" s="12" t="n">
        <x:f>H826*I826</x:f>
        <x:v>12000</x:v>
      </x:c>
      <x:c r="N826" s="12" t="n">
        <x:f>IF(L826="Completed",ROUND(M826*(1-K826),2),0)</x:f>
        <x:v>10800</x:v>
      </x:c>
      <x:c r="O826" s="12" t="n">
        <x:f>IF(L826="Completed",H826*J826,0)</x:f>
        <x:v>7200</x:v>
      </x:c>
      <x:c r="P826" s="12" t="n">
        <x:f>N826-O826</x:f>
        <x:v>3600</x:v>
      </x:c>
    </x:row>
    <x:row r="827" ht="21" customHeight="1">
      <x:c r="A827" s="7" t="n">
        <x:v>822</x:v>
      </x:c>
      <x:c r="B827" s="2" t="str">
        <x:v>TXN-00822</x:v>
      </x:c>
      <x:c r="C827" s="8" t="d">
        <x:v>2025-08-31T00:00:00.000Z</x:v>
      </x:c>
      <x:c r="D827" s="2" t="str">
        <x:v>Abuja</x:v>
      </x:c>
      <x:c r="E827" s="2" t="str">
        <x:v>Fashion</x:v>
      </x:c>
      <x:c r="F827" s="2" t="str">
        <x:v>Handbag</x:v>
      </x:c>
      <x:c r="G827" s="2" t="str">
        <x:v>In-store</x:v>
      </x:c>
      <x:c r="H827" s="7" t="n">
        <x:v>3</x:v>
      </x:c>
      <x:c r="I827" s="9" t="n">
        <x:v>22000</x:v>
      </x:c>
      <x:c r="J827" s="9" t="n">
        <x:v>13500</x:v>
      </x:c>
      <x:c r="K827" s="10" t="n">
        <x:v>0.05</x:v>
      </x:c>
      <x:c r="L827" s="2" t="str">
        <x:v>Completed</x:v>
      </x:c>
      <x:c r="M827" s="12" t="n">
        <x:f>H827*I827</x:f>
        <x:v>66000</x:v>
      </x:c>
      <x:c r="N827" s="12" t="n">
        <x:f>IF(L827="Completed",ROUND(M827*(1-K827),2),0)</x:f>
        <x:v>62700</x:v>
      </x:c>
      <x:c r="O827" s="12" t="n">
        <x:f>IF(L827="Completed",H827*J827,0)</x:f>
        <x:v>40500</x:v>
      </x:c>
      <x:c r="P827" s="12" t="n">
        <x:f>N827-O827</x:f>
        <x:v>22200</x:v>
      </x:c>
    </x:row>
    <x:row r="828" ht="21" customHeight="1">
      <x:c r="A828" s="7" t="n">
        <x:v>823</x:v>
      </x:c>
      <x:c r="B828" s="2" t="str">
        <x:v>TXN-00823</x:v>
      </x:c>
      <x:c r="C828" s="8" t="d">
        <x:v>2025-08-04T00:00:00.000Z</x:v>
      </x:c>
      <x:c r="D828" s="2" t="str">
        <x:v>Lagos</x:v>
      </x:c>
      <x:c r="E828" s="2" t="str">
        <x:v>Home</x:v>
      </x:c>
      <x:c r="F828" s="2" t="str">
        <x:v>Cookware set</x:v>
      </x:c>
      <x:c r="G828" s="2" t="str">
        <x:v>Online</x:v>
      </x:c>
      <x:c r="H828" s="7" t="n">
        <x:v>1</x:v>
      </x:c>
      <x:c r="I828" s="9" t="n">
        <x:v>35000</x:v>
      </x:c>
      <x:c r="J828" s="9" t="n">
        <x:v>22500</x:v>
      </x:c>
      <x:c r="K828" s="10" t="n">
        <x:v>0</x:v>
      </x:c>
      <x:c r="L828" s="2" t="str">
        <x:v>Completed</x:v>
      </x:c>
      <x:c r="M828" s="12" t="n">
        <x:f>H828*I828</x:f>
        <x:v>35000</x:v>
      </x:c>
      <x:c r="N828" s="12" t="n">
        <x:f>IF(L828="Completed",ROUND(M828*(1-K828),2),0)</x:f>
        <x:v>35000</x:v>
      </x:c>
      <x:c r="O828" s="12" t="n">
        <x:f>IF(L828="Completed",H828*J828,0)</x:f>
        <x:v>22500</x:v>
      </x:c>
      <x:c r="P828" s="12" t="n">
        <x:f>N828-O828</x:f>
        <x:v>12500</x:v>
      </x:c>
    </x:row>
    <x:row r="829" ht="21" customHeight="1">
      <x:c r="A829" s="7" t="n">
        <x:v>824</x:v>
      </x:c>
      <x:c r="B829" s="2" t="str">
        <x:v>TXN-00824</x:v>
      </x:c>
      <x:c r="C829" s="8" t="d">
        <x:v>2025-08-06T00:00:00.000Z</x:v>
      </x:c>
      <x:c r="D829" s="2" t="str">
        <x:v>Lagos</x:v>
      </x:c>
      <x:c r="E829" s="2" t="str">
        <x:v>Home</x:v>
      </x:c>
      <x:c r="F829" s="2" t="str">
        <x:v>Bedsheet</x:v>
      </x:c>
      <x:c r="G829" s="2" t="str">
        <x:v>Online</x:v>
      </x:c>
      <x:c r="H829" s="7" t="n">
        <x:v>1</x:v>
      </x:c>
      <x:c r="I829" s="9" t="n">
        <x:v>14000</x:v>
      </x:c>
      <x:c r="J829" s="9" t="n">
        <x:v>8500</x:v>
      </x:c>
      <x:c r="K829" s="10" t="n">
        <x:v>0.05</x:v>
      </x:c>
      <x:c r="L829" s="2" t="str">
        <x:v>Completed</x:v>
      </x:c>
      <x:c r="M829" s="12" t="n">
        <x:f>H829*I829</x:f>
        <x:v>14000</x:v>
      </x:c>
      <x:c r="N829" s="12" t="n">
        <x:f>IF(L829="Completed",ROUND(M829*(1-K829),2),0)</x:f>
        <x:v>13300</x:v>
      </x:c>
      <x:c r="O829" s="12" t="n">
        <x:f>IF(L829="Completed",H829*J829,0)</x:f>
        <x:v>8500</x:v>
      </x:c>
      <x:c r="P829" s="12" t="n">
        <x:f>N829-O829</x:f>
        <x:v>4800</x:v>
      </x:c>
    </x:row>
    <x:row r="830" ht="21" customHeight="1">
      <x:c r="A830" s="7" t="n">
        <x:v>825</x:v>
      </x:c>
      <x:c r="B830" s="2" t="str">
        <x:v>TXN-00825</x:v>
      </x:c>
      <x:c r="C830" s="8" t="d">
        <x:v>2025-08-12T00:00:00.000Z</x:v>
      </x:c>
      <x:c r="D830" s="2" t="str">
        <x:v>Lagos</x:v>
      </x:c>
      <x:c r="E830" s="2" t="str">
        <x:v>Electronics</x:v>
      </x:c>
      <x:c r="F830" s="2" t="str">
        <x:v>Power bank</x:v>
      </x:c>
      <x:c r="G830" s="2" t="str">
        <x:v>Online</x:v>
      </x:c>
      <x:c r="H830" s="7" t="n">
        <x:v>1</x:v>
      </x:c>
      <x:c r="I830" s="9" t="n">
        <x:v>15000</x:v>
      </x:c>
      <x:c r="J830" s="9" t="n">
        <x:v>9500</x:v>
      </x:c>
      <x:c r="K830" s="10" t="n">
        <x:v>0.1</x:v>
      </x:c>
      <x:c r="L830" s="2" t="str">
        <x:v>Returned</x:v>
      </x:c>
      <x:c r="M830" s="12" t="n">
        <x:f>H830*I830</x:f>
        <x:v>15000</x:v>
      </x:c>
      <x:c r="N830" s="12" t="n">
        <x:f>IF(L830="Completed",ROUND(M830*(1-K830),2),0)</x:f>
        <x:v>0</x:v>
      </x:c>
      <x:c r="O830" s="12" t="n">
        <x:f>IF(L830="Completed",H830*J830,0)</x:f>
        <x:v>0</x:v>
      </x:c>
      <x:c r="P830" s="12" t="n">
        <x:f>N830-O830</x:f>
        <x:v>0</x:v>
      </x:c>
    </x:row>
    <x:row r="831" ht="21" customHeight="1">
      <x:c r="A831" s="7" t="n">
        <x:v>826</x:v>
      </x:c>
      <x:c r="B831" s="2" t="str">
        <x:v>TXN-00826</x:v>
      </x:c>
      <x:c r="C831" s="8" t="d">
        <x:v>2025-08-11T00:00:00.000Z</x:v>
      </x:c>
      <x:c r="D831" s="2" t="str">
        <x:v>Lagos</x:v>
      </x:c>
      <x:c r="E831" s="2" t="str">
        <x:v>Beauty</x:v>
      </x:c>
      <x:c r="F831" s="2" t="str">
        <x:v>Body wash</x:v>
      </x:c>
      <x:c r="G831" s="2" t="str">
        <x:v>In-store</x:v>
      </x:c>
      <x:c r="H831" s="7" t="n">
        <x:v>1</x:v>
      </x:c>
      <x:c r="I831" s="9" t="n">
        <x:v>4500</x:v>
      </x:c>
      <x:c r="J831" s="9" t="n">
        <x:v>2300</x:v>
      </x:c>
      <x:c r="K831" s="10" t="n">
        <x:v>0</x:v>
      </x:c>
      <x:c r="L831" s="2" t="str">
        <x:v>Completed</x:v>
      </x:c>
      <x:c r="M831" s="12" t="n">
        <x:f>H831*I831</x:f>
        <x:v>4500</x:v>
      </x:c>
      <x:c r="N831" s="12" t="n">
        <x:f>IF(L831="Completed",ROUND(M831*(1-K831),2),0)</x:f>
        <x:v>4500</x:v>
      </x:c>
      <x:c r="O831" s="12" t="n">
        <x:f>IF(L831="Completed",H831*J831,0)</x:f>
        <x:v>2300</x:v>
      </x:c>
      <x:c r="P831" s="12" t="n">
        <x:f>N831-O831</x:f>
        <x:v>2200</x:v>
      </x:c>
    </x:row>
    <x:row r="832" ht="21" customHeight="1">
      <x:c r="A832" s="7" t="n">
        <x:v>827</x:v>
      </x:c>
      <x:c r="B832" s="2" t="str">
        <x:v>TXN-00827</x:v>
      </x:c>
      <x:c r="C832" s="8" t="d">
        <x:v>2025-08-06T00:00:00.000Z</x:v>
      </x:c>
      <x:c r="D832" s="2" t="str">
        <x:v>Lagos</x:v>
      </x:c>
      <x:c r="E832" s="2" t="str">
        <x:v>Beauty</x:v>
      </x:c>
      <x:c r="F832" s="2" t="str">
        <x:v>Perfume</x:v>
      </x:c>
      <x:c r="G832" s="2" t="str">
        <x:v>Online</x:v>
      </x:c>
      <x:c r="H832" s="7" t="n">
        <x:v>1</x:v>
      </x:c>
      <x:c r="I832" s="9" t="n">
        <x:v>17000</x:v>
      </x:c>
      <x:c r="J832" s="9" t="n">
        <x:v>9000</x:v>
      </x:c>
      <x:c r="K832" s="10" t="n">
        <x:v>0</x:v>
      </x:c>
      <x:c r="L832" s="2" t="str">
        <x:v>Completed</x:v>
      </x:c>
      <x:c r="M832" s="12" t="n">
        <x:f>H832*I832</x:f>
        <x:v>17000</x:v>
      </x:c>
      <x:c r="N832" s="12" t="n">
        <x:f>IF(L832="Completed",ROUND(M832*(1-K832),2),0)</x:f>
        <x:v>17000</x:v>
      </x:c>
      <x:c r="O832" s="12" t="n">
        <x:f>IF(L832="Completed",H832*J832,0)</x:f>
        <x:v>9000</x:v>
      </x:c>
      <x:c r="P832" s="12" t="n">
        <x:f>N832-O832</x:f>
        <x:v>8000</x:v>
      </x:c>
    </x:row>
    <x:row r="833" ht="21" customHeight="1">
      <x:c r="A833" s="7" t="n">
        <x:v>828</x:v>
      </x:c>
      <x:c r="B833" s="2" t="str">
        <x:v>TXN-00828</x:v>
      </x:c>
      <x:c r="C833" s="8" t="d">
        <x:v>2025-08-03T00:00:00.000Z</x:v>
      </x:c>
      <x:c r="D833" s="2" t="str">
        <x:v>Port Harcourt</x:v>
      </x:c>
      <x:c r="E833" s="2" t="str">
        <x:v>Electronics</x:v>
      </x:c>
      <x:c r="F833" s="2" t="str">
        <x:v>Bluetooth speaker</x:v>
      </x:c>
      <x:c r="G833" s="2" t="str">
        <x:v>In-store</x:v>
      </x:c>
      <x:c r="H833" s="7" t="n">
        <x:v>2</x:v>
      </x:c>
      <x:c r="I833" s="9" t="n">
        <x:v>26000</x:v>
      </x:c>
      <x:c r="J833" s="9" t="n">
        <x:v>17000</x:v>
      </x:c>
      <x:c r="K833" s="10" t="n">
        <x:v>0</x:v>
      </x:c>
      <x:c r="L833" s="2" t="str">
        <x:v>Completed</x:v>
      </x:c>
      <x:c r="M833" s="12" t="n">
        <x:f>H833*I833</x:f>
        <x:v>52000</x:v>
      </x:c>
      <x:c r="N833" s="12" t="n">
        <x:f>IF(L833="Completed",ROUND(M833*(1-K833),2),0)</x:f>
        <x:v>52000</x:v>
      </x:c>
      <x:c r="O833" s="12" t="n">
        <x:f>IF(L833="Completed",H833*J833,0)</x:f>
        <x:v>34000</x:v>
      </x:c>
      <x:c r="P833" s="12" t="n">
        <x:f>N833-O833</x:f>
        <x:v>18000</x:v>
      </x:c>
    </x:row>
    <x:row r="834" ht="21" customHeight="1">
      <x:c r="A834" s="7" t="n">
        <x:v>829</x:v>
      </x:c>
      <x:c r="B834" s="2" t="str">
        <x:v>TXN-00829</x:v>
      </x:c>
      <x:c r="C834" s="8" t="d">
        <x:v>2025-08-09T00:00:00.000Z</x:v>
      </x:c>
      <x:c r="D834" s="2" t="str">
        <x:v>Port Harcourt</x:v>
      </x:c>
      <x:c r="E834" s="2" t="str">
        <x:v>Fashion</x:v>
      </x:c>
      <x:c r="F834" s="2" t="str">
        <x:v>Handbag</x:v>
      </x:c>
      <x:c r="G834" s="2" t="str">
        <x:v>Online</x:v>
      </x:c>
      <x:c r="H834" s="7" t="n">
        <x:v>2</x:v>
      </x:c>
      <x:c r="I834" s="9" t="n">
        <x:v>22000</x:v>
      </x:c>
      <x:c r="J834" s="9" t="n">
        <x:v>13500</x:v>
      </x:c>
      <x:c r="K834" s="10" t="n">
        <x:v>0</x:v>
      </x:c>
      <x:c r="L834" s="2" t="str">
        <x:v>Completed</x:v>
      </x:c>
      <x:c r="M834" s="12" t="n">
        <x:f>H834*I834</x:f>
        <x:v>44000</x:v>
      </x:c>
      <x:c r="N834" s="12" t="n">
        <x:f>IF(L834="Completed",ROUND(M834*(1-K834),2),0)</x:f>
        <x:v>44000</x:v>
      </x:c>
      <x:c r="O834" s="12" t="n">
        <x:f>IF(L834="Completed",H834*J834,0)</x:f>
        <x:v>27000</x:v>
      </x:c>
      <x:c r="P834" s="12" t="n">
        <x:f>N834-O834</x:f>
        <x:v>17000</x:v>
      </x:c>
    </x:row>
    <x:row r="835" ht="21" customHeight="1">
      <x:c r="A835" s="7" t="n">
        <x:v>830</x:v>
      </x:c>
      <x:c r="B835" s="2" t="str">
        <x:v>TXN-00830</x:v>
      </x:c>
      <x:c r="C835" s="8" t="d">
        <x:v>2025-08-14T00:00:00.000Z</x:v>
      </x:c>
      <x:c r="D835" s="2" t="str">
        <x:v>Lagos</x:v>
      </x:c>
      <x:c r="E835" s="2" t="str">
        <x:v>Beauty</x:v>
      </x:c>
      <x:c r="F835" s="2" t="str">
        <x:v>Perfume</x:v>
      </x:c>
      <x:c r="G835" s="2" t="str">
        <x:v>Online</x:v>
      </x:c>
      <x:c r="H835" s="7" t="n">
        <x:v>2</x:v>
      </x:c>
      <x:c r="I835" s="9" t="n">
        <x:v>17000</x:v>
      </x:c>
      <x:c r="J835" s="9" t="n">
        <x:v>9000</x:v>
      </x:c>
      <x:c r="K835" s="10" t="n">
        <x:v>0</x:v>
      </x:c>
      <x:c r="L835" s="2" t="str">
        <x:v>Completed</x:v>
      </x:c>
      <x:c r="M835" s="12" t="n">
        <x:f>H835*I835</x:f>
        <x:v>34000</x:v>
      </x:c>
      <x:c r="N835" s="12" t="n">
        <x:f>IF(L835="Completed",ROUND(M835*(1-K835),2),0)</x:f>
        <x:v>34000</x:v>
      </x:c>
      <x:c r="O835" s="12" t="n">
        <x:f>IF(L835="Completed",H835*J835,0)</x:f>
        <x:v>18000</x:v>
      </x:c>
      <x:c r="P835" s="12" t="n">
        <x:f>N835-O835</x:f>
        <x:v>16000</x:v>
      </x:c>
    </x:row>
    <x:row r="836" ht="21" customHeight="1">
      <x:c r="A836" s="7" t="n">
        <x:v>831</x:v>
      </x:c>
      <x:c r="B836" s="2" t="str">
        <x:v>TXN-00831</x:v>
      </x:c>
      <x:c r="C836" s="8" t="d">
        <x:v>2025-08-30T00:00:00.000Z</x:v>
      </x:c>
      <x:c r="D836" s="2" t="str">
        <x:v>Lagos</x:v>
      </x:c>
      <x:c r="E836" s="2" t="str">
        <x:v>Electronics</x:v>
      </x:c>
      <x:c r="F836" s="2" t="str">
        <x:v>Power bank</x:v>
      </x:c>
      <x:c r="G836" s="2" t="str">
        <x:v>Online</x:v>
      </x:c>
      <x:c r="H836" s="7" t="n">
        <x:v>3</x:v>
      </x:c>
      <x:c r="I836" s="9" t="n">
        <x:v>15000</x:v>
      </x:c>
      <x:c r="J836" s="9" t="n">
        <x:v>9500</x:v>
      </x:c>
      <x:c r="K836" s="10" t="n">
        <x:v>0.1</x:v>
      </x:c>
      <x:c r="L836" s="2" t="str">
        <x:v>Completed</x:v>
      </x:c>
      <x:c r="M836" s="12" t="n">
        <x:f>H836*I836</x:f>
        <x:v>45000</x:v>
      </x:c>
      <x:c r="N836" s="12" t="n">
        <x:f>IF(L836="Completed",ROUND(M836*(1-K836),2),0)</x:f>
        <x:v>40500</x:v>
      </x:c>
      <x:c r="O836" s="12" t="n">
        <x:f>IF(L836="Completed",H836*J836,0)</x:f>
        <x:v>28500</x:v>
      </x:c>
      <x:c r="P836" s="12" t="n">
        <x:f>N836-O836</x:f>
        <x:v>12000</x:v>
      </x:c>
    </x:row>
    <x:row r="837" ht="21" customHeight="1">
      <x:c r="A837" s="7" t="n">
        <x:v>832</x:v>
      </x:c>
      <x:c r="B837" s="2" t="str">
        <x:v>TXN-00832</x:v>
      </x:c>
      <x:c r="C837" s="8" t="d">
        <x:v>2025-08-21T00:00:00.000Z</x:v>
      </x:c>
      <x:c r="D837" s="2" t="str">
        <x:v>Lagos</x:v>
      </x:c>
      <x:c r="E837" s="2" t="str">
        <x:v>Fashion</x:v>
      </x:c>
      <x:c r="F837" s="2" t="str">
        <x:v>Sneakers</x:v>
      </x:c>
      <x:c r="G837" s="2" t="str">
        <x:v>In-store</x:v>
      </x:c>
      <x:c r="H837" s="7" t="n">
        <x:v>1</x:v>
      </x:c>
      <x:c r="I837" s="9" t="n">
        <x:v>28000</x:v>
      </x:c>
      <x:c r="J837" s="9" t="n">
        <x:v>17500</x:v>
      </x:c>
      <x:c r="K837" s="10" t="n">
        <x:v>0.1</x:v>
      </x:c>
      <x:c r="L837" s="2" t="str">
        <x:v>Completed</x:v>
      </x:c>
      <x:c r="M837" s="12" t="n">
        <x:f>H837*I837</x:f>
        <x:v>28000</x:v>
      </x:c>
      <x:c r="N837" s="12" t="n">
        <x:f>IF(L837="Completed",ROUND(M837*(1-K837),2),0)</x:f>
        <x:v>25200</x:v>
      </x:c>
      <x:c r="O837" s="12" t="n">
        <x:f>IF(L837="Completed",H837*J837,0)</x:f>
        <x:v>17500</x:v>
      </x:c>
      <x:c r="P837" s="12" t="n">
        <x:f>N837-O837</x:f>
        <x:v>7700</x:v>
      </x:c>
    </x:row>
    <x:row r="838" ht="21" customHeight="1">
      <x:c r="A838" s="7" t="n">
        <x:v>833</x:v>
      </x:c>
      <x:c r="B838" s="2" t="str">
        <x:v>TXN-00833</x:v>
      </x:c>
      <x:c r="C838" s="8" t="d">
        <x:v>2025-08-31T00:00:00.000Z</x:v>
      </x:c>
      <x:c r="D838" s="2" t="str">
        <x:v>Lagos</x:v>
      </x:c>
      <x:c r="E838" s="2" t="str">
        <x:v>Electronics</x:v>
      </x:c>
      <x:c r="F838" s="2" t="str">
        <x:v>Power bank</x:v>
      </x:c>
      <x:c r="G838" s="2" t="str">
        <x:v>In-store</x:v>
      </x:c>
      <x:c r="H838" s="7" t="n">
        <x:v>2</x:v>
      </x:c>
      <x:c r="I838" s="9" t="n">
        <x:v>15000</x:v>
      </x:c>
      <x:c r="J838" s="9" t="n">
        <x:v>9500</x:v>
      </x:c>
      <x:c r="K838" s="10" t="n">
        <x:v>0</x:v>
      </x:c>
      <x:c r="L838" s="2" t="str">
        <x:v>Completed</x:v>
      </x:c>
      <x:c r="M838" s="12" t="n">
        <x:f>H838*I838</x:f>
        <x:v>30000</x:v>
      </x:c>
      <x:c r="N838" s="12" t="n">
        <x:f>IF(L838="Completed",ROUND(M838*(1-K838),2),0)</x:f>
        <x:v>30000</x:v>
      </x:c>
      <x:c r="O838" s="12" t="n">
        <x:f>IF(L838="Completed",H838*J838,0)</x:f>
        <x:v>19000</x:v>
      </x:c>
      <x:c r="P838" s="12" t="n">
        <x:f>N838-O838</x:f>
        <x:v>11000</x:v>
      </x:c>
    </x:row>
    <x:row r="839" ht="21" customHeight="1">
      <x:c r="A839" s="7" t="n">
        <x:v>834</x:v>
      </x:c>
      <x:c r="B839" s="2" t="str">
        <x:v>TXN-00834</x:v>
      </x:c>
      <x:c r="C839" s="8" t="d">
        <x:v>2025-08-11T00:00:00.000Z</x:v>
      </x:c>
      <x:c r="D839" s="2" t="str">
        <x:v>Abuja</x:v>
      </x:c>
      <x:c r="E839" s="2" t="str">
        <x:v>Electronics</x:v>
      </x:c>
      <x:c r="F839" s="2" t="str">
        <x:v>Bluetooth speaker</x:v>
      </x:c>
      <x:c r="G839" s="2" t="str">
        <x:v>In-store</x:v>
      </x:c>
      <x:c r="H839" s="7" t="n">
        <x:v>1</x:v>
      </x:c>
      <x:c r="I839" s="9" t="n">
        <x:v>26000</x:v>
      </x:c>
      <x:c r="J839" s="9" t="n">
        <x:v>17000</x:v>
      </x:c>
      <x:c r="K839" s="10" t="n">
        <x:v>0.05</x:v>
      </x:c>
      <x:c r="L839" s="2" t="str">
        <x:v>Completed</x:v>
      </x:c>
      <x:c r="M839" s="12" t="n">
        <x:f>H839*I839</x:f>
        <x:v>26000</x:v>
      </x:c>
      <x:c r="N839" s="12" t="n">
        <x:f>IF(L839="Completed",ROUND(M839*(1-K839),2),0)</x:f>
        <x:v>24700</x:v>
      </x:c>
      <x:c r="O839" s="12" t="n">
        <x:f>IF(L839="Completed",H839*J839,0)</x:f>
        <x:v>17000</x:v>
      </x:c>
      <x:c r="P839" s="12" t="n">
        <x:f>N839-O839</x:f>
        <x:v>7700</x:v>
      </x:c>
    </x:row>
    <x:row r="840" ht="21" customHeight="1">
      <x:c r="A840" s="7" t="n">
        <x:v>835</x:v>
      </x:c>
      <x:c r="B840" s="2" t="str">
        <x:v>TXN-00835</x:v>
      </x:c>
      <x:c r="C840" s="8" t="d">
        <x:v>2025-08-07T00:00:00.000Z</x:v>
      </x:c>
      <x:c r="D840" s="2" t="str">
        <x:v>Lagos</x:v>
      </x:c>
      <x:c r="E840" s="2" t="str">
        <x:v>Electronics</x:v>
      </x:c>
      <x:c r="F840" s="2" t="str">
        <x:v>Bluetooth speaker</x:v>
      </x:c>
      <x:c r="G840" s="2" t="str">
        <x:v>In-store</x:v>
      </x:c>
      <x:c r="H840" s="7" t="n">
        <x:v>2</x:v>
      </x:c>
      <x:c r="I840" s="9" t="n">
        <x:v>26000</x:v>
      </x:c>
      <x:c r="J840" s="9" t="n">
        <x:v>17000</x:v>
      </x:c>
      <x:c r="K840" s="10" t="n">
        <x:v>0</x:v>
      </x:c>
      <x:c r="L840" s="2" t="str">
        <x:v>Completed</x:v>
      </x:c>
      <x:c r="M840" s="12" t="n">
        <x:f>H840*I840</x:f>
        <x:v>52000</x:v>
      </x:c>
      <x:c r="N840" s="12" t="n">
        <x:f>IF(L840="Completed",ROUND(M840*(1-K840),2),0)</x:f>
        <x:v>52000</x:v>
      </x:c>
      <x:c r="O840" s="12" t="n">
        <x:f>IF(L840="Completed",H840*J840,0)</x:f>
        <x:v>34000</x:v>
      </x:c>
      <x:c r="P840" s="12" t="n">
        <x:f>N840-O840</x:f>
        <x:v>18000</x:v>
      </x:c>
    </x:row>
    <x:row r="841" ht="21" customHeight="1">
      <x:c r="A841" s="7" t="n">
        <x:v>836</x:v>
      </x:c>
      <x:c r="B841" s="2" t="str">
        <x:v>TXN-00836</x:v>
      </x:c>
      <x:c r="C841" s="8" t="d">
        <x:v>2025-08-28T00:00:00.000Z</x:v>
      </x:c>
      <x:c r="D841" s="2" t="str">
        <x:v>Lagos</x:v>
      </x:c>
      <x:c r="E841" s="2" t="str">
        <x:v>Electronics</x:v>
      </x:c>
      <x:c r="F841" s="2" t="str">
        <x:v>Bluetooth speaker</x:v>
      </x:c>
      <x:c r="G841" s="2" t="str">
        <x:v>Online</x:v>
      </x:c>
      <x:c r="H841" s="7" t="n">
        <x:v>1</x:v>
      </x:c>
      <x:c r="I841" s="9" t="n">
        <x:v>26000</x:v>
      </x:c>
      <x:c r="J841" s="9" t="n">
        <x:v>17000</x:v>
      </x:c>
      <x:c r="K841" s="10" t="n">
        <x:v>0</x:v>
      </x:c>
      <x:c r="L841" s="2" t="str">
        <x:v>Completed</x:v>
      </x:c>
      <x:c r="M841" s="12" t="n">
        <x:f>H841*I841</x:f>
        <x:v>26000</x:v>
      </x:c>
      <x:c r="N841" s="12" t="n">
        <x:f>IF(L841="Completed",ROUND(M841*(1-K841),2),0)</x:f>
        <x:v>26000</x:v>
      </x:c>
      <x:c r="O841" s="12" t="n">
        <x:f>IF(L841="Completed",H841*J841,0)</x:f>
        <x:v>17000</x:v>
      </x:c>
      <x:c r="P841" s="12" t="n">
        <x:f>N841-O841</x:f>
        <x:v>9000</x:v>
      </x:c>
    </x:row>
    <x:row r="842" ht="21" customHeight="1">
      <x:c r="A842" s="7" t="n">
        <x:v>837</x:v>
      </x:c>
      <x:c r="B842" s="2" t="str">
        <x:v>TXN-00837</x:v>
      </x:c>
      <x:c r="C842" s="8" t="d">
        <x:v>2025-08-31T00:00:00.000Z</x:v>
      </x:c>
      <x:c r="D842" s="2" t="str">
        <x:v>Kano</x:v>
      </x:c>
      <x:c r="E842" s="2" t="str">
        <x:v>Electronics</x:v>
      </x:c>
      <x:c r="F842" s="2" t="str">
        <x:v>Bluetooth speaker</x:v>
      </x:c>
      <x:c r="G842" s="2" t="str">
        <x:v>Online</x:v>
      </x:c>
      <x:c r="H842" s="7" t="n">
        <x:v>1</x:v>
      </x:c>
      <x:c r="I842" s="9" t="n">
        <x:v>26000</x:v>
      </x:c>
      <x:c r="J842" s="9" t="n">
        <x:v>17000</x:v>
      </x:c>
      <x:c r="K842" s="10" t="n">
        <x:v>0.05</x:v>
      </x:c>
      <x:c r="L842" s="2" t="str">
        <x:v>Completed</x:v>
      </x:c>
      <x:c r="M842" s="12" t="n">
        <x:f>H842*I842</x:f>
        <x:v>26000</x:v>
      </x:c>
      <x:c r="N842" s="12" t="n">
        <x:f>IF(L842="Completed",ROUND(M842*(1-K842),2),0)</x:f>
        <x:v>24700</x:v>
      </x:c>
      <x:c r="O842" s="12" t="n">
        <x:f>IF(L842="Completed",H842*J842,0)</x:f>
        <x:v>17000</x:v>
      </x:c>
      <x:c r="P842" s="12" t="n">
        <x:f>N842-O842</x:f>
        <x:v>7700</x:v>
      </x:c>
    </x:row>
    <x:row r="843" ht="21" customHeight="1">
      <x:c r="A843" s="7" t="n">
        <x:v>838</x:v>
      </x:c>
      <x:c r="B843" s="2" t="str">
        <x:v>TXN-00838</x:v>
      </x:c>
      <x:c r="C843" s="8" t="d">
        <x:v>2025-08-15T00:00:00.000Z</x:v>
      </x:c>
      <x:c r="D843" s="2" t="str">
        <x:v>Abuja</x:v>
      </x:c>
      <x:c r="E843" s="2" t="str">
        <x:v>Fashion</x:v>
      </x:c>
      <x:c r="F843" s="2" t="str">
        <x:v>Sneakers</x:v>
      </x:c>
      <x:c r="G843" s="2" t="str">
        <x:v>In-store</x:v>
      </x:c>
      <x:c r="H843" s="7" t="n">
        <x:v>2</x:v>
      </x:c>
      <x:c r="I843" s="9" t="n">
        <x:v>28000</x:v>
      </x:c>
      <x:c r="J843" s="9" t="n">
        <x:v>17500</x:v>
      </x:c>
      <x:c r="K843" s="10" t="n">
        <x:v>0</x:v>
      </x:c>
      <x:c r="L843" s="2" t="str">
        <x:v>Completed</x:v>
      </x:c>
      <x:c r="M843" s="12" t="n">
        <x:f>H843*I843</x:f>
        <x:v>56000</x:v>
      </x:c>
      <x:c r="N843" s="12" t="n">
        <x:f>IF(L843="Completed",ROUND(M843*(1-K843),2),0)</x:f>
        <x:v>56000</x:v>
      </x:c>
      <x:c r="O843" s="12" t="n">
        <x:f>IF(L843="Completed",H843*J843,0)</x:f>
        <x:v>35000</x:v>
      </x:c>
      <x:c r="P843" s="12" t="n">
        <x:f>N843-O843</x:f>
        <x:v>21000</x:v>
      </x:c>
    </x:row>
    <x:row r="844" ht="21" customHeight="1">
      <x:c r="A844" s="7" t="n">
        <x:v>839</x:v>
      </x:c>
      <x:c r="B844" s="2" t="str">
        <x:v>TXN-00839</x:v>
      </x:c>
      <x:c r="C844" s="8" t="d">
        <x:v>2025-08-13T00:00:00.000Z</x:v>
      </x:c>
      <x:c r="D844" s="2" t="str">
        <x:v>Lagos</x:v>
      </x:c>
      <x:c r="E844" s="2" t="str">
        <x:v>Home</x:v>
      </x:c>
      <x:c r="F844" s="2" t="str">
        <x:v>Desk lamp</x:v>
      </x:c>
      <x:c r="G844" s="2" t="str">
        <x:v>Online</x:v>
      </x:c>
      <x:c r="H844" s="7" t="n">
        <x:v>2</x:v>
      </x:c>
      <x:c r="I844" s="9" t="n">
        <x:v>12000</x:v>
      </x:c>
      <x:c r="J844" s="9" t="n">
        <x:v>7200</x:v>
      </x:c>
      <x:c r="K844" s="10" t="n">
        <x:v>0.05</x:v>
      </x:c>
      <x:c r="L844" s="2" t="str">
        <x:v>Completed</x:v>
      </x:c>
      <x:c r="M844" s="12" t="n">
        <x:f>H844*I844</x:f>
        <x:v>24000</x:v>
      </x:c>
      <x:c r="N844" s="12" t="n">
        <x:f>IF(L844="Completed",ROUND(M844*(1-K844),2),0)</x:f>
        <x:v>22800</x:v>
      </x:c>
      <x:c r="O844" s="12" t="n">
        <x:f>IF(L844="Completed",H844*J844,0)</x:f>
        <x:v>14400</x:v>
      </x:c>
      <x:c r="P844" s="12" t="n">
        <x:f>N844-O844</x:f>
        <x:v>8400</x:v>
      </x:c>
    </x:row>
    <x:row r="845" ht="21" customHeight="1">
      <x:c r="A845" s="7" t="n">
        <x:v>840</x:v>
      </x:c>
      <x:c r="B845" s="2" t="str">
        <x:v>TXN-00840</x:v>
      </x:c>
      <x:c r="C845" s="8" t="d">
        <x:v>2025-08-18T00:00:00.000Z</x:v>
      </x:c>
      <x:c r="D845" s="2" t="str">
        <x:v>Port Harcourt</x:v>
      </x:c>
      <x:c r="E845" s="2" t="str">
        <x:v>Fashion</x:v>
      </x:c>
      <x:c r="F845" s="2" t="str">
        <x:v>T-shirt</x:v>
      </x:c>
      <x:c r="G845" s="2" t="str">
        <x:v>In-store</x:v>
      </x:c>
      <x:c r="H845" s="7" t="n">
        <x:v>1</x:v>
      </x:c>
      <x:c r="I845" s="9" t="n">
        <x:v>9000</x:v>
      </x:c>
      <x:c r="J845" s="9" t="n">
        <x:v>5000</x:v>
      </x:c>
      <x:c r="K845" s="10" t="n">
        <x:v>0.1</x:v>
      </x:c>
      <x:c r="L845" s="2" t="str">
        <x:v>Completed</x:v>
      </x:c>
      <x:c r="M845" s="12" t="n">
        <x:f>H845*I845</x:f>
        <x:v>9000</x:v>
      </x:c>
      <x:c r="N845" s="12" t="n">
        <x:f>IF(L845="Completed",ROUND(M845*(1-K845),2),0)</x:f>
        <x:v>8100</x:v>
      </x:c>
      <x:c r="O845" s="12" t="n">
        <x:f>IF(L845="Completed",H845*J845,0)</x:f>
        <x:v>5000</x:v>
      </x:c>
      <x:c r="P845" s="12" t="n">
        <x:f>N845-O845</x:f>
        <x:v>3100</x:v>
      </x:c>
    </x:row>
    <x:row r="846" ht="21" customHeight="1">
      <x:c r="A846" s="7" t="n">
        <x:v>841</x:v>
      </x:c>
      <x:c r="B846" s="2" t="str">
        <x:v>TXN-00841</x:v>
      </x:c>
      <x:c r="C846" s="8" t="d">
        <x:v>2025-08-13T00:00:00.000Z</x:v>
      </x:c>
      <x:c r="D846" s="2" t="str">
        <x:v>Port Harcourt</x:v>
      </x:c>
      <x:c r="E846" s="2" t="str">
        <x:v>Beauty</x:v>
      </x:c>
      <x:c r="F846" s="2" t="str">
        <x:v>Perfume</x:v>
      </x:c>
      <x:c r="G846" s="2" t="str">
        <x:v>Online</x:v>
      </x:c>
      <x:c r="H846" s="7" t="n">
        <x:v>4</x:v>
      </x:c>
      <x:c r="I846" s="9" t="n">
        <x:v>17000</x:v>
      </x:c>
      <x:c r="J846" s="9" t="n">
        <x:v>9000</x:v>
      </x:c>
      <x:c r="K846" s="10" t="n">
        <x:v>0.1</x:v>
      </x:c>
      <x:c r="L846" s="2" t="str">
        <x:v>Completed</x:v>
      </x:c>
      <x:c r="M846" s="12" t="n">
        <x:f>H846*I846</x:f>
        <x:v>68000</x:v>
      </x:c>
      <x:c r="N846" s="12" t="n">
        <x:f>IF(L846="Completed",ROUND(M846*(1-K846),2),0)</x:f>
        <x:v>61200</x:v>
      </x:c>
      <x:c r="O846" s="12" t="n">
        <x:f>IF(L846="Completed",H846*J846,0)</x:f>
        <x:v>36000</x:v>
      </x:c>
      <x:c r="P846" s="12" t="n">
        <x:f>N846-O846</x:f>
        <x:v>25200</x:v>
      </x:c>
    </x:row>
    <x:row r="847" ht="21" customHeight="1">
      <x:c r="A847" s="7" t="n">
        <x:v>842</x:v>
      </x:c>
      <x:c r="B847" s="2" t="str">
        <x:v>TXN-00842</x:v>
      </x:c>
      <x:c r="C847" s="8" t="d">
        <x:v>2025-08-31T00:00:00.000Z</x:v>
      </x:c>
      <x:c r="D847" s="2" t="str">
        <x:v>Lagos</x:v>
      </x:c>
      <x:c r="E847" s="2" t="str">
        <x:v>Beauty</x:v>
      </x:c>
      <x:c r="F847" s="2" t="str">
        <x:v>Body wash</x:v>
      </x:c>
      <x:c r="G847" s="2" t="str">
        <x:v>Online</x:v>
      </x:c>
      <x:c r="H847" s="7" t="n">
        <x:v>2</x:v>
      </x:c>
      <x:c r="I847" s="9" t="n">
        <x:v>4500</x:v>
      </x:c>
      <x:c r="J847" s="9" t="n">
        <x:v>2300</x:v>
      </x:c>
      <x:c r="K847" s="10" t="n">
        <x:v>0.1</x:v>
      </x:c>
      <x:c r="L847" s="2" t="str">
        <x:v>Completed</x:v>
      </x:c>
      <x:c r="M847" s="12" t="n">
        <x:f>H847*I847</x:f>
        <x:v>9000</x:v>
      </x:c>
      <x:c r="N847" s="12" t="n">
        <x:f>IF(L847="Completed",ROUND(M847*(1-K847),2),0)</x:f>
        <x:v>8100</x:v>
      </x:c>
      <x:c r="O847" s="12" t="n">
        <x:f>IF(L847="Completed",H847*J847,0)</x:f>
        <x:v>4600</x:v>
      </x:c>
      <x:c r="P847" s="12" t="n">
        <x:f>N847-O847</x:f>
        <x:v>3500</x:v>
      </x:c>
    </x:row>
    <x:row r="848" ht="21" customHeight="1">
      <x:c r="A848" s="7" t="n">
        <x:v>843</x:v>
      </x:c>
      <x:c r="B848" s="2" t="str">
        <x:v>TXN-00843</x:v>
      </x:c>
      <x:c r="C848" s="8" t="d">
        <x:v>2025-08-28T00:00:00.000Z</x:v>
      </x:c>
      <x:c r="D848" s="2" t="str">
        <x:v>Lagos</x:v>
      </x:c>
      <x:c r="E848" s="2" t="str">
        <x:v>Electronics</x:v>
      </x:c>
      <x:c r="F848" s="2" t="str">
        <x:v>Power bank</x:v>
      </x:c>
      <x:c r="G848" s="2" t="str">
        <x:v>Online</x:v>
      </x:c>
      <x:c r="H848" s="7" t="n">
        <x:v>2</x:v>
      </x:c>
      <x:c r="I848" s="9" t="n">
        <x:v>15000</x:v>
      </x:c>
      <x:c r="J848" s="9" t="n">
        <x:v>9500</x:v>
      </x:c>
      <x:c r="K848" s="10" t="n">
        <x:v>0.1</x:v>
      </x:c>
      <x:c r="L848" s="2" t="str">
        <x:v>Completed</x:v>
      </x:c>
      <x:c r="M848" s="12" t="n">
        <x:f>H848*I848</x:f>
        <x:v>30000</x:v>
      </x:c>
      <x:c r="N848" s="12" t="n">
        <x:f>IF(L848="Completed",ROUND(M848*(1-K848),2),0)</x:f>
        <x:v>27000</x:v>
      </x:c>
      <x:c r="O848" s="12" t="n">
        <x:f>IF(L848="Completed",H848*J848,0)</x:f>
        <x:v>19000</x:v>
      </x:c>
      <x:c r="P848" s="12" t="n">
        <x:f>N848-O848</x:f>
        <x:v>8000</x:v>
      </x:c>
    </x:row>
    <x:row r="849" ht="21" customHeight="1">
      <x:c r="A849" s="7" t="n">
        <x:v>844</x:v>
      </x:c>
      <x:c r="B849" s="2" t="str">
        <x:v>TXN-00844</x:v>
      </x:c>
      <x:c r="C849" s="8" t="d">
        <x:v>2025-08-06T00:00:00.000Z</x:v>
      </x:c>
      <x:c r="D849" s="2" t="str">
        <x:v>Lagos</x:v>
      </x:c>
      <x:c r="E849" s="2" t="str">
        <x:v>Fashion</x:v>
      </x:c>
      <x:c r="F849" s="2" t="str">
        <x:v>Handbag</x:v>
      </x:c>
      <x:c r="G849" s="2" t="str">
        <x:v>Online</x:v>
      </x:c>
      <x:c r="H849" s="7" t="n">
        <x:v>3</x:v>
      </x:c>
      <x:c r="I849" s="9" t="n">
        <x:v>22000</x:v>
      </x:c>
      <x:c r="J849" s="9" t="n">
        <x:v>13500</x:v>
      </x:c>
      <x:c r="K849" s="10" t="n">
        <x:v>0</x:v>
      </x:c>
      <x:c r="L849" s="2" t="str">
        <x:v>Completed</x:v>
      </x:c>
      <x:c r="M849" s="12" t="n">
        <x:f>H849*I849</x:f>
        <x:v>66000</x:v>
      </x:c>
      <x:c r="N849" s="12" t="n">
        <x:f>IF(L849="Completed",ROUND(M849*(1-K849),2),0)</x:f>
        <x:v>66000</x:v>
      </x:c>
      <x:c r="O849" s="12" t="n">
        <x:f>IF(L849="Completed",H849*J849,0)</x:f>
        <x:v>40500</x:v>
      </x:c>
      <x:c r="P849" s="12" t="n">
        <x:f>N849-O849</x:f>
        <x:v>25500</x:v>
      </x:c>
    </x:row>
    <x:row r="850" ht="21" customHeight="1">
      <x:c r="A850" s="7" t="n">
        <x:v>845</x:v>
      </x:c>
      <x:c r="B850" s="2" t="str">
        <x:v>TXN-00845</x:v>
      </x:c>
      <x:c r="C850" s="8" t="d">
        <x:v>2025-08-01T00:00:00.000Z</x:v>
      </x:c>
      <x:c r="D850" s="2" t="str">
        <x:v>Lagos</x:v>
      </x:c>
      <x:c r="E850" s="2" t="str">
        <x:v>Electronics</x:v>
      </x:c>
      <x:c r="F850" s="2" t="str">
        <x:v>Bluetooth speaker</x:v>
      </x:c>
      <x:c r="G850" s="2" t="str">
        <x:v>Online</x:v>
      </x:c>
      <x:c r="H850" s="7" t="n">
        <x:v>1</x:v>
      </x:c>
      <x:c r="I850" s="9" t="n">
        <x:v>26000</x:v>
      </x:c>
      <x:c r="J850" s="9" t="n">
        <x:v>17000</x:v>
      </x:c>
      <x:c r="K850" s="10" t="n">
        <x:v>0</x:v>
      </x:c>
      <x:c r="L850" s="2" t="str">
        <x:v>Completed</x:v>
      </x:c>
      <x:c r="M850" s="12" t="n">
        <x:f>H850*I850</x:f>
        <x:v>26000</x:v>
      </x:c>
      <x:c r="N850" s="12" t="n">
        <x:f>IF(L850="Completed",ROUND(M850*(1-K850),2),0)</x:f>
        <x:v>26000</x:v>
      </x:c>
      <x:c r="O850" s="12" t="n">
        <x:f>IF(L850="Completed",H850*J850,0)</x:f>
        <x:v>17000</x:v>
      </x:c>
      <x:c r="P850" s="12" t="n">
        <x:f>N850-O850</x:f>
        <x:v>9000</x:v>
      </x:c>
    </x:row>
    <x:row r="851" ht="21" customHeight="1">
      <x:c r="A851" s="7" t="n">
        <x:v>846</x:v>
      </x:c>
      <x:c r="B851" s="2" t="str">
        <x:v>TXN-00846</x:v>
      </x:c>
      <x:c r="C851" s="8" t="d">
        <x:v>2025-08-14T00:00:00.000Z</x:v>
      </x:c>
      <x:c r="D851" s="2" t="str">
        <x:v>Lagos</x:v>
      </x:c>
      <x:c r="E851" s="2" t="str">
        <x:v>Fashion</x:v>
      </x:c>
      <x:c r="F851" s="2" t="str">
        <x:v>Handbag</x:v>
      </x:c>
      <x:c r="G851" s="2" t="str">
        <x:v>In-store</x:v>
      </x:c>
      <x:c r="H851" s="7" t="n">
        <x:v>1</x:v>
      </x:c>
      <x:c r="I851" s="9" t="n">
        <x:v>22000</x:v>
      </x:c>
      <x:c r="J851" s="9" t="n">
        <x:v>13500</x:v>
      </x:c>
      <x:c r="K851" s="10" t="n">
        <x:v>0.15</x:v>
      </x:c>
      <x:c r="L851" s="2" t="str">
        <x:v>Completed</x:v>
      </x:c>
      <x:c r="M851" s="12" t="n">
        <x:f>H851*I851</x:f>
        <x:v>22000</x:v>
      </x:c>
      <x:c r="N851" s="12" t="n">
        <x:f>IF(L851="Completed",ROUND(M851*(1-K851),2),0)</x:f>
        <x:v>18700</x:v>
      </x:c>
      <x:c r="O851" s="12" t="n">
        <x:f>IF(L851="Completed",H851*J851,0)</x:f>
        <x:v>13500</x:v>
      </x:c>
      <x:c r="P851" s="12" t="n">
        <x:f>N851-O851</x:f>
        <x:v>5200</x:v>
      </x:c>
    </x:row>
    <x:row r="852" ht="21" customHeight="1">
      <x:c r="A852" s="7" t="n">
        <x:v>847</x:v>
      </x:c>
      <x:c r="B852" s="2" t="str">
        <x:v>TXN-00847</x:v>
      </x:c>
      <x:c r="C852" s="8" t="d">
        <x:v>2025-08-21T00:00:00.000Z</x:v>
      </x:c>
      <x:c r="D852" s="2" t="str">
        <x:v>Lagos</x:v>
      </x:c>
      <x:c r="E852" s="2" t="str">
        <x:v>Fashion</x:v>
      </x:c>
      <x:c r="F852" s="2" t="str">
        <x:v>Sneakers</x:v>
      </x:c>
      <x:c r="G852" s="2" t="str">
        <x:v>In-store</x:v>
      </x:c>
      <x:c r="H852" s="7" t="n">
        <x:v>4</x:v>
      </x:c>
      <x:c r="I852" s="9" t="n">
        <x:v>28000</x:v>
      </x:c>
      <x:c r="J852" s="9" t="n">
        <x:v>17500</x:v>
      </x:c>
      <x:c r="K852" s="10" t="n">
        <x:v>0</x:v>
      </x:c>
      <x:c r="L852" s="2" t="str">
        <x:v>Completed</x:v>
      </x:c>
      <x:c r="M852" s="12" t="n">
        <x:f>H852*I852</x:f>
        <x:v>112000</x:v>
      </x:c>
      <x:c r="N852" s="12" t="n">
        <x:f>IF(L852="Completed",ROUND(M852*(1-K852),2),0)</x:f>
        <x:v>112000</x:v>
      </x:c>
      <x:c r="O852" s="12" t="n">
        <x:f>IF(L852="Completed",H852*J852,0)</x:f>
        <x:v>70000</x:v>
      </x:c>
      <x:c r="P852" s="12" t="n">
        <x:f>N852-O852</x:f>
        <x:v>42000</x:v>
      </x:c>
    </x:row>
    <x:row r="853" ht="21" customHeight="1">
      <x:c r="A853" s="7" t="n">
        <x:v>848</x:v>
      </x:c>
      <x:c r="B853" s="2" t="str">
        <x:v>TXN-00848</x:v>
      </x:c>
      <x:c r="C853" s="8" t="d">
        <x:v>2025-08-14T00:00:00.000Z</x:v>
      </x:c>
      <x:c r="D853" s="2" t="str">
        <x:v>Abuja</x:v>
      </x:c>
      <x:c r="E853" s="2" t="str">
        <x:v>Electronics</x:v>
      </x:c>
      <x:c r="F853" s="2" t="str">
        <x:v>Bluetooth speaker</x:v>
      </x:c>
      <x:c r="G853" s="2" t="str">
        <x:v>In-store</x:v>
      </x:c>
      <x:c r="H853" s="7" t="n">
        <x:v>1</x:v>
      </x:c>
      <x:c r="I853" s="9" t="n">
        <x:v>26000</x:v>
      </x:c>
      <x:c r="J853" s="9" t="n">
        <x:v>17000</x:v>
      </x:c>
      <x:c r="K853" s="10" t="n">
        <x:v>0</x:v>
      </x:c>
      <x:c r="L853" s="2" t="str">
        <x:v>Completed</x:v>
      </x:c>
      <x:c r="M853" s="12" t="n">
        <x:f>H853*I853</x:f>
        <x:v>26000</x:v>
      </x:c>
      <x:c r="N853" s="12" t="n">
        <x:f>IF(L853="Completed",ROUND(M853*(1-K853),2),0)</x:f>
        <x:v>26000</x:v>
      </x:c>
      <x:c r="O853" s="12" t="n">
        <x:f>IF(L853="Completed",H853*J853,0)</x:f>
        <x:v>17000</x:v>
      </x:c>
      <x:c r="P853" s="12" t="n">
        <x:f>N853-O853</x:f>
        <x:v>9000</x:v>
      </x:c>
    </x:row>
    <x:row r="854" ht="21" customHeight="1">
      <x:c r="A854" s="7" t="n">
        <x:v>849</x:v>
      </x:c>
      <x:c r="B854" s="2" t="str">
        <x:v>TXN-00849</x:v>
      </x:c>
      <x:c r="C854" s="8" t="d">
        <x:v>2025-08-26T00:00:00.000Z</x:v>
      </x:c>
      <x:c r="D854" s="2" t="str">
        <x:v>Abuja</x:v>
      </x:c>
      <x:c r="E854" s="2" t="str">
        <x:v>Home</x:v>
      </x:c>
      <x:c r="F854" s="2" t="str">
        <x:v>Cookware set</x:v>
      </x:c>
      <x:c r="G854" s="2" t="str">
        <x:v>Online</x:v>
      </x:c>
      <x:c r="H854" s="7" t="n">
        <x:v>1</x:v>
      </x:c>
      <x:c r="I854" s="9" t="n">
        <x:v>35000</x:v>
      </x:c>
      <x:c r="J854" s="9" t="n">
        <x:v>22500</x:v>
      </x:c>
      <x:c r="K854" s="10" t="n">
        <x:v>0.05</x:v>
      </x:c>
      <x:c r="L854" s="2" t="str">
        <x:v>Returned</x:v>
      </x:c>
      <x:c r="M854" s="12" t="n">
        <x:f>H854*I854</x:f>
        <x:v>35000</x:v>
      </x:c>
      <x:c r="N854" s="12" t="n">
        <x:f>IF(L854="Completed",ROUND(M854*(1-K854),2),0)</x:f>
        <x:v>0</x:v>
      </x:c>
      <x:c r="O854" s="12" t="n">
        <x:f>IF(L854="Completed",H854*J854,0)</x:f>
        <x:v>0</x:v>
      </x:c>
      <x:c r="P854" s="12" t="n">
        <x:f>N854-O854</x:f>
        <x:v>0</x:v>
      </x:c>
    </x:row>
    <x:row r="855" ht="21" customHeight="1">
      <x:c r="A855" s="7" t="n">
        <x:v>850</x:v>
      </x:c>
      <x:c r="B855" s="2" t="str">
        <x:v>TXN-00850</x:v>
      </x:c>
      <x:c r="C855" s="8" t="d">
        <x:v>2025-08-26T00:00:00.000Z</x:v>
      </x:c>
      <x:c r="D855" s="2" t="str">
        <x:v>Port Harcourt</x:v>
      </x:c>
      <x:c r="E855" s="2" t="str">
        <x:v>Electronics</x:v>
      </x:c>
      <x:c r="F855" s="2" t="str">
        <x:v>Power bank</x:v>
      </x:c>
      <x:c r="G855" s="2" t="str">
        <x:v>Online</x:v>
      </x:c>
      <x:c r="H855" s="7" t="n">
        <x:v>1</x:v>
      </x:c>
      <x:c r="I855" s="9" t="n">
        <x:v>15000</x:v>
      </x:c>
      <x:c r="J855" s="9" t="n">
        <x:v>9500</x:v>
      </x:c>
      <x:c r="K855" s="10" t="n">
        <x:v>0</x:v>
      </x:c>
      <x:c r="L855" s="2" t="str">
        <x:v>Completed</x:v>
      </x:c>
      <x:c r="M855" s="12" t="n">
        <x:f>H855*I855</x:f>
        <x:v>15000</x:v>
      </x:c>
      <x:c r="N855" s="12" t="n">
        <x:f>IF(L855="Completed",ROUND(M855*(1-K855),2),0)</x:f>
        <x:v>15000</x:v>
      </x:c>
      <x:c r="O855" s="12" t="n">
        <x:f>IF(L855="Completed",H855*J855,0)</x:f>
        <x:v>9500</x:v>
      </x:c>
      <x:c r="P855" s="12" t="n">
        <x:f>N855-O855</x:f>
        <x:v>5500</x:v>
      </x:c>
    </x:row>
    <x:row r="856" ht="21" customHeight="1">
      <x:c r="A856" s="7" t="n">
        <x:v>851</x:v>
      </x:c>
      <x:c r="B856" s="2" t="str">
        <x:v>TXN-00851</x:v>
      </x:c>
      <x:c r="C856" s="8" t="d">
        <x:v>2025-08-06T00:00:00.000Z</x:v>
      </x:c>
      <x:c r="D856" s="2" t="str">
        <x:v>Lagos</x:v>
      </x:c>
      <x:c r="E856" s="2" t="str">
        <x:v>Electronics</x:v>
      </x:c>
      <x:c r="F856" s="2" t="str">
        <x:v>Bluetooth speaker</x:v>
      </x:c>
      <x:c r="G856" s="2" t="str">
        <x:v>In-store</x:v>
      </x:c>
      <x:c r="H856" s="7" t="n">
        <x:v>2</x:v>
      </x:c>
      <x:c r="I856" s="9" t="n">
        <x:v>26000</x:v>
      </x:c>
      <x:c r="J856" s="9" t="n">
        <x:v>17000</x:v>
      </x:c>
      <x:c r="K856" s="10" t="n">
        <x:v>0</x:v>
      </x:c>
      <x:c r="L856" s="2" t="str">
        <x:v>Completed</x:v>
      </x:c>
      <x:c r="M856" s="12" t="n">
        <x:f>H856*I856</x:f>
        <x:v>52000</x:v>
      </x:c>
      <x:c r="N856" s="12" t="n">
        <x:f>IF(L856="Completed",ROUND(M856*(1-K856),2),0)</x:f>
        <x:v>52000</x:v>
      </x:c>
      <x:c r="O856" s="12" t="n">
        <x:f>IF(L856="Completed",H856*J856,0)</x:f>
        <x:v>34000</x:v>
      </x:c>
      <x:c r="P856" s="12" t="n">
        <x:f>N856-O856</x:f>
        <x:v>18000</x:v>
      </x:c>
    </x:row>
    <x:row r="857" ht="21" customHeight="1">
      <x:c r="A857" s="7" t="n">
        <x:v>852</x:v>
      </x:c>
      <x:c r="B857" s="2" t="str">
        <x:v>TXN-00852</x:v>
      </x:c>
      <x:c r="C857" s="8" t="d">
        <x:v>2025-08-05T00:00:00.000Z</x:v>
      </x:c>
      <x:c r="D857" s="2" t="str">
        <x:v>Port Harcourt</x:v>
      </x:c>
      <x:c r="E857" s="2" t="str">
        <x:v>Home</x:v>
      </x:c>
      <x:c r="F857" s="2" t="str">
        <x:v>Cookware set</x:v>
      </x:c>
      <x:c r="G857" s="2" t="str">
        <x:v>In-store</x:v>
      </x:c>
      <x:c r="H857" s="7" t="n">
        <x:v>1</x:v>
      </x:c>
      <x:c r="I857" s="9" t="n">
        <x:v>35000</x:v>
      </x:c>
      <x:c r="J857" s="9" t="n">
        <x:v>22500</x:v>
      </x:c>
      <x:c r="K857" s="10" t="n">
        <x:v>0</x:v>
      </x:c>
      <x:c r="L857" s="2" t="str">
        <x:v>Completed</x:v>
      </x:c>
      <x:c r="M857" s="12" t="n">
        <x:f>H857*I857</x:f>
        <x:v>35000</x:v>
      </x:c>
      <x:c r="N857" s="12" t="n">
        <x:f>IF(L857="Completed",ROUND(M857*(1-K857),2),0)</x:f>
        <x:v>35000</x:v>
      </x:c>
      <x:c r="O857" s="12" t="n">
        <x:f>IF(L857="Completed",H857*J857,0)</x:f>
        <x:v>22500</x:v>
      </x:c>
      <x:c r="P857" s="12" t="n">
        <x:f>N857-O857</x:f>
        <x:v>12500</x:v>
      </x:c>
    </x:row>
    <x:row r="858" ht="21" customHeight="1">
      <x:c r="A858" s="7" t="n">
        <x:v>853</x:v>
      </x:c>
      <x:c r="B858" s="2" t="str">
        <x:v>TXN-00853</x:v>
      </x:c>
      <x:c r="C858" s="8" t="d">
        <x:v>2025-08-08T00:00:00.000Z</x:v>
      </x:c>
      <x:c r="D858" s="2" t="str">
        <x:v>Port Harcourt</x:v>
      </x:c>
      <x:c r="E858" s="2" t="str">
        <x:v>Beauty</x:v>
      </x:c>
      <x:c r="F858" s="2" t="str">
        <x:v>Moisturizer</x:v>
      </x:c>
      <x:c r="G858" s="2" t="str">
        <x:v>In-store</x:v>
      </x:c>
      <x:c r="H858" s="7" t="n">
        <x:v>2</x:v>
      </x:c>
      <x:c r="I858" s="9" t="n">
        <x:v>6500</x:v>
      </x:c>
      <x:c r="J858" s="9" t="n">
        <x:v>3500</x:v>
      </x:c>
      <x:c r="K858" s="10" t="n">
        <x:v>0.1</x:v>
      </x:c>
      <x:c r="L858" s="2" t="str">
        <x:v>Completed</x:v>
      </x:c>
      <x:c r="M858" s="12" t="n">
        <x:f>H858*I858</x:f>
        <x:v>13000</x:v>
      </x:c>
      <x:c r="N858" s="12" t="n">
        <x:f>IF(L858="Completed",ROUND(M858*(1-K858),2),0)</x:f>
        <x:v>11700</x:v>
      </x:c>
      <x:c r="O858" s="12" t="n">
        <x:f>IF(L858="Completed",H858*J858,0)</x:f>
        <x:v>7000</x:v>
      </x:c>
      <x:c r="P858" s="12" t="n">
        <x:f>N858-O858</x:f>
        <x:v>4700</x:v>
      </x:c>
    </x:row>
    <x:row r="859" ht="21" customHeight="1">
      <x:c r="A859" s="7" t="n">
        <x:v>854</x:v>
      </x:c>
      <x:c r="B859" s="2" t="str">
        <x:v>TXN-00854</x:v>
      </x:c>
      <x:c r="C859" s="8" t="d">
        <x:v>2025-08-09T00:00:00.000Z</x:v>
      </x:c>
      <x:c r="D859" s="2" t="str">
        <x:v>Lagos</x:v>
      </x:c>
      <x:c r="E859" s="2" t="str">
        <x:v>Beauty</x:v>
      </x:c>
      <x:c r="F859" s="2" t="str">
        <x:v>Body wash</x:v>
      </x:c>
      <x:c r="G859" s="2" t="str">
        <x:v>Online</x:v>
      </x:c>
      <x:c r="H859" s="7" t="n">
        <x:v>1</x:v>
      </x:c>
      <x:c r="I859" s="9" t="n">
        <x:v>4500</x:v>
      </x:c>
      <x:c r="J859" s="9" t="n">
        <x:v>2300</x:v>
      </x:c>
      <x:c r="K859" s="10" t="n">
        <x:v>0.15</x:v>
      </x:c>
      <x:c r="L859" s="2" t="str">
        <x:v>Completed</x:v>
      </x:c>
      <x:c r="M859" s="12" t="n">
        <x:f>H859*I859</x:f>
        <x:v>4500</x:v>
      </x:c>
      <x:c r="N859" s="12" t="n">
        <x:f>IF(L859="Completed",ROUND(M859*(1-K859),2),0)</x:f>
        <x:v>3825</x:v>
      </x:c>
      <x:c r="O859" s="12" t="n">
        <x:f>IF(L859="Completed",H859*J859,0)</x:f>
        <x:v>2300</x:v>
      </x:c>
      <x:c r="P859" s="12" t="n">
        <x:f>N859-O859</x:f>
        <x:v>1525</x:v>
      </x:c>
    </x:row>
    <x:row r="860" ht="21" customHeight="1">
      <x:c r="A860" s="7" t="n">
        <x:v>855</x:v>
      </x:c>
      <x:c r="B860" s="2" t="str">
        <x:v>TXN-00855</x:v>
      </x:c>
      <x:c r="C860" s="8" t="d">
        <x:v>2025-08-12T00:00:00.000Z</x:v>
      </x:c>
      <x:c r="D860" s="2" t="str">
        <x:v>Port Harcourt</x:v>
      </x:c>
      <x:c r="E860" s="2" t="str">
        <x:v>Fashion</x:v>
      </x:c>
      <x:c r="F860" s="2" t="str">
        <x:v>Sneakers</x:v>
      </x:c>
      <x:c r="G860" s="2" t="str">
        <x:v>In-store</x:v>
      </x:c>
      <x:c r="H860" s="7" t="n">
        <x:v>1</x:v>
      </x:c>
      <x:c r="I860" s="9" t="n">
        <x:v>28000</x:v>
      </x:c>
      <x:c r="J860" s="9" t="n">
        <x:v>17500</x:v>
      </x:c>
      <x:c r="K860" s="10" t="n">
        <x:v>0.05</x:v>
      </x:c>
      <x:c r="L860" s="2" t="str">
        <x:v>Returned</x:v>
      </x:c>
      <x:c r="M860" s="12" t="n">
        <x:f>H860*I860</x:f>
        <x:v>28000</x:v>
      </x:c>
      <x:c r="N860" s="12" t="n">
        <x:f>IF(L860="Completed",ROUND(M860*(1-K860),2),0)</x:f>
        <x:v>0</x:v>
      </x:c>
      <x:c r="O860" s="12" t="n">
        <x:f>IF(L860="Completed",H860*J860,0)</x:f>
        <x:v>0</x:v>
      </x:c>
      <x:c r="P860" s="12" t="n">
        <x:f>N860-O860</x:f>
        <x:v>0</x:v>
      </x:c>
    </x:row>
    <x:row r="861" ht="21" customHeight="1">
      <x:c r="A861" s="7" t="n">
        <x:v>856</x:v>
      </x:c>
      <x:c r="B861" s="2" t="str">
        <x:v>TXN-00856</x:v>
      </x:c>
      <x:c r="C861" s="8" t="d">
        <x:v>2025-08-31T00:00:00.000Z</x:v>
      </x:c>
      <x:c r="D861" s="2" t="str">
        <x:v>Lagos</x:v>
      </x:c>
      <x:c r="E861" s="2" t="str">
        <x:v>Beauty</x:v>
      </x:c>
      <x:c r="F861" s="2" t="str">
        <x:v>Perfume</x:v>
      </x:c>
      <x:c r="G861" s="2" t="str">
        <x:v>In-store</x:v>
      </x:c>
      <x:c r="H861" s="7" t="n">
        <x:v>1</x:v>
      </x:c>
      <x:c r="I861" s="9" t="n">
        <x:v>17000</x:v>
      </x:c>
      <x:c r="J861" s="9" t="n">
        <x:v>9000</x:v>
      </x:c>
      <x:c r="K861" s="10" t="n">
        <x:v>0.1</x:v>
      </x:c>
      <x:c r="L861" s="2" t="str">
        <x:v>Completed</x:v>
      </x:c>
      <x:c r="M861" s="12" t="n">
        <x:f>H861*I861</x:f>
        <x:v>17000</x:v>
      </x:c>
      <x:c r="N861" s="12" t="n">
        <x:f>IF(L861="Completed",ROUND(M861*(1-K861),2),0)</x:f>
        <x:v>15300</x:v>
      </x:c>
      <x:c r="O861" s="12" t="n">
        <x:f>IF(L861="Completed",H861*J861,0)</x:f>
        <x:v>9000</x:v>
      </x:c>
      <x:c r="P861" s="12" t="n">
        <x:f>N861-O861</x:f>
        <x:v>6300</x:v>
      </x:c>
    </x:row>
    <x:row r="862" ht="21" customHeight="1">
      <x:c r="A862" s="7" t="n">
        <x:v>857</x:v>
      </x:c>
      <x:c r="B862" s="2" t="str">
        <x:v>TXN-00857</x:v>
      </x:c>
      <x:c r="C862" s="8" t="d">
        <x:v>2025-08-23T00:00:00.000Z</x:v>
      </x:c>
      <x:c r="D862" s="2" t="str">
        <x:v>Lagos</x:v>
      </x:c>
      <x:c r="E862" s="2" t="str">
        <x:v>Home</x:v>
      </x:c>
      <x:c r="F862" s="2" t="str">
        <x:v>Cookware set</x:v>
      </x:c>
      <x:c r="G862" s="2" t="str">
        <x:v>Online</x:v>
      </x:c>
      <x:c r="H862" s="7" t="n">
        <x:v>2</x:v>
      </x:c>
      <x:c r="I862" s="9" t="n">
        <x:v>35000</x:v>
      </x:c>
      <x:c r="J862" s="9" t="n">
        <x:v>22500</x:v>
      </x:c>
      <x:c r="K862" s="10" t="n">
        <x:v>0.1</x:v>
      </x:c>
      <x:c r="L862" s="2" t="str">
        <x:v>Returned</x:v>
      </x:c>
      <x:c r="M862" s="12" t="n">
        <x:f>H862*I862</x:f>
        <x:v>70000</x:v>
      </x:c>
      <x:c r="N862" s="12" t="n">
        <x:f>IF(L862="Completed",ROUND(M862*(1-K862),2),0)</x:f>
        <x:v>0</x:v>
      </x:c>
      <x:c r="O862" s="12" t="n">
        <x:f>IF(L862="Completed",H862*J862,0)</x:f>
        <x:v>0</x:v>
      </x:c>
      <x:c r="P862" s="12" t="n">
        <x:f>N862-O862</x:f>
        <x:v>0</x:v>
      </x:c>
    </x:row>
    <x:row r="863" ht="21" customHeight="1">
      <x:c r="A863" s="7" t="n">
        <x:v>858</x:v>
      </x:c>
      <x:c r="B863" s="2" t="str">
        <x:v>TXN-00858</x:v>
      </x:c>
      <x:c r="C863" s="8" t="d">
        <x:v>2025-08-16T00:00:00.000Z</x:v>
      </x:c>
      <x:c r="D863" s="2" t="str">
        <x:v>Kano</x:v>
      </x:c>
      <x:c r="E863" s="2" t="str">
        <x:v>Beauty</x:v>
      </x:c>
      <x:c r="F863" s="2" t="str">
        <x:v>Moisturizer</x:v>
      </x:c>
      <x:c r="G863" s="2" t="str">
        <x:v>Online</x:v>
      </x:c>
      <x:c r="H863" s="7" t="n">
        <x:v>1</x:v>
      </x:c>
      <x:c r="I863" s="9" t="n">
        <x:v>6500</x:v>
      </x:c>
      <x:c r="J863" s="9" t="n">
        <x:v>3500</x:v>
      </x:c>
      <x:c r="K863" s="10" t="n">
        <x:v>0.1</x:v>
      </x:c>
      <x:c r="L863" s="2" t="str">
        <x:v>Completed</x:v>
      </x:c>
      <x:c r="M863" s="12" t="n">
        <x:f>H863*I863</x:f>
        <x:v>6500</x:v>
      </x:c>
      <x:c r="N863" s="12" t="n">
        <x:f>IF(L863="Completed",ROUND(M863*(1-K863),2),0)</x:f>
        <x:v>5850</x:v>
      </x:c>
      <x:c r="O863" s="12" t="n">
        <x:f>IF(L863="Completed",H863*J863,0)</x:f>
        <x:v>3500</x:v>
      </x:c>
      <x:c r="P863" s="12" t="n">
        <x:f>N863-O863</x:f>
        <x:v>2350</x:v>
      </x:c>
    </x:row>
    <x:row r="864" ht="21" customHeight="1">
      <x:c r="A864" s="7" t="n">
        <x:v>859</x:v>
      </x:c>
      <x:c r="B864" s="2" t="str">
        <x:v>TXN-00859</x:v>
      </x:c>
      <x:c r="C864" s="8" t="d">
        <x:v>2025-08-08T00:00:00.000Z</x:v>
      </x:c>
      <x:c r="D864" s="2" t="str">
        <x:v>Lagos</x:v>
      </x:c>
      <x:c r="E864" s="2" t="str">
        <x:v>Electronics</x:v>
      </x:c>
      <x:c r="F864" s="2" t="str">
        <x:v>Bluetooth speaker</x:v>
      </x:c>
      <x:c r="G864" s="2" t="str">
        <x:v>Online</x:v>
      </x:c>
      <x:c r="H864" s="7" t="n">
        <x:v>3</x:v>
      </x:c>
      <x:c r="I864" s="9" t="n">
        <x:v>26000</x:v>
      </x:c>
      <x:c r="J864" s="9" t="n">
        <x:v>17000</x:v>
      </x:c>
      <x:c r="K864" s="10" t="n">
        <x:v>0</x:v>
      </x:c>
      <x:c r="L864" s="2" t="str">
        <x:v>Completed</x:v>
      </x:c>
      <x:c r="M864" s="12" t="n">
        <x:f>H864*I864</x:f>
        <x:v>78000</x:v>
      </x:c>
      <x:c r="N864" s="12" t="n">
        <x:f>IF(L864="Completed",ROUND(M864*(1-K864),2),0)</x:f>
        <x:v>78000</x:v>
      </x:c>
      <x:c r="O864" s="12" t="n">
        <x:f>IF(L864="Completed",H864*J864,0)</x:f>
        <x:v>51000</x:v>
      </x:c>
      <x:c r="P864" s="12" t="n">
        <x:f>N864-O864</x:f>
        <x:v>27000</x:v>
      </x:c>
    </x:row>
    <x:row r="865" ht="21" customHeight="1">
      <x:c r="A865" s="7" t="n">
        <x:v>860</x:v>
      </x:c>
      <x:c r="B865" s="2" t="str">
        <x:v>TXN-00860</x:v>
      </x:c>
      <x:c r="C865" s="8" t="d">
        <x:v>2025-08-22T00:00:00.000Z</x:v>
      </x:c>
      <x:c r="D865" s="2" t="str">
        <x:v>Lagos</x:v>
      </x:c>
      <x:c r="E865" s="2" t="str">
        <x:v>Beauty</x:v>
      </x:c>
      <x:c r="F865" s="2" t="str">
        <x:v>Body wash</x:v>
      </x:c>
      <x:c r="G865" s="2" t="str">
        <x:v>In-store</x:v>
      </x:c>
      <x:c r="H865" s="7" t="n">
        <x:v>1</x:v>
      </x:c>
      <x:c r="I865" s="9" t="n">
        <x:v>4500</x:v>
      </x:c>
      <x:c r="J865" s="9" t="n">
        <x:v>2300</x:v>
      </x:c>
      <x:c r="K865" s="10" t="n">
        <x:v>0</x:v>
      </x:c>
      <x:c r="L865" s="2" t="str">
        <x:v>Completed</x:v>
      </x:c>
      <x:c r="M865" s="12" t="n">
        <x:f>H865*I865</x:f>
        <x:v>4500</x:v>
      </x:c>
      <x:c r="N865" s="12" t="n">
        <x:f>IF(L865="Completed",ROUND(M865*(1-K865),2),0)</x:f>
        <x:v>4500</x:v>
      </x:c>
      <x:c r="O865" s="12" t="n">
        <x:f>IF(L865="Completed",H865*J865,0)</x:f>
        <x:v>2300</x:v>
      </x:c>
      <x:c r="P865" s="12" t="n">
        <x:f>N865-O865</x:f>
        <x:v>2200</x:v>
      </x:c>
    </x:row>
    <x:row r="866" ht="21" customHeight="1">
      <x:c r="A866" s="7" t="n">
        <x:v>861</x:v>
      </x:c>
      <x:c r="B866" s="2" t="str">
        <x:v>TXN-00861</x:v>
      </x:c>
      <x:c r="C866" s="8" t="d">
        <x:v>2025-08-06T00:00:00.000Z</x:v>
      </x:c>
      <x:c r="D866" s="2" t="str">
        <x:v>Abuja</x:v>
      </x:c>
      <x:c r="E866" s="2" t="str">
        <x:v>Beauty</x:v>
      </x:c>
      <x:c r="F866" s="2" t="str">
        <x:v>Moisturizer</x:v>
      </x:c>
      <x:c r="G866" s="2" t="str">
        <x:v>In-store</x:v>
      </x:c>
      <x:c r="H866" s="7" t="n">
        <x:v>1</x:v>
      </x:c>
      <x:c r="I866" s="9" t="n">
        <x:v>6500</x:v>
      </x:c>
      <x:c r="J866" s="9" t="n">
        <x:v>3500</x:v>
      </x:c>
      <x:c r="K866" s="10" t="n">
        <x:v>0</x:v>
      </x:c>
      <x:c r="L866" s="2" t="str">
        <x:v>Completed</x:v>
      </x:c>
      <x:c r="M866" s="12" t="n">
        <x:f>H866*I866</x:f>
        <x:v>6500</x:v>
      </x:c>
      <x:c r="N866" s="12" t="n">
        <x:f>IF(L866="Completed",ROUND(M866*(1-K866),2),0)</x:f>
        <x:v>6500</x:v>
      </x:c>
      <x:c r="O866" s="12" t="n">
        <x:f>IF(L866="Completed",H866*J866,0)</x:f>
        <x:v>3500</x:v>
      </x:c>
      <x:c r="P866" s="12" t="n">
        <x:f>N866-O866</x:f>
        <x:v>3000</x:v>
      </x:c>
    </x:row>
    <x:row r="867" ht="21" customHeight="1">
      <x:c r="A867" s="7" t="n">
        <x:v>862</x:v>
      </x:c>
      <x:c r="B867" s="2" t="str">
        <x:v>TXN-00862</x:v>
      </x:c>
      <x:c r="C867" s="8" t="d">
        <x:v>2025-08-13T00:00:00.000Z</x:v>
      </x:c>
      <x:c r="D867" s="2" t="str">
        <x:v>Lagos</x:v>
      </x:c>
      <x:c r="E867" s="2" t="str">
        <x:v>Home</x:v>
      </x:c>
      <x:c r="F867" s="2" t="str">
        <x:v>Desk lamp</x:v>
      </x:c>
      <x:c r="G867" s="2" t="str">
        <x:v>Online</x:v>
      </x:c>
      <x:c r="H867" s="7" t="n">
        <x:v>2</x:v>
      </x:c>
      <x:c r="I867" s="9" t="n">
        <x:v>12000</x:v>
      </x:c>
      <x:c r="J867" s="9" t="n">
        <x:v>7200</x:v>
      </x:c>
      <x:c r="K867" s="10" t="n">
        <x:v>0.05</x:v>
      </x:c>
      <x:c r="L867" s="2" t="str">
        <x:v>Completed</x:v>
      </x:c>
      <x:c r="M867" s="12" t="n">
        <x:f>H867*I867</x:f>
        <x:v>24000</x:v>
      </x:c>
      <x:c r="N867" s="12" t="n">
        <x:f>IF(L867="Completed",ROUND(M867*(1-K867),2),0)</x:f>
        <x:v>22800</x:v>
      </x:c>
      <x:c r="O867" s="12" t="n">
        <x:f>IF(L867="Completed",H867*J867,0)</x:f>
        <x:v>14400</x:v>
      </x:c>
      <x:c r="P867" s="12" t="n">
        <x:f>N867-O867</x:f>
        <x:v>8400</x:v>
      </x:c>
    </x:row>
    <x:row r="868" ht="21" customHeight="1">
      <x:c r="A868" s="7" t="n">
        <x:v>863</x:v>
      </x:c>
      <x:c r="B868" s="2" t="str">
        <x:v>TXN-00863</x:v>
      </x:c>
      <x:c r="C868" s="8" t="d">
        <x:v>2025-08-01T00:00:00.000Z</x:v>
      </x:c>
      <x:c r="D868" s="2" t="str">
        <x:v>Abuja</x:v>
      </x:c>
      <x:c r="E868" s="2" t="str">
        <x:v>Beauty</x:v>
      </x:c>
      <x:c r="F868" s="2" t="str">
        <x:v>Perfume</x:v>
      </x:c>
      <x:c r="G868" s="2" t="str">
        <x:v>Online</x:v>
      </x:c>
      <x:c r="H868" s="7" t="n">
        <x:v>2</x:v>
      </x:c>
      <x:c r="I868" s="9" t="n">
        <x:v>17000</x:v>
      </x:c>
      <x:c r="J868" s="9" t="n">
        <x:v>9000</x:v>
      </x:c>
      <x:c r="K868" s="10" t="n">
        <x:v>0.05</x:v>
      </x:c>
      <x:c r="L868" s="2" t="str">
        <x:v>Completed</x:v>
      </x:c>
      <x:c r="M868" s="12" t="n">
        <x:f>H868*I868</x:f>
        <x:v>34000</x:v>
      </x:c>
      <x:c r="N868" s="12" t="n">
        <x:f>IF(L868="Completed",ROUND(M868*(1-K868),2),0)</x:f>
        <x:v>32300</x:v>
      </x:c>
      <x:c r="O868" s="12" t="n">
        <x:f>IF(L868="Completed",H868*J868,0)</x:f>
        <x:v>18000</x:v>
      </x:c>
      <x:c r="P868" s="12" t="n">
        <x:f>N868-O868</x:f>
        <x:v>14300</x:v>
      </x:c>
    </x:row>
    <x:row r="869" ht="21" customHeight="1">
      <x:c r="A869" s="7" t="n">
        <x:v>864</x:v>
      </x:c>
      <x:c r="B869" s="2" t="str">
        <x:v>TXN-00864</x:v>
      </x:c>
      <x:c r="C869" s="8" t="d">
        <x:v>2025-08-27T00:00:00.000Z</x:v>
      </x:c>
      <x:c r="D869" s="2" t="str">
        <x:v>Lagos</x:v>
      </x:c>
      <x:c r="E869" s="2" t="str">
        <x:v>Fashion</x:v>
      </x:c>
      <x:c r="F869" s="2" t="str">
        <x:v>Handbag</x:v>
      </x:c>
      <x:c r="G869" s="2" t="str">
        <x:v>Online</x:v>
      </x:c>
      <x:c r="H869" s="7" t="n">
        <x:v>1</x:v>
      </x:c>
      <x:c r="I869" s="9" t="n">
        <x:v>22000</x:v>
      </x:c>
      <x:c r="J869" s="9" t="n">
        <x:v>13500</x:v>
      </x:c>
      <x:c r="K869" s="10" t="n">
        <x:v>0</x:v>
      </x:c>
      <x:c r="L869" s="2" t="str">
        <x:v>Completed</x:v>
      </x:c>
      <x:c r="M869" s="12" t="n">
        <x:f>H869*I869</x:f>
        <x:v>22000</x:v>
      </x:c>
      <x:c r="N869" s="12" t="n">
        <x:f>IF(L869="Completed",ROUND(M869*(1-K869),2),0)</x:f>
        <x:v>22000</x:v>
      </x:c>
      <x:c r="O869" s="12" t="n">
        <x:f>IF(L869="Completed",H869*J869,0)</x:f>
        <x:v>13500</x:v>
      </x:c>
      <x:c r="P869" s="12" t="n">
        <x:f>N869-O869</x:f>
        <x:v>8500</x:v>
      </x:c>
    </x:row>
    <x:row r="870" ht="21" customHeight="1">
      <x:c r="A870" s="7" t="n">
        <x:v>865</x:v>
      </x:c>
      <x:c r="B870" s="2" t="str">
        <x:v>TXN-00865</x:v>
      </x:c>
      <x:c r="C870" s="8" t="d">
        <x:v>2025-08-02T00:00:00.000Z</x:v>
      </x:c>
      <x:c r="D870" s="2" t="str">
        <x:v>Lagos</x:v>
      </x:c>
      <x:c r="E870" s="2" t="str">
        <x:v>Fashion</x:v>
      </x:c>
      <x:c r="F870" s="2" t="str">
        <x:v>T-shirt</x:v>
      </x:c>
      <x:c r="G870" s="2" t="str">
        <x:v>Online</x:v>
      </x:c>
      <x:c r="H870" s="7" t="n">
        <x:v>1</x:v>
      </x:c>
      <x:c r="I870" s="9" t="n">
        <x:v>9000</x:v>
      </x:c>
      <x:c r="J870" s="9" t="n">
        <x:v>5000</x:v>
      </x:c>
      <x:c r="K870" s="10" t="n">
        <x:v>0.05</x:v>
      </x:c>
      <x:c r="L870" s="2" t="str">
        <x:v>Completed</x:v>
      </x:c>
      <x:c r="M870" s="12" t="n">
        <x:f>H870*I870</x:f>
        <x:v>9000</x:v>
      </x:c>
      <x:c r="N870" s="12" t="n">
        <x:f>IF(L870="Completed",ROUND(M870*(1-K870),2),0)</x:f>
        <x:v>8550</x:v>
      </x:c>
      <x:c r="O870" s="12" t="n">
        <x:f>IF(L870="Completed",H870*J870,0)</x:f>
        <x:v>5000</x:v>
      </x:c>
      <x:c r="P870" s="12" t="n">
        <x:f>N870-O870</x:f>
        <x:v>3550</x:v>
      </x:c>
    </x:row>
    <x:row r="871" ht="21" customHeight="1">
      <x:c r="A871" s="7" t="n">
        <x:v>866</x:v>
      </x:c>
      <x:c r="B871" s="2" t="str">
        <x:v>TXN-00866</x:v>
      </x:c>
      <x:c r="C871" s="8" t="d">
        <x:v>2025-08-25T00:00:00.000Z</x:v>
      </x:c>
      <x:c r="D871" s="2" t="str">
        <x:v>Unknown</x:v>
      </x:c>
      <x:c r="E871" s="2" t="str">
        <x:v>Electronics</x:v>
      </x:c>
      <x:c r="F871" s="2" t="str">
        <x:v>Power bank</x:v>
      </x:c>
      <x:c r="G871" s="2" t="str">
        <x:v>Online</x:v>
      </x:c>
      <x:c r="H871" s="7" t="n">
        <x:v>3</x:v>
      </x:c>
      <x:c r="I871" s="9" t="n">
        <x:v>15000</x:v>
      </x:c>
      <x:c r="J871" s="9" t="n">
        <x:v>9500</x:v>
      </x:c>
      <x:c r="K871" s="10" t="n">
        <x:v>0.1</x:v>
      </x:c>
      <x:c r="L871" s="2" t="str">
        <x:v>Completed</x:v>
      </x:c>
      <x:c r="M871" s="12" t="n">
        <x:f>H871*I871</x:f>
        <x:v>45000</x:v>
      </x:c>
      <x:c r="N871" s="12" t="n">
        <x:f>IF(L871="Completed",ROUND(M871*(1-K871),2),0)</x:f>
        <x:v>40500</x:v>
      </x:c>
      <x:c r="O871" s="12" t="n">
        <x:f>IF(L871="Completed",H871*J871,0)</x:f>
        <x:v>28500</x:v>
      </x:c>
      <x:c r="P871" s="12" t="n">
        <x:f>N871-O871</x:f>
        <x:v>12000</x:v>
      </x:c>
    </x:row>
    <x:row r="872" ht="21" customHeight="1">
      <x:c r="A872" s="7" t="n">
        <x:v>867</x:v>
      </x:c>
      <x:c r="B872" s="2" t="str">
        <x:v>TXN-00867</x:v>
      </x:c>
      <x:c r="C872" s="8" t="d">
        <x:v>2025-08-03T00:00:00.000Z</x:v>
      </x:c>
      <x:c r="D872" s="2" t="str">
        <x:v>Port Harcourt</x:v>
      </x:c>
      <x:c r="E872" s="2" t="str">
        <x:v>Beauty</x:v>
      </x:c>
      <x:c r="F872" s="2" t="str">
        <x:v>Body wash</x:v>
      </x:c>
      <x:c r="G872" s="2" t="str">
        <x:v>Online</x:v>
      </x:c>
      <x:c r="H872" s="7" t="n">
        <x:v>1</x:v>
      </x:c>
      <x:c r="I872" s="9" t="n">
        <x:v>4500</x:v>
      </x:c>
      <x:c r="J872" s="9" t="n">
        <x:v>2300</x:v>
      </x:c>
      <x:c r="K872" s="10" t="n">
        <x:v>0</x:v>
      </x:c>
      <x:c r="L872" s="2" t="str">
        <x:v>Completed</x:v>
      </x:c>
      <x:c r="M872" s="12" t="n">
        <x:f>H872*I872</x:f>
        <x:v>4500</x:v>
      </x:c>
      <x:c r="N872" s="12" t="n">
        <x:f>IF(L872="Completed",ROUND(M872*(1-K872),2),0)</x:f>
        <x:v>4500</x:v>
      </x:c>
      <x:c r="O872" s="12" t="n">
        <x:f>IF(L872="Completed",H872*J872,0)</x:f>
        <x:v>2300</x:v>
      </x:c>
      <x:c r="P872" s="12" t="n">
        <x:f>N872-O872</x:f>
        <x:v>2200</x:v>
      </x:c>
    </x:row>
    <x:row r="873" ht="21" customHeight="1">
      <x:c r="A873" s="7" t="n">
        <x:v>868</x:v>
      </x:c>
      <x:c r="B873" s="2" t="str">
        <x:v>TXN-00868</x:v>
      </x:c>
      <x:c r="C873" s="8" t="d">
        <x:v>2025-08-24T00:00:00.000Z</x:v>
      </x:c>
      <x:c r="D873" s="2" t="str">
        <x:v>Abuja</x:v>
      </x:c>
      <x:c r="E873" s="2" t="str">
        <x:v>Beauty</x:v>
      </x:c>
      <x:c r="F873" s="2" t="str">
        <x:v>Perfume</x:v>
      </x:c>
      <x:c r="G873" s="2" t="str">
        <x:v>Online</x:v>
      </x:c>
      <x:c r="H873" s="7" t="n">
        <x:v>1</x:v>
      </x:c>
      <x:c r="I873" s="9" t="n">
        <x:v>17000</x:v>
      </x:c>
      <x:c r="J873" s="9" t="n">
        <x:v>9000</x:v>
      </x:c>
      <x:c r="K873" s="10" t="n">
        <x:v>0.05</x:v>
      </x:c>
      <x:c r="L873" s="2" t="str">
        <x:v>Completed</x:v>
      </x:c>
      <x:c r="M873" s="12" t="n">
        <x:f>H873*I873</x:f>
        <x:v>17000</x:v>
      </x:c>
      <x:c r="N873" s="12" t="n">
        <x:f>IF(L873="Completed",ROUND(M873*(1-K873),2),0)</x:f>
        <x:v>16150</x:v>
      </x:c>
      <x:c r="O873" s="12" t="n">
        <x:f>IF(L873="Completed",H873*J873,0)</x:f>
        <x:v>9000</x:v>
      </x:c>
      <x:c r="P873" s="12" t="n">
        <x:f>N873-O873</x:f>
        <x:v>7150</x:v>
      </x:c>
    </x:row>
    <x:row r="874" ht="21" customHeight="1">
      <x:c r="A874" s="7" t="n">
        <x:v>869</x:v>
      </x:c>
      <x:c r="B874" s="2" t="str">
        <x:v>TXN-00869</x:v>
      </x:c>
      <x:c r="C874" s="8" t="d">
        <x:v>2025-08-01T00:00:00.000Z</x:v>
      </x:c>
      <x:c r="D874" s="2" t="str">
        <x:v>Lagos</x:v>
      </x:c>
      <x:c r="E874" s="2" t="str">
        <x:v>Electronics</x:v>
      </x:c>
      <x:c r="F874" s="2" t="str">
        <x:v>Bluetooth speaker</x:v>
      </x:c>
      <x:c r="G874" s="2" t="str">
        <x:v>In-store</x:v>
      </x:c>
      <x:c r="H874" s="7" t="n">
        <x:v>2</x:v>
      </x:c>
      <x:c r="I874" s="9" t="n">
        <x:v>26000</x:v>
      </x:c>
      <x:c r="J874" s="9" t="n">
        <x:v>17000</x:v>
      </x:c>
      <x:c r="K874" s="10" t="n">
        <x:v>0</x:v>
      </x:c>
      <x:c r="L874" s="2" t="str">
        <x:v>Returned</x:v>
      </x:c>
      <x:c r="M874" s="12" t="n">
        <x:f>H874*I874</x:f>
        <x:v>52000</x:v>
      </x:c>
      <x:c r="N874" s="12" t="n">
        <x:f>IF(L874="Completed",ROUND(M874*(1-K874),2),0)</x:f>
        <x:v>0</x:v>
      </x:c>
      <x:c r="O874" s="12" t="n">
        <x:f>IF(L874="Completed",H874*J874,0)</x:f>
        <x:v>0</x:v>
      </x:c>
      <x:c r="P874" s="12" t="n">
        <x:f>N874-O874</x:f>
        <x:v>0</x:v>
      </x:c>
    </x:row>
    <x:row r="875" ht="21" customHeight="1">
      <x:c r="A875" s="7" t="n">
        <x:v>870</x:v>
      </x:c>
      <x:c r="B875" s="2" t="str">
        <x:v>TXN-00870</x:v>
      </x:c>
      <x:c r="C875" s="8" t="d">
        <x:v>2025-08-05T00:00:00.000Z</x:v>
      </x:c>
      <x:c r="D875" s="2" t="str">
        <x:v>Abuja</x:v>
      </x:c>
      <x:c r="E875" s="2" t="str">
        <x:v>Electronics</x:v>
      </x:c>
      <x:c r="F875" s="2" t="str">
        <x:v>Headphones</x:v>
      </x:c>
      <x:c r="G875" s="2" t="str">
        <x:v>Online</x:v>
      </x:c>
      <x:c r="H875" s="7" t="n">
        <x:v>2</x:v>
      </x:c>
      <x:c r="I875" s="9" t="n">
        <x:v>18000</x:v>
      </x:c>
      <x:c r="J875" s="9" t="n">
        <x:v>10500</x:v>
      </x:c>
      <x:c r="K875" s="10" t="n">
        <x:v>0.05</x:v>
      </x:c>
      <x:c r="L875" s="2" t="str">
        <x:v>Completed</x:v>
      </x:c>
      <x:c r="M875" s="12" t="n">
        <x:f>H875*I875</x:f>
        <x:v>36000</x:v>
      </x:c>
      <x:c r="N875" s="12" t="n">
        <x:f>IF(L875="Completed",ROUND(M875*(1-K875),2),0)</x:f>
        <x:v>34200</x:v>
      </x:c>
      <x:c r="O875" s="12" t="n">
        <x:f>IF(L875="Completed",H875*J875,0)</x:f>
        <x:v>21000</x:v>
      </x:c>
      <x:c r="P875" s="12" t="n">
        <x:f>N875-O875</x:f>
        <x:v>13200</x:v>
      </x:c>
    </x:row>
    <x:row r="876" ht="21" customHeight="1">
      <x:c r="A876" s="7" t="n">
        <x:v>871</x:v>
      </x:c>
      <x:c r="B876" s="2" t="str">
        <x:v>TXN-00871</x:v>
      </x:c>
      <x:c r="C876" s="8" t="d">
        <x:v>2025-08-27T00:00:00.000Z</x:v>
      </x:c>
      <x:c r="D876" s="2" t="str">
        <x:v>Lagos</x:v>
      </x:c>
      <x:c r="E876" s="2" t="str">
        <x:v>Fashion</x:v>
      </x:c>
      <x:c r="F876" s="2" t="str">
        <x:v>Handbag</x:v>
      </x:c>
      <x:c r="G876" s="2" t="str">
        <x:v>Online</x:v>
      </x:c>
      <x:c r="H876" s="7" t="n">
        <x:v>1</x:v>
      </x:c>
      <x:c r="I876" s="9" t="n">
        <x:v>22000</x:v>
      </x:c>
      <x:c r="J876" s="9" t="n">
        <x:v>13500</x:v>
      </x:c>
      <x:c r="K876" s="10" t="n">
        <x:v>0.1</x:v>
      </x:c>
      <x:c r="L876" s="2" t="str">
        <x:v>Completed</x:v>
      </x:c>
      <x:c r="M876" s="12" t="n">
        <x:f>H876*I876</x:f>
        <x:v>22000</x:v>
      </x:c>
      <x:c r="N876" s="12" t="n">
        <x:f>IF(L876="Completed",ROUND(M876*(1-K876),2),0)</x:f>
        <x:v>19800</x:v>
      </x:c>
      <x:c r="O876" s="12" t="n">
        <x:f>IF(L876="Completed",H876*J876,0)</x:f>
        <x:v>13500</x:v>
      </x:c>
      <x:c r="P876" s="12" t="n">
        <x:f>N876-O876</x:f>
        <x:v>6300</x:v>
      </x:c>
    </x:row>
    <x:row r="877" ht="21" customHeight="1">
      <x:c r="A877" s="7" t="n">
        <x:v>872</x:v>
      </x:c>
      <x:c r="B877" s="2" t="str">
        <x:v>TXN-00872</x:v>
      </x:c>
      <x:c r="C877" s="8" t="d">
        <x:v>2025-08-22T00:00:00.000Z</x:v>
      </x:c>
      <x:c r="D877" s="2" t="str">
        <x:v>Lagos</x:v>
      </x:c>
      <x:c r="E877" s="2" t="str">
        <x:v>Beauty</x:v>
      </x:c>
      <x:c r="F877" s="2" t="str">
        <x:v>Body wash</x:v>
      </x:c>
      <x:c r="G877" s="2" t="str">
        <x:v>In-store</x:v>
      </x:c>
      <x:c r="H877" s="7" t="n">
        <x:v>1</x:v>
      </x:c>
      <x:c r="I877" s="9" t="n">
        <x:v>4500</x:v>
      </x:c>
      <x:c r="J877" s="9" t="n">
        <x:v>2300</x:v>
      </x:c>
      <x:c r="K877" s="10" t="n">
        <x:v>0</x:v>
      </x:c>
      <x:c r="L877" s="2" t="str">
        <x:v>Completed</x:v>
      </x:c>
      <x:c r="M877" s="12" t="n">
        <x:f>H877*I877</x:f>
        <x:v>4500</x:v>
      </x:c>
      <x:c r="N877" s="12" t="n">
        <x:f>IF(L877="Completed",ROUND(M877*(1-K877),2),0)</x:f>
        <x:v>4500</x:v>
      </x:c>
      <x:c r="O877" s="12" t="n">
        <x:f>IF(L877="Completed",H877*J877,0)</x:f>
        <x:v>2300</x:v>
      </x:c>
      <x:c r="P877" s="12" t="n">
        <x:f>N877-O877</x:f>
        <x:v>2200</x:v>
      </x:c>
    </x:row>
    <x:row r="878" ht="21" customHeight="1">
      <x:c r="A878" s="7" t="n">
        <x:v>873</x:v>
      </x:c>
      <x:c r="B878" s="2" t="str">
        <x:v>TXN-00873</x:v>
      </x:c>
      <x:c r="C878" s="8" t="d">
        <x:v>2025-08-17T00:00:00.000Z</x:v>
      </x:c>
      <x:c r="D878" s="2" t="str">
        <x:v>Unknown</x:v>
      </x:c>
      <x:c r="E878" s="2" t="str">
        <x:v>Beauty</x:v>
      </x:c>
      <x:c r="F878" s="2" t="str">
        <x:v>Moisturizer</x:v>
      </x:c>
      <x:c r="G878" s="2" t="str">
        <x:v>In-store</x:v>
      </x:c>
      <x:c r="H878" s="7" t="n">
        <x:v>1</x:v>
      </x:c>
      <x:c r="I878" s="9" t="n">
        <x:v>6500</x:v>
      </x:c>
      <x:c r="J878" s="9" t="n">
        <x:v>3500</x:v>
      </x:c>
      <x:c r="K878" s="10" t="n">
        <x:v>0</x:v>
      </x:c>
      <x:c r="L878" s="2" t="str">
        <x:v>Completed</x:v>
      </x:c>
      <x:c r="M878" s="12" t="n">
        <x:f>H878*I878</x:f>
        <x:v>6500</x:v>
      </x:c>
      <x:c r="N878" s="12" t="n">
        <x:f>IF(L878="Completed",ROUND(M878*(1-K878),2),0)</x:f>
        <x:v>6500</x:v>
      </x:c>
      <x:c r="O878" s="12" t="n">
        <x:f>IF(L878="Completed",H878*J878,0)</x:f>
        <x:v>3500</x:v>
      </x:c>
      <x:c r="P878" s="12" t="n">
        <x:f>N878-O878</x:f>
        <x:v>3000</x:v>
      </x:c>
    </x:row>
    <x:row r="879" ht="21" customHeight="1">
      <x:c r="A879" s="7" t="n">
        <x:v>874</x:v>
      </x:c>
      <x:c r="B879" s="2" t="str">
        <x:v>TXN-00874</x:v>
      </x:c>
      <x:c r="C879" s="8" t="d">
        <x:v>2025-08-07T00:00:00.000Z</x:v>
      </x:c>
      <x:c r="D879" s="2" t="str">
        <x:v>Kano</x:v>
      </x:c>
      <x:c r="E879" s="2" t="str">
        <x:v>Beauty</x:v>
      </x:c>
      <x:c r="F879" s="2" t="str">
        <x:v>Moisturizer</x:v>
      </x:c>
      <x:c r="G879" s="2" t="str">
        <x:v>In-store</x:v>
      </x:c>
      <x:c r="H879" s="7" t="n">
        <x:v>1</x:v>
      </x:c>
      <x:c r="I879" s="9" t="n">
        <x:v>6500</x:v>
      </x:c>
      <x:c r="J879" s="9" t="n">
        <x:v>3500</x:v>
      </x:c>
      <x:c r="K879" s="10" t="n">
        <x:v>0</x:v>
      </x:c>
      <x:c r="L879" s="2" t="str">
        <x:v>Completed</x:v>
      </x:c>
      <x:c r="M879" s="12" t="n">
        <x:f>H879*I879</x:f>
        <x:v>6500</x:v>
      </x:c>
      <x:c r="N879" s="12" t="n">
        <x:f>IF(L879="Completed",ROUND(M879*(1-K879),2),0)</x:f>
        <x:v>6500</x:v>
      </x:c>
      <x:c r="O879" s="12" t="n">
        <x:f>IF(L879="Completed",H879*J879,0)</x:f>
        <x:v>3500</x:v>
      </x:c>
      <x:c r="P879" s="12" t="n">
        <x:f>N879-O879</x:f>
        <x:v>3000</x:v>
      </x:c>
    </x:row>
    <x:row r="880" ht="21" customHeight="1">
      <x:c r="A880" s="7" t="n">
        <x:v>875</x:v>
      </x:c>
      <x:c r="B880" s="2" t="str">
        <x:v>TXN-00875</x:v>
      </x:c>
      <x:c r="C880" s="8" t="d">
        <x:v>2025-08-30T00:00:00.000Z</x:v>
      </x:c>
      <x:c r="D880" s="2" t="str">
        <x:v>Abuja</x:v>
      </x:c>
      <x:c r="E880" s="2" t="str">
        <x:v>Fashion</x:v>
      </x:c>
      <x:c r="F880" s="2" t="str">
        <x:v>Handbag</x:v>
      </x:c>
      <x:c r="G880" s="2" t="str">
        <x:v>Online</x:v>
      </x:c>
      <x:c r="H880" s="7" t="n">
        <x:v>1</x:v>
      </x:c>
      <x:c r="I880" s="9" t="n">
        <x:v>22000</x:v>
      </x:c>
      <x:c r="J880" s="9" t="n">
        <x:v>13500</x:v>
      </x:c>
      <x:c r="K880" s="10" t="n">
        <x:v>0</x:v>
      </x:c>
      <x:c r="L880" s="2" t="str">
        <x:v>Completed</x:v>
      </x:c>
      <x:c r="M880" s="12" t="n">
        <x:f>H880*I880</x:f>
        <x:v>22000</x:v>
      </x:c>
      <x:c r="N880" s="12" t="n">
        <x:f>IF(L880="Completed",ROUND(M880*(1-K880),2),0)</x:f>
        <x:v>22000</x:v>
      </x:c>
      <x:c r="O880" s="12" t="n">
        <x:f>IF(L880="Completed",H880*J880,0)</x:f>
        <x:v>13500</x:v>
      </x:c>
      <x:c r="P880" s="12" t="n">
        <x:f>N880-O880</x:f>
        <x:v>8500</x:v>
      </x:c>
    </x:row>
    <x:row r="881" ht="21" customHeight="1">
      <x:c r="A881" s="7" t="n">
        <x:v>876</x:v>
      </x:c>
      <x:c r="B881" s="2" t="str">
        <x:v>TXN-00876</x:v>
      </x:c>
      <x:c r="C881" s="8" t="d">
        <x:v>2025-08-27T00:00:00.000Z</x:v>
      </x:c>
      <x:c r="D881" s="2" t="str">
        <x:v>Port Harcourt</x:v>
      </x:c>
      <x:c r="E881" s="2" t="str">
        <x:v>Beauty</x:v>
      </x:c>
      <x:c r="F881" s="2" t="str">
        <x:v>Moisturizer</x:v>
      </x:c>
      <x:c r="G881" s="2" t="str">
        <x:v>Online</x:v>
      </x:c>
      <x:c r="H881" s="7" t="n">
        <x:v>1</x:v>
      </x:c>
      <x:c r="I881" s="9" t="n">
        <x:v>6500</x:v>
      </x:c>
      <x:c r="J881" s="9" t="n">
        <x:v>3500</x:v>
      </x:c>
      <x:c r="K881" s="10" t="n">
        <x:v>0</x:v>
      </x:c>
      <x:c r="L881" s="2" t="str">
        <x:v>Completed</x:v>
      </x:c>
      <x:c r="M881" s="12" t="n">
        <x:f>H881*I881</x:f>
        <x:v>6500</x:v>
      </x:c>
      <x:c r="N881" s="12" t="n">
        <x:f>IF(L881="Completed",ROUND(M881*(1-K881),2),0)</x:f>
        <x:v>6500</x:v>
      </x:c>
      <x:c r="O881" s="12" t="n">
        <x:f>IF(L881="Completed",H881*J881,0)</x:f>
        <x:v>3500</x:v>
      </x:c>
      <x:c r="P881" s="12" t="n">
        <x:f>N881-O881</x:f>
        <x:v>3000</x:v>
      </x:c>
    </x:row>
    <x:row r="882" ht="21" customHeight="1">
      <x:c r="A882" s="7" t="n">
        <x:v>877</x:v>
      </x:c>
      <x:c r="B882" s="2" t="str">
        <x:v>TXN-00877</x:v>
      </x:c>
      <x:c r="C882" s="8" t="d">
        <x:v>2025-08-26T00:00:00.000Z</x:v>
      </x:c>
      <x:c r="D882" s="2" t="str">
        <x:v>Lagos</x:v>
      </x:c>
      <x:c r="E882" s="2" t="str">
        <x:v>Beauty</x:v>
      </x:c>
      <x:c r="F882" s="2" t="str">
        <x:v>Perfume</x:v>
      </x:c>
      <x:c r="G882" s="2" t="str">
        <x:v>Online</x:v>
      </x:c>
      <x:c r="H882" s="7" t="n">
        <x:v>1</x:v>
      </x:c>
      <x:c r="I882" s="9" t="n">
        <x:v>17000</x:v>
      </x:c>
      <x:c r="J882" s="9" t="n">
        <x:v>9000</x:v>
      </x:c>
      <x:c r="K882" s="10" t="n">
        <x:v>0.05</x:v>
      </x:c>
      <x:c r="L882" s="2" t="str">
        <x:v>Completed</x:v>
      </x:c>
      <x:c r="M882" s="12" t="n">
        <x:f>H882*I882</x:f>
        <x:v>17000</x:v>
      </x:c>
      <x:c r="N882" s="12" t="n">
        <x:f>IF(L882="Completed",ROUND(M882*(1-K882),2),0)</x:f>
        <x:v>16150</x:v>
      </x:c>
      <x:c r="O882" s="12" t="n">
        <x:f>IF(L882="Completed",H882*J882,0)</x:f>
        <x:v>9000</x:v>
      </x:c>
      <x:c r="P882" s="12" t="n">
        <x:f>N882-O882</x:f>
        <x:v>7150</x:v>
      </x:c>
    </x:row>
    <x:row r="883" ht="21" customHeight="1">
      <x:c r="A883" s="7" t="n">
        <x:v>878</x:v>
      </x:c>
      <x:c r="B883" s="2" t="str">
        <x:v>TXN-00878</x:v>
      </x:c>
      <x:c r="C883" s="8" t="d">
        <x:v>2025-08-17T00:00:00.000Z</x:v>
      </x:c>
      <x:c r="D883" s="2" t="str">
        <x:v>Lagos</x:v>
      </x:c>
      <x:c r="E883" s="2" t="str">
        <x:v>Fashion</x:v>
      </x:c>
      <x:c r="F883" s="2" t="str">
        <x:v>T-shirt</x:v>
      </x:c>
      <x:c r="G883" s="2" t="str">
        <x:v>In-store</x:v>
      </x:c>
      <x:c r="H883" s="7" t="n">
        <x:v>1</x:v>
      </x:c>
      <x:c r="I883" s="9" t="n">
        <x:v>9000</x:v>
      </x:c>
      <x:c r="J883" s="9" t="n">
        <x:v>5000</x:v>
      </x:c>
      <x:c r="K883" s="10" t="n">
        <x:v>0</x:v>
      </x:c>
      <x:c r="L883" s="2" t="str">
        <x:v>Completed</x:v>
      </x:c>
      <x:c r="M883" s="12" t="n">
        <x:f>H883*I883</x:f>
        <x:v>9000</x:v>
      </x:c>
      <x:c r="N883" s="12" t="n">
        <x:f>IF(L883="Completed",ROUND(M883*(1-K883),2),0)</x:f>
        <x:v>9000</x:v>
      </x:c>
      <x:c r="O883" s="12" t="n">
        <x:f>IF(L883="Completed",H883*J883,0)</x:f>
        <x:v>5000</x:v>
      </x:c>
      <x:c r="P883" s="12" t="n">
        <x:f>N883-O883</x:f>
        <x:v>4000</x:v>
      </x:c>
    </x:row>
    <x:row r="884" ht="21" customHeight="1">
      <x:c r="A884" s="7" t="n">
        <x:v>879</x:v>
      </x:c>
      <x:c r="B884" s="2" t="str">
        <x:v>TXN-00879</x:v>
      </x:c>
      <x:c r="C884" s="8" t="d">
        <x:v>2025-08-18T00:00:00.000Z</x:v>
      </x:c>
      <x:c r="D884" s="2" t="str">
        <x:v>Abuja</x:v>
      </x:c>
      <x:c r="E884" s="2" t="str">
        <x:v>Fashion</x:v>
      </x:c>
      <x:c r="F884" s="2" t="str">
        <x:v>Handbag</x:v>
      </x:c>
      <x:c r="G884" s="2" t="str">
        <x:v>Online</x:v>
      </x:c>
      <x:c r="H884" s="7" t="n">
        <x:v>2</x:v>
      </x:c>
      <x:c r="I884" s="9" t="n">
        <x:v>22000</x:v>
      </x:c>
      <x:c r="J884" s="9" t="n">
        <x:v>13500</x:v>
      </x:c>
      <x:c r="K884" s="10" t="n">
        <x:v>0</x:v>
      </x:c>
      <x:c r="L884" s="2" t="str">
        <x:v>Completed</x:v>
      </x:c>
      <x:c r="M884" s="12" t="n">
        <x:f>H884*I884</x:f>
        <x:v>44000</x:v>
      </x:c>
      <x:c r="N884" s="12" t="n">
        <x:f>IF(L884="Completed",ROUND(M884*(1-K884),2),0)</x:f>
        <x:v>44000</x:v>
      </x:c>
      <x:c r="O884" s="12" t="n">
        <x:f>IF(L884="Completed",H884*J884,0)</x:f>
        <x:v>27000</x:v>
      </x:c>
      <x:c r="P884" s="12" t="n">
        <x:f>N884-O884</x:f>
        <x:v>17000</x:v>
      </x:c>
    </x:row>
    <x:row r="885" ht="21" customHeight="1">
      <x:c r="A885" s="7" t="n">
        <x:v>880</x:v>
      </x:c>
      <x:c r="B885" s="2" t="str">
        <x:v>TXN-00880</x:v>
      </x:c>
      <x:c r="C885" s="8" t="d">
        <x:v>2025-08-19T00:00:00.000Z</x:v>
      </x:c>
      <x:c r="D885" s="2" t="str">
        <x:v>Lagos</x:v>
      </x:c>
      <x:c r="E885" s="2" t="str">
        <x:v>Electronics</x:v>
      </x:c>
      <x:c r="F885" s="2" t="str">
        <x:v>Headphones</x:v>
      </x:c>
      <x:c r="G885" s="2" t="str">
        <x:v>Online</x:v>
      </x:c>
      <x:c r="H885" s="7" t="n">
        <x:v>1</x:v>
      </x:c>
      <x:c r="I885" s="9" t="n">
        <x:v>18000</x:v>
      </x:c>
      <x:c r="J885" s="9" t="n">
        <x:v>10500</x:v>
      </x:c>
      <x:c r="K885" s="10" t="n">
        <x:v>0</x:v>
      </x:c>
      <x:c r="L885" s="2" t="str">
        <x:v>Returned</x:v>
      </x:c>
      <x:c r="M885" s="12" t="n">
        <x:f>H885*I885</x:f>
        <x:v>18000</x:v>
      </x:c>
      <x:c r="N885" s="12" t="n">
        <x:f>IF(L885="Completed",ROUND(M885*(1-K885),2),0)</x:f>
        <x:v>0</x:v>
      </x:c>
      <x:c r="O885" s="12" t="n">
        <x:f>IF(L885="Completed",H885*J885,0)</x:f>
        <x:v>0</x:v>
      </x:c>
      <x:c r="P885" s="12" t="n">
        <x:f>N885-O885</x:f>
        <x:v>0</x:v>
      </x:c>
    </x:row>
    <x:row r="886" ht="21" customHeight="1">
      <x:c r="A886" s="7" t="n">
        <x:v>881</x:v>
      </x:c>
      <x:c r="B886" s="2" t="str">
        <x:v>TXN-00881</x:v>
      </x:c>
      <x:c r="C886" s="8" t="d">
        <x:v>2025-08-11T00:00:00.000Z</x:v>
      </x:c>
      <x:c r="D886" s="2" t="str">
        <x:v>Lagos</x:v>
      </x:c>
      <x:c r="E886" s="2" t="str">
        <x:v>Home</x:v>
      </x:c>
      <x:c r="F886" s="2" t="str">
        <x:v>Cookware set</x:v>
      </x:c>
      <x:c r="G886" s="2" t="str">
        <x:v>In-store</x:v>
      </x:c>
      <x:c r="H886" s="7" t="n">
        <x:v>1</x:v>
      </x:c>
      <x:c r="I886" s="9" t="n">
        <x:v>35000</x:v>
      </x:c>
      <x:c r="J886" s="9" t="n">
        <x:v>22500</x:v>
      </x:c>
      <x:c r="K886" s="10" t="n">
        <x:v>0</x:v>
      </x:c>
      <x:c r="L886" s="2" t="str">
        <x:v>Returned</x:v>
      </x:c>
      <x:c r="M886" s="12" t="n">
        <x:f>H886*I886</x:f>
        <x:v>35000</x:v>
      </x:c>
      <x:c r="N886" s="12" t="n">
        <x:f>IF(L886="Completed",ROUND(M886*(1-K886),2),0)</x:f>
        <x:v>0</x:v>
      </x:c>
      <x:c r="O886" s="12" t="n">
        <x:f>IF(L886="Completed",H886*J886,0)</x:f>
        <x:v>0</x:v>
      </x:c>
      <x:c r="P886" s="12" t="n">
        <x:f>N886-O886</x:f>
        <x:v>0</x:v>
      </x:c>
    </x:row>
    <x:row r="887" ht="21" customHeight="1">
      <x:c r="A887" s="7" t="n">
        <x:v>882</x:v>
      </x:c>
      <x:c r="B887" s="2" t="str">
        <x:v>TXN-00882</x:v>
      </x:c>
      <x:c r="C887" s="8" t="d">
        <x:v>2025-08-28T00:00:00.000Z</x:v>
      </x:c>
      <x:c r="D887" s="2" t="str">
        <x:v>Abuja</x:v>
      </x:c>
      <x:c r="E887" s="2" t="str">
        <x:v>Fashion</x:v>
      </x:c>
      <x:c r="F887" s="2" t="str">
        <x:v>T-shirt</x:v>
      </x:c>
      <x:c r="G887" s="2" t="str">
        <x:v>In-store</x:v>
      </x:c>
      <x:c r="H887" s="7" t="n">
        <x:v>1</x:v>
      </x:c>
      <x:c r="I887" s="9" t="n">
        <x:v>9000</x:v>
      </x:c>
      <x:c r="J887" s="9" t="n">
        <x:v>5000</x:v>
      </x:c>
      <x:c r="K887" s="10" t="n">
        <x:v>0</x:v>
      </x:c>
      <x:c r="L887" s="2" t="str">
        <x:v>Completed</x:v>
      </x:c>
      <x:c r="M887" s="12" t="n">
        <x:f>H887*I887</x:f>
        <x:v>9000</x:v>
      </x:c>
      <x:c r="N887" s="12" t="n">
        <x:f>IF(L887="Completed",ROUND(M887*(1-K887),2),0)</x:f>
        <x:v>9000</x:v>
      </x:c>
      <x:c r="O887" s="12" t="n">
        <x:f>IF(L887="Completed",H887*J887,0)</x:f>
        <x:v>5000</x:v>
      </x:c>
      <x:c r="P887" s="12" t="n">
        <x:f>N887-O887</x:f>
        <x:v>4000</x:v>
      </x:c>
    </x:row>
    <x:row r="888" ht="21" customHeight="1">
      <x:c r="A888" s="7" t="n">
        <x:v>883</x:v>
      </x:c>
      <x:c r="B888" s="2" t="str">
        <x:v>TXN-00883</x:v>
      </x:c>
      <x:c r="C888" s="8" t="d">
        <x:v>2025-08-18T00:00:00.000Z</x:v>
      </x:c>
      <x:c r="D888" s="2" t="str">
        <x:v>Kano</x:v>
      </x:c>
      <x:c r="E888" s="2" t="str">
        <x:v>Home</x:v>
      </x:c>
      <x:c r="F888" s="2" t="str">
        <x:v>Cookware set</x:v>
      </x:c>
      <x:c r="G888" s="2" t="str">
        <x:v>Online</x:v>
      </x:c>
      <x:c r="H888" s="7" t="n">
        <x:v>1</x:v>
      </x:c>
      <x:c r="I888" s="9" t="n">
        <x:v>35000</x:v>
      </x:c>
      <x:c r="J888" s="9" t="n">
        <x:v>22500</x:v>
      </x:c>
      <x:c r="K888" s="10" t="n">
        <x:v>0</x:v>
      </x:c>
      <x:c r="L888" s="2" t="str">
        <x:v>Completed</x:v>
      </x:c>
      <x:c r="M888" s="12" t="n">
        <x:f>H888*I888</x:f>
        <x:v>35000</x:v>
      </x:c>
      <x:c r="N888" s="12" t="n">
        <x:f>IF(L888="Completed",ROUND(M888*(1-K888),2),0)</x:f>
        <x:v>35000</x:v>
      </x:c>
      <x:c r="O888" s="12" t="n">
        <x:f>IF(L888="Completed",H888*J888,0)</x:f>
        <x:v>22500</x:v>
      </x:c>
      <x:c r="P888" s="12" t="n">
        <x:f>N888-O888</x:f>
        <x:v>12500</x:v>
      </x:c>
    </x:row>
    <x:row r="889" ht="21" customHeight="1">
      <x:c r="A889" s="7" t="n">
        <x:v>884</x:v>
      </x:c>
      <x:c r="B889" s="2" t="str">
        <x:v>TXN-00884</x:v>
      </x:c>
      <x:c r="C889" s="8" t="d">
        <x:v>2025-08-04T00:00:00.000Z</x:v>
      </x:c>
      <x:c r="D889" s="2" t="str">
        <x:v>Lagos</x:v>
      </x:c>
      <x:c r="E889" s="2" t="str">
        <x:v>Home</x:v>
      </x:c>
      <x:c r="F889" s="2" t="str">
        <x:v>Bedsheet</x:v>
      </x:c>
      <x:c r="G889" s="2" t="str">
        <x:v>Online</x:v>
      </x:c>
      <x:c r="H889" s="7" t="n">
        <x:v>1</x:v>
      </x:c>
      <x:c r="I889" s="9" t="n">
        <x:v>14000</x:v>
      </x:c>
      <x:c r="J889" s="9" t="n">
        <x:v>8500</x:v>
      </x:c>
      <x:c r="K889" s="10" t="n">
        <x:v>0</x:v>
      </x:c>
      <x:c r="L889" s="2" t="str">
        <x:v>Completed</x:v>
      </x:c>
      <x:c r="M889" s="12" t="n">
        <x:f>H889*I889</x:f>
        <x:v>14000</x:v>
      </x:c>
      <x:c r="N889" s="12" t="n">
        <x:f>IF(L889="Completed",ROUND(M889*(1-K889),2),0)</x:f>
        <x:v>14000</x:v>
      </x:c>
      <x:c r="O889" s="12" t="n">
        <x:f>IF(L889="Completed",H889*J889,0)</x:f>
        <x:v>8500</x:v>
      </x:c>
      <x:c r="P889" s="12" t="n">
        <x:f>N889-O889</x:f>
        <x:v>5500</x:v>
      </x:c>
    </x:row>
    <x:row r="890" ht="21" customHeight="1">
      <x:c r="A890" s="7" t="n">
        <x:v>885</x:v>
      </x:c>
      <x:c r="B890" s="2" t="str">
        <x:v>TXN-00885</x:v>
      </x:c>
      <x:c r="C890" s="8" t="d">
        <x:v>2025-08-18T00:00:00.000Z</x:v>
      </x:c>
      <x:c r="D890" s="2" t="str">
        <x:v>Abuja</x:v>
      </x:c>
      <x:c r="E890" s="2" t="str">
        <x:v>Fashion</x:v>
      </x:c>
      <x:c r="F890" s="2" t="str">
        <x:v>Handbag</x:v>
      </x:c>
      <x:c r="G890" s="2" t="str">
        <x:v>In-store</x:v>
      </x:c>
      <x:c r="H890" s="7" t="n">
        <x:v>2</x:v>
      </x:c>
      <x:c r="I890" s="9" t="n">
        <x:v>22000</x:v>
      </x:c>
      <x:c r="J890" s="9" t="n">
        <x:v>13500</x:v>
      </x:c>
      <x:c r="K890" s="10" t="n">
        <x:v>0.1</x:v>
      </x:c>
      <x:c r="L890" s="2" t="str">
        <x:v>Completed</x:v>
      </x:c>
      <x:c r="M890" s="12" t="n">
        <x:f>H890*I890</x:f>
        <x:v>44000</x:v>
      </x:c>
      <x:c r="N890" s="12" t="n">
        <x:f>IF(L890="Completed",ROUND(M890*(1-K890),2),0)</x:f>
        <x:v>39600</x:v>
      </x:c>
      <x:c r="O890" s="12" t="n">
        <x:f>IF(L890="Completed",H890*J890,0)</x:f>
        <x:v>27000</x:v>
      </x:c>
      <x:c r="P890" s="12" t="n">
        <x:f>N890-O890</x:f>
        <x:v>12600</x:v>
      </x:c>
    </x:row>
    <x:row r="891" ht="21" customHeight="1">
      <x:c r="A891" s="7" t="n">
        <x:v>886</x:v>
      </x:c>
      <x:c r="B891" s="2" t="str">
        <x:v>TXN-00886</x:v>
      </x:c>
      <x:c r="C891" s="8" t="d">
        <x:v>2025-08-01T00:00:00.000Z</x:v>
      </x:c>
      <x:c r="D891" s="2" t="str">
        <x:v>Port Harcourt</x:v>
      </x:c>
      <x:c r="E891" s="2" t="str">
        <x:v>Beauty</x:v>
      </x:c>
      <x:c r="F891" s="2" t="str">
        <x:v>Moisturizer</x:v>
      </x:c>
      <x:c r="G891" s="2" t="str">
        <x:v>In-store</x:v>
      </x:c>
      <x:c r="H891" s="7" t="n">
        <x:v>2</x:v>
      </x:c>
      <x:c r="I891" s="9" t="n">
        <x:v>6500</x:v>
      </x:c>
      <x:c r="J891" s="9" t="n">
        <x:v>3500</x:v>
      </x:c>
      <x:c r="K891" s="10" t="n">
        <x:v>0</x:v>
      </x:c>
      <x:c r="L891" s="2" t="str">
        <x:v>Completed</x:v>
      </x:c>
      <x:c r="M891" s="12" t="n">
        <x:f>H891*I891</x:f>
        <x:v>13000</x:v>
      </x:c>
      <x:c r="N891" s="12" t="n">
        <x:f>IF(L891="Completed",ROUND(M891*(1-K891),2),0)</x:f>
        <x:v>13000</x:v>
      </x:c>
      <x:c r="O891" s="12" t="n">
        <x:f>IF(L891="Completed",H891*J891,0)</x:f>
        <x:v>7000</x:v>
      </x:c>
      <x:c r="P891" s="12" t="n">
        <x:f>N891-O891</x:f>
        <x:v>6000</x:v>
      </x:c>
    </x:row>
    <x:row r="892" ht="21" customHeight="1">
      <x:c r="A892" s="7" t="n">
        <x:v>887</x:v>
      </x:c>
      <x:c r="B892" s="2" t="str">
        <x:v>TXN-00887</x:v>
      </x:c>
      <x:c r="C892" s="8" t="d">
        <x:v>2025-08-14T00:00:00.000Z</x:v>
      </x:c>
      <x:c r="D892" s="2" t="str">
        <x:v>Port Harcourt</x:v>
      </x:c>
      <x:c r="E892" s="2" t="str">
        <x:v>Beauty</x:v>
      </x:c>
      <x:c r="F892" s="2" t="str">
        <x:v>Body wash</x:v>
      </x:c>
      <x:c r="G892" s="2" t="str">
        <x:v>In-store</x:v>
      </x:c>
      <x:c r="H892" s="7" t="n">
        <x:v>2</x:v>
      </x:c>
      <x:c r="I892" s="9" t="n">
        <x:v>4500</x:v>
      </x:c>
      <x:c r="J892" s="9" t="n">
        <x:v>2300</x:v>
      </x:c>
      <x:c r="K892" s="10" t="n">
        <x:v>0.05</x:v>
      </x:c>
      <x:c r="L892" s="2" t="str">
        <x:v>Completed</x:v>
      </x:c>
      <x:c r="M892" s="12" t="n">
        <x:f>H892*I892</x:f>
        <x:v>9000</x:v>
      </x:c>
      <x:c r="N892" s="12" t="n">
        <x:f>IF(L892="Completed",ROUND(M892*(1-K892),2),0)</x:f>
        <x:v>8550</x:v>
      </x:c>
      <x:c r="O892" s="12" t="n">
        <x:f>IF(L892="Completed",H892*J892,0)</x:f>
        <x:v>4600</x:v>
      </x:c>
      <x:c r="P892" s="12" t="n">
        <x:f>N892-O892</x:f>
        <x:v>3950</x:v>
      </x:c>
    </x:row>
    <x:row r="893" ht="21" customHeight="1">
      <x:c r="A893" s="7" t="n">
        <x:v>888</x:v>
      </x:c>
      <x:c r="B893" s="2" t="str">
        <x:v>TXN-00888</x:v>
      </x:c>
      <x:c r="C893" s="8" t="d">
        <x:v>2025-08-03T00:00:00.000Z</x:v>
      </x:c>
      <x:c r="D893" s="2" t="str">
        <x:v>Port Harcourt</x:v>
      </x:c>
      <x:c r="E893" s="2" t="str">
        <x:v>Home</x:v>
      </x:c>
      <x:c r="F893" s="2" t="str">
        <x:v>Desk lamp</x:v>
      </x:c>
      <x:c r="G893" s="2" t="str">
        <x:v>In-store</x:v>
      </x:c>
      <x:c r="H893" s="7" t="n">
        <x:v>1</x:v>
      </x:c>
      <x:c r="I893" s="9" t="n">
        <x:v>12000</x:v>
      </x:c>
      <x:c r="J893" s="9" t="n">
        <x:v>7200</x:v>
      </x:c>
      <x:c r="K893" s="10" t="n">
        <x:v>0</x:v>
      </x:c>
      <x:c r="L893" s="2" t="str">
        <x:v>Completed</x:v>
      </x:c>
      <x:c r="M893" s="12" t="n">
        <x:f>H893*I893</x:f>
        <x:v>12000</x:v>
      </x:c>
      <x:c r="N893" s="12" t="n">
        <x:f>IF(L893="Completed",ROUND(M893*(1-K893),2),0)</x:f>
        <x:v>12000</x:v>
      </x:c>
      <x:c r="O893" s="12" t="n">
        <x:f>IF(L893="Completed",H893*J893,0)</x:f>
        <x:v>7200</x:v>
      </x:c>
      <x:c r="P893" s="12" t="n">
        <x:f>N893-O893</x:f>
        <x:v>4800</x:v>
      </x:c>
    </x:row>
    <x:row r="894" ht="21" customHeight="1">
      <x:c r="A894" s="7" t="n">
        <x:v>889</x:v>
      </x:c>
      <x:c r="B894" s="2" t="str">
        <x:v>TXN-00889</x:v>
      </x:c>
      <x:c r="C894" s="8" t="d">
        <x:v>2025-08-10T00:00:00.000Z</x:v>
      </x:c>
      <x:c r="D894" s="2" t="str">
        <x:v>Lagos</x:v>
      </x:c>
      <x:c r="E894" s="2" t="str">
        <x:v>Beauty</x:v>
      </x:c>
      <x:c r="F894" s="2" t="str">
        <x:v>Moisturizer</x:v>
      </x:c>
      <x:c r="G894" s="2" t="str">
        <x:v>Online</x:v>
      </x:c>
      <x:c r="H894" s="7" t="n">
        <x:v>1</x:v>
      </x:c>
      <x:c r="I894" s="9" t="n">
        <x:v>6500</x:v>
      </x:c>
      <x:c r="J894" s="9" t="n">
        <x:v>3500</x:v>
      </x:c>
      <x:c r="K894" s="10" t="n">
        <x:v>0</x:v>
      </x:c>
      <x:c r="L894" s="2" t="str">
        <x:v>Completed</x:v>
      </x:c>
      <x:c r="M894" s="12" t="n">
        <x:f>H894*I894</x:f>
        <x:v>6500</x:v>
      </x:c>
      <x:c r="N894" s="12" t="n">
        <x:f>IF(L894="Completed",ROUND(M894*(1-K894),2),0)</x:f>
        <x:v>6500</x:v>
      </x:c>
      <x:c r="O894" s="12" t="n">
        <x:f>IF(L894="Completed",H894*J894,0)</x:f>
        <x:v>3500</x:v>
      </x:c>
      <x:c r="P894" s="12" t="n">
        <x:f>N894-O894</x:f>
        <x:v>3000</x:v>
      </x:c>
    </x:row>
    <x:row r="895" ht="21" customHeight="1">
      <x:c r="A895" s="7" t="n">
        <x:v>890</x:v>
      </x:c>
      <x:c r="B895" s="2" t="str">
        <x:v>TXN-00890</x:v>
      </x:c>
      <x:c r="C895" s="8" t="d">
        <x:v>2025-08-23T00:00:00.000Z</x:v>
      </x:c>
      <x:c r="D895" s="2" t="str">
        <x:v>Lagos</x:v>
      </x:c>
      <x:c r="E895" s="2" t="str">
        <x:v>Beauty</x:v>
      </x:c>
      <x:c r="F895" s="2" t="str">
        <x:v>Moisturizer</x:v>
      </x:c>
      <x:c r="G895" s="2" t="str">
        <x:v>In-store</x:v>
      </x:c>
      <x:c r="H895" s="7" t="n">
        <x:v>4</x:v>
      </x:c>
      <x:c r="I895" s="9" t="n">
        <x:v>6500</x:v>
      </x:c>
      <x:c r="J895" s="9" t="n">
        <x:v>3500</x:v>
      </x:c>
      <x:c r="K895" s="10" t="n">
        <x:v>0</x:v>
      </x:c>
      <x:c r="L895" s="2" t="str">
        <x:v>Completed</x:v>
      </x:c>
      <x:c r="M895" s="12" t="n">
        <x:f>H895*I895</x:f>
        <x:v>26000</x:v>
      </x:c>
      <x:c r="N895" s="12" t="n">
        <x:f>IF(L895="Completed",ROUND(M895*(1-K895),2),0)</x:f>
        <x:v>26000</x:v>
      </x:c>
      <x:c r="O895" s="12" t="n">
        <x:f>IF(L895="Completed",H895*J895,0)</x:f>
        <x:v>14000</x:v>
      </x:c>
      <x:c r="P895" s="12" t="n">
        <x:f>N895-O895</x:f>
        <x:v>12000</x:v>
      </x:c>
    </x:row>
    <x:row r="896" ht="21" customHeight="1">
      <x:c r="A896" s="7" t="n">
        <x:v>891</x:v>
      </x:c>
      <x:c r="B896" s="2" t="str">
        <x:v>TXN-00891</x:v>
      </x:c>
      <x:c r="C896" s="8" t="d">
        <x:v>2025-08-20T00:00:00.000Z</x:v>
      </x:c>
      <x:c r="D896" s="2" t="str">
        <x:v>Lagos</x:v>
      </x:c>
      <x:c r="E896" s="2" t="str">
        <x:v>Fashion</x:v>
      </x:c>
      <x:c r="F896" s="2" t="str">
        <x:v>Sneakers</x:v>
      </x:c>
      <x:c r="G896" s="2" t="str">
        <x:v>Online</x:v>
      </x:c>
      <x:c r="H896" s="7" t="n">
        <x:v>1</x:v>
      </x:c>
      <x:c r="I896" s="9" t="n">
        <x:v>28000</x:v>
      </x:c>
      <x:c r="J896" s="9" t="n">
        <x:v>17500</x:v>
      </x:c>
      <x:c r="K896" s="10" t="n">
        <x:v>0</x:v>
      </x:c>
      <x:c r="L896" s="2" t="str">
        <x:v>Completed</x:v>
      </x:c>
      <x:c r="M896" s="12" t="n">
        <x:f>H896*I896</x:f>
        <x:v>28000</x:v>
      </x:c>
      <x:c r="N896" s="12" t="n">
        <x:f>IF(L896="Completed",ROUND(M896*(1-K896),2),0)</x:f>
        <x:v>28000</x:v>
      </x:c>
      <x:c r="O896" s="12" t="n">
        <x:f>IF(L896="Completed",H896*J896,0)</x:f>
        <x:v>17500</x:v>
      </x:c>
      <x:c r="P896" s="12" t="n">
        <x:f>N896-O896</x:f>
        <x:v>10500</x:v>
      </x:c>
    </x:row>
    <x:row r="897" ht="21" customHeight="1">
      <x:c r="A897" s="7" t="n">
        <x:v>892</x:v>
      </x:c>
      <x:c r="B897" s="2" t="str">
        <x:v>TXN-00892</x:v>
      </x:c>
      <x:c r="C897" s="8" t="d">
        <x:v>2025-08-07T00:00:00.000Z</x:v>
      </x:c>
      <x:c r="D897" s="2" t="str">
        <x:v>Lagos</x:v>
      </x:c>
      <x:c r="E897" s="2" t="str">
        <x:v>Beauty</x:v>
      </x:c>
      <x:c r="F897" s="2" t="str">
        <x:v>Perfume</x:v>
      </x:c>
      <x:c r="G897" s="2" t="str">
        <x:v>In-store</x:v>
      </x:c>
      <x:c r="H897" s="7" t="n">
        <x:v>1</x:v>
      </x:c>
      <x:c r="I897" s="9" t="n">
        <x:v>17000</x:v>
      </x:c>
      <x:c r="J897" s="9" t="n">
        <x:v>9000</x:v>
      </x:c>
      <x:c r="K897" s="10" t="n">
        <x:v>0.1</x:v>
      </x:c>
      <x:c r="L897" s="2" t="str">
        <x:v>Completed</x:v>
      </x:c>
      <x:c r="M897" s="12" t="n">
        <x:f>H897*I897</x:f>
        <x:v>17000</x:v>
      </x:c>
      <x:c r="N897" s="12" t="n">
        <x:f>IF(L897="Completed",ROUND(M897*(1-K897),2),0)</x:f>
        <x:v>15300</x:v>
      </x:c>
      <x:c r="O897" s="12" t="n">
        <x:f>IF(L897="Completed",H897*J897,0)</x:f>
        <x:v>9000</x:v>
      </x:c>
      <x:c r="P897" s="12" t="n">
        <x:f>N897-O897</x:f>
        <x:v>6300</x:v>
      </x:c>
    </x:row>
    <x:row r="898" ht="21" customHeight="1">
      <x:c r="A898" s="7" t="n">
        <x:v>893</x:v>
      </x:c>
      <x:c r="B898" s="2" t="str">
        <x:v>TXN-00893</x:v>
      </x:c>
      <x:c r="C898" s="8" t="d">
        <x:v>2025-08-12T00:00:00.000Z</x:v>
      </x:c>
      <x:c r="D898" s="2" t="str">
        <x:v>Lagos</x:v>
      </x:c>
      <x:c r="E898" s="2" t="str">
        <x:v>Beauty</x:v>
      </x:c>
      <x:c r="F898" s="2" t="str">
        <x:v>Moisturizer</x:v>
      </x:c>
      <x:c r="G898" s="2" t="str">
        <x:v>Online</x:v>
      </x:c>
      <x:c r="H898" s="7" t="n">
        <x:v>1</x:v>
      </x:c>
      <x:c r="I898" s="9" t="n">
        <x:v>6500</x:v>
      </x:c>
      <x:c r="J898" s="9" t="n">
        <x:v>3500</x:v>
      </x:c>
      <x:c r="K898" s="10" t="n">
        <x:v>0</x:v>
      </x:c>
      <x:c r="L898" s="2" t="str">
        <x:v>Completed</x:v>
      </x:c>
      <x:c r="M898" s="12" t="n">
        <x:f>H898*I898</x:f>
        <x:v>6500</x:v>
      </x:c>
      <x:c r="N898" s="12" t="n">
        <x:f>IF(L898="Completed",ROUND(M898*(1-K898),2),0)</x:f>
        <x:v>6500</x:v>
      </x:c>
      <x:c r="O898" s="12" t="n">
        <x:f>IF(L898="Completed",H898*J898,0)</x:f>
        <x:v>3500</x:v>
      </x:c>
      <x:c r="P898" s="12" t="n">
        <x:f>N898-O898</x:f>
        <x:v>3000</x:v>
      </x:c>
    </x:row>
    <x:row r="899" ht="21" customHeight="1">
      <x:c r="A899" s="7" t="n">
        <x:v>894</x:v>
      </x:c>
      <x:c r="B899" s="2" t="str">
        <x:v>TXN-00894</x:v>
      </x:c>
      <x:c r="C899" s="8" t="d">
        <x:v>2025-08-29T00:00:00.000Z</x:v>
      </x:c>
      <x:c r="D899" s="2" t="str">
        <x:v>Lagos</x:v>
      </x:c>
      <x:c r="E899" s="2" t="str">
        <x:v>Beauty</x:v>
      </x:c>
      <x:c r="F899" s="2" t="str">
        <x:v>Body wash</x:v>
      </x:c>
      <x:c r="G899" s="2" t="str">
        <x:v>In-store</x:v>
      </x:c>
      <x:c r="H899" s="7" t="n">
        <x:v>1</x:v>
      </x:c>
      <x:c r="I899" s="9" t="n">
        <x:v>4500</x:v>
      </x:c>
      <x:c r="J899" s="9" t="n">
        <x:v>2300</x:v>
      </x:c>
      <x:c r="K899" s="10" t="n">
        <x:v>0</x:v>
      </x:c>
      <x:c r="L899" s="2" t="str">
        <x:v>Completed</x:v>
      </x:c>
      <x:c r="M899" s="12" t="n">
        <x:f>H899*I899</x:f>
        <x:v>4500</x:v>
      </x:c>
      <x:c r="N899" s="12" t="n">
        <x:f>IF(L899="Completed",ROUND(M899*(1-K899),2),0)</x:f>
        <x:v>4500</x:v>
      </x:c>
      <x:c r="O899" s="12" t="n">
        <x:f>IF(L899="Completed",H899*J899,0)</x:f>
        <x:v>2300</x:v>
      </x:c>
      <x:c r="P899" s="12" t="n">
        <x:f>N899-O899</x:f>
        <x:v>2200</x:v>
      </x:c>
    </x:row>
    <x:row r="900" ht="21" customHeight="1">
      <x:c r="A900" s="7" t="n">
        <x:v>895</x:v>
      </x:c>
      <x:c r="B900" s="2" t="str">
        <x:v>TXN-00895</x:v>
      </x:c>
      <x:c r="C900" s="8" t="d">
        <x:v>2025-08-08T00:00:00.000Z</x:v>
      </x:c>
      <x:c r="D900" s="2" t="str">
        <x:v>Kano</x:v>
      </x:c>
      <x:c r="E900" s="2" t="str">
        <x:v>Electronics</x:v>
      </x:c>
      <x:c r="F900" s="2" t="str">
        <x:v>Bluetooth speaker</x:v>
      </x:c>
      <x:c r="G900" s="2" t="str">
        <x:v>Online</x:v>
      </x:c>
      <x:c r="H900" s="7" t="n">
        <x:v>1</x:v>
      </x:c>
      <x:c r="I900" s="9" t="n">
        <x:v>26000</x:v>
      </x:c>
      <x:c r="J900" s="9" t="n">
        <x:v>17000</x:v>
      </x:c>
      <x:c r="K900" s="10" t="n">
        <x:v>0</x:v>
      </x:c>
      <x:c r="L900" s="2" t="str">
        <x:v>Completed</x:v>
      </x:c>
      <x:c r="M900" s="12" t="n">
        <x:f>H900*I900</x:f>
        <x:v>26000</x:v>
      </x:c>
      <x:c r="N900" s="12" t="n">
        <x:f>IF(L900="Completed",ROUND(M900*(1-K900),2),0)</x:f>
        <x:v>26000</x:v>
      </x:c>
      <x:c r="O900" s="12" t="n">
        <x:f>IF(L900="Completed",H900*J900,0)</x:f>
        <x:v>17000</x:v>
      </x:c>
      <x:c r="P900" s="12" t="n">
        <x:f>N900-O900</x:f>
        <x:v>9000</x:v>
      </x:c>
    </x:row>
    <x:row r="901" ht="21" customHeight="1">
      <x:c r="A901" s="7" t="n">
        <x:v>896</x:v>
      </x:c>
      <x:c r="B901" s="2" t="str">
        <x:v>TXN-00896</x:v>
      </x:c>
      <x:c r="C901" s="8" t="d">
        <x:v>2025-08-12T00:00:00.000Z</x:v>
      </x:c>
      <x:c r="D901" s="2" t="str">
        <x:v>Port Harcourt</x:v>
      </x:c>
      <x:c r="E901" s="2" t="str">
        <x:v>Beauty</x:v>
      </x:c>
      <x:c r="F901" s="2" t="str">
        <x:v>Perfume</x:v>
      </x:c>
      <x:c r="G901" s="2" t="str">
        <x:v>Online</x:v>
      </x:c>
      <x:c r="H901" s="7" t="n">
        <x:v>1</x:v>
      </x:c>
      <x:c r="I901" s="9" t="n">
        <x:v>17000</x:v>
      </x:c>
      <x:c r="J901" s="9" t="n">
        <x:v>9000</x:v>
      </x:c>
      <x:c r="K901" s="10" t="n">
        <x:v>0</x:v>
      </x:c>
      <x:c r="L901" s="2" t="str">
        <x:v>Returned</x:v>
      </x:c>
      <x:c r="M901" s="12" t="n">
        <x:f>H901*I901</x:f>
        <x:v>17000</x:v>
      </x:c>
      <x:c r="N901" s="12" t="n">
        <x:f>IF(L901="Completed",ROUND(M901*(1-K901),2),0)</x:f>
        <x:v>0</x:v>
      </x:c>
      <x:c r="O901" s="12" t="n">
        <x:f>IF(L901="Completed",H901*J901,0)</x:f>
        <x:v>0</x:v>
      </x:c>
      <x:c r="P901" s="12" t="n">
        <x:f>N901-O901</x:f>
        <x:v>0</x:v>
      </x:c>
    </x:row>
    <x:row r="902" ht="21" customHeight="1">
      <x:c r="A902" s="7" t="n">
        <x:v>897</x:v>
      </x:c>
      <x:c r="B902" s="2" t="str">
        <x:v>TXN-00897</x:v>
      </x:c>
      <x:c r="C902" s="8" t="d">
        <x:v>2025-08-16T00:00:00.000Z</x:v>
      </x:c>
      <x:c r="D902" s="2" t="str">
        <x:v>Port Harcourt</x:v>
      </x:c>
      <x:c r="E902" s="2" t="str">
        <x:v>Beauty</x:v>
      </x:c>
      <x:c r="F902" s="2" t="str">
        <x:v>Moisturizer</x:v>
      </x:c>
      <x:c r="G902" s="2" t="str">
        <x:v>Online</x:v>
      </x:c>
      <x:c r="H902" s="7" t="n">
        <x:v>1</x:v>
      </x:c>
      <x:c r="I902" s="9" t="n">
        <x:v>6500</x:v>
      </x:c>
      <x:c r="J902" s="9" t="n">
        <x:v>3500</x:v>
      </x:c>
      <x:c r="K902" s="10" t="n">
        <x:v>0</x:v>
      </x:c>
      <x:c r="L902" s="2" t="str">
        <x:v>Completed</x:v>
      </x:c>
      <x:c r="M902" s="12" t="n">
        <x:f>H902*I902</x:f>
        <x:v>6500</x:v>
      </x:c>
      <x:c r="N902" s="12" t="n">
        <x:f>IF(L902="Completed",ROUND(M902*(1-K902),2),0)</x:f>
        <x:v>6500</x:v>
      </x:c>
      <x:c r="O902" s="12" t="n">
        <x:f>IF(L902="Completed",H902*J902,0)</x:f>
        <x:v>3500</x:v>
      </x:c>
      <x:c r="P902" s="12" t="n">
        <x:f>N902-O902</x:f>
        <x:v>3000</x:v>
      </x:c>
    </x:row>
    <x:row r="903" ht="21" customHeight="1">
      <x:c r="A903" s="7" t="n">
        <x:v>898</x:v>
      </x:c>
      <x:c r="B903" s="2" t="str">
        <x:v>TXN-00898</x:v>
      </x:c>
      <x:c r="C903" s="8" t="d">
        <x:v>2025-08-05T00:00:00.000Z</x:v>
      </x:c>
      <x:c r="D903" s="2" t="str">
        <x:v>Lagos</x:v>
      </x:c>
      <x:c r="E903" s="2" t="str">
        <x:v>Home</x:v>
      </x:c>
      <x:c r="F903" s="2" t="str">
        <x:v>Bedsheet</x:v>
      </x:c>
      <x:c r="G903" s="2" t="str">
        <x:v>Online</x:v>
      </x:c>
      <x:c r="H903" s="7" t="n">
        <x:v>2</x:v>
      </x:c>
      <x:c r="I903" s="9" t="n">
        <x:v>14000</x:v>
      </x:c>
      <x:c r="J903" s="9" t="n">
        <x:v>8500</x:v>
      </x:c>
      <x:c r="K903" s="10" t="n">
        <x:v>0</x:v>
      </x:c>
      <x:c r="L903" s="2" t="str">
        <x:v>Completed</x:v>
      </x:c>
      <x:c r="M903" s="12" t="n">
        <x:f>H903*I903</x:f>
        <x:v>28000</x:v>
      </x:c>
      <x:c r="N903" s="12" t="n">
        <x:f>IF(L903="Completed",ROUND(M903*(1-K903),2),0)</x:f>
        <x:v>28000</x:v>
      </x:c>
      <x:c r="O903" s="12" t="n">
        <x:f>IF(L903="Completed",H903*J903,0)</x:f>
        <x:v>17000</x:v>
      </x:c>
      <x:c r="P903" s="12" t="n">
        <x:f>N903-O903</x:f>
        <x:v>11000</x:v>
      </x:c>
    </x:row>
    <x:row r="904" ht="21" customHeight="1">
      <x:c r="A904" s="7" t="n">
        <x:v>899</x:v>
      </x:c>
      <x:c r="B904" s="2" t="str">
        <x:v>TXN-00899</x:v>
      </x:c>
      <x:c r="C904" s="8" t="d">
        <x:v>2025-08-11T00:00:00.000Z</x:v>
      </x:c>
      <x:c r="D904" s="2" t="str">
        <x:v>Kano</x:v>
      </x:c>
      <x:c r="E904" s="2" t="str">
        <x:v>Electronics</x:v>
      </x:c>
      <x:c r="F904" s="2" t="str">
        <x:v>Bluetooth speaker</x:v>
      </x:c>
      <x:c r="G904" s="2" t="str">
        <x:v>In-store</x:v>
      </x:c>
      <x:c r="H904" s="7" t="n">
        <x:v>1</x:v>
      </x:c>
      <x:c r="I904" s="9" t="n">
        <x:v>26000</x:v>
      </x:c>
      <x:c r="J904" s="9" t="n">
        <x:v>17000</x:v>
      </x:c>
      <x:c r="K904" s="10" t="n">
        <x:v>0</x:v>
      </x:c>
      <x:c r="L904" s="2" t="str">
        <x:v>Completed</x:v>
      </x:c>
      <x:c r="M904" s="12" t="n">
        <x:f>H904*I904</x:f>
        <x:v>26000</x:v>
      </x:c>
      <x:c r="N904" s="12" t="n">
        <x:f>IF(L904="Completed",ROUND(M904*(1-K904),2),0)</x:f>
        <x:v>26000</x:v>
      </x:c>
      <x:c r="O904" s="12" t="n">
        <x:f>IF(L904="Completed",H904*J904,0)</x:f>
        <x:v>17000</x:v>
      </x:c>
      <x:c r="P904" s="12" t="n">
        <x:f>N904-O904</x:f>
        <x:v>9000</x:v>
      </x:c>
    </x:row>
    <x:row r="905" ht="21" customHeight="1">
      <x:c r="A905" s="7" t="n">
        <x:v>900</x:v>
      </x:c>
      <x:c r="B905" s="2" t="str">
        <x:v>TXN-00900</x:v>
      </x:c>
      <x:c r="C905" s="8" t="d">
        <x:v>2025-08-02T00:00:00.000Z</x:v>
      </x:c>
      <x:c r="D905" s="2" t="str">
        <x:v>Port Harcourt</x:v>
      </x:c>
      <x:c r="E905" s="2" t="str">
        <x:v>Electronics</x:v>
      </x:c>
      <x:c r="F905" s="2" t="str">
        <x:v>Power bank</x:v>
      </x:c>
      <x:c r="G905" s="2" t="str">
        <x:v>Online</x:v>
      </x:c>
      <x:c r="H905" s="7" t="n">
        <x:v>2</x:v>
      </x:c>
      <x:c r="I905" s="9" t="n">
        <x:v>15000</x:v>
      </x:c>
      <x:c r="J905" s="9" t="n">
        <x:v>9500</x:v>
      </x:c>
      <x:c r="K905" s="10" t="n">
        <x:v>0.05</x:v>
      </x:c>
      <x:c r="L905" s="2" t="str">
        <x:v>Completed</x:v>
      </x:c>
      <x:c r="M905" s="12" t="n">
        <x:f>H905*I905</x:f>
        <x:v>30000</x:v>
      </x:c>
      <x:c r="N905" s="12" t="n">
        <x:f>IF(L905="Completed",ROUND(M905*(1-K905),2),0)</x:f>
        <x:v>28500</x:v>
      </x:c>
      <x:c r="O905" s="12" t="n">
        <x:f>IF(L905="Completed",H905*J905,0)</x:f>
        <x:v>19000</x:v>
      </x:c>
      <x:c r="P905" s="12" t="n">
        <x:f>N905-O905</x:f>
        <x:v>9500</x:v>
      </x:c>
    </x:row>
    <x:row r="906" ht="21" customHeight="1">
      <x:c r="A906" s="7" t="n">
        <x:v>901</x:v>
      </x:c>
      <x:c r="B906" s="2" t="str">
        <x:v>TXN-00901</x:v>
      </x:c>
      <x:c r="C906" s="8" t="d">
        <x:v>2025-08-24T00:00:00.000Z</x:v>
      </x:c>
      <x:c r="D906" s="2" t="str">
        <x:v>Port Harcourt</x:v>
      </x:c>
      <x:c r="E906" s="2" t="str">
        <x:v>Electronics</x:v>
      </x:c>
      <x:c r="F906" s="2" t="str">
        <x:v>Power bank</x:v>
      </x:c>
      <x:c r="G906" s="2" t="str">
        <x:v>Online</x:v>
      </x:c>
      <x:c r="H906" s="7" t="n">
        <x:v>1</x:v>
      </x:c>
      <x:c r="I906" s="9" t="n">
        <x:v>15000</x:v>
      </x:c>
      <x:c r="J906" s="9" t="n">
        <x:v>9500</x:v>
      </x:c>
      <x:c r="K906" s="10" t="n">
        <x:v>0.05</x:v>
      </x:c>
      <x:c r="L906" s="2" t="str">
        <x:v>Completed</x:v>
      </x:c>
      <x:c r="M906" s="12" t="n">
        <x:f>H906*I906</x:f>
        <x:v>15000</x:v>
      </x:c>
      <x:c r="N906" s="12" t="n">
        <x:f>IF(L906="Completed",ROUND(M906*(1-K906),2),0)</x:f>
        <x:v>14250</x:v>
      </x:c>
      <x:c r="O906" s="12" t="n">
        <x:f>IF(L906="Completed",H906*J906,0)</x:f>
        <x:v>9500</x:v>
      </x:c>
      <x:c r="P906" s="12" t="n">
        <x:f>N906-O906</x:f>
        <x:v>4750</x:v>
      </x:c>
    </x:row>
    <x:row r="907" ht="21" customHeight="1">
      <x:c r="A907" s="7" t="n">
        <x:v>902</x:v>
      </x:c>
      <x:c r="B907" s="2" t="str">
        <x:v>TXN-00902</x:v>
      </x:c>
      <x:c r="C907" s="8" t="d">
        <x:v>2025-08-18T00:00:00.000Z</x:v>
      </x:c>
      <x:c r="D907" s="2" t="str">
        <x:v>Port Harcourt</x:v>
      </x:c>
      <x:c r="E907" s="2" t="str">
        <x:v>Beauty</x:v>
      </x:c>
      <x:c r="F907" s="2" t="str">
        <x:v>Body wash</x:v>
      </x:c>
      <x:c r="G907" s="2" t="str">
        <x:v>Online</x:v>
      </x:c>
      <x:c r="H907" s="7" t="n">
        <x:v>1</x:v>
      </x:c>
      <x:c r="I907" s="9" t="n">
        <x:v>4500</x:v>
      </x:c>
      <x:c r="J907" s="9" t="n">
        <x:v>2300</x:v>
      </x:c>
      <x:c r="K907" s="10" t="n">
        <x:v>0.1</x:v>
      </x:c>
      <x:c r="L907" s="2" t="str">
        <x:v>Completed</x:v>
      </x:c>
      <x:c r="M907" s="12" t="n">
        <x:f>H907*I907</x:f>
        <x:v>4500</x:v>
      </x:c>
      <x:c r="N907" s="12" t="n">
        <x:f>IF(L907="Completed",ROUND(M907*(1-K907),2),0)</x:f>
        <x:v>4050</x:v>
      </x:c>
      <x:c r="O907" s="12" t="n">
        <x:f>IF(L907="Completed",H907*J907,0)</x:f>
        <x:v>2300</x:v>
      </x:c>
      <x:c r="P907" s="12" t="n">
        <x:f>N907-O907</x:f>
        <x:v>1750</x:v>
      </x:c>
    </x:row>
    <x:row r="908" ht="21" customHeight="1">
      <x:c r="A908" s="7" t="n">
        <x:v>903</x:v>
      </x:c>
      <x:c r="B908" s="2" t="str">
        <x:v>TXN-00903</x:v>
      </x:c>
      <x:c r="C908" s="8" t="d">
        <x:v>2025-08-10T00:00:00.000Z</x:v>
      </x:c>
      <x:c r="D908" s="2" t="str">
        <x:v>Port Harcourt</x:v>
      </x:c>
      <x:c r="E908" s="2" t="str">
        <x:v>Fashion</x:v>
      </x:c>
      <x:c r="F908" s="2" t="str">
        <x:v>Sneakers</x:v>
      </x:c>
      <x:c r="G908" s="2" t="str">
        <x:v>Online</x:v>
      </x:c>
      <x:c r="H908" s="7" t="n">
        <x:v>2</x:v>
      </x:c>
      <x:c r="I908" s="9" t="n">
        <x:v>28000</x:v>
      </x:c>
      <x:c r="J908" s="9" t="n">
        <x:v>17500</x:v>
      </x:c>
      <x:c r="K908" s="10" t="n">
        <x:v>0</x:v>
      </x:c>
      <x:c r="L908" s="2" t="str">
        <x:v>Returned</x:v>
      </x:c>
      <x:c r="M908" s="12" t="n">
        <x:f>H908*I908</x:f>
        <x:v>56000</x:v>
      </x:c>
      <x:c r="N908" s="12" t="n">
        <x:f>IF(L908="Completed",ROUND(M908*(1-K908),2),0)</x:f>
        <x:v>0</x:v>
      </x:c>
      <x:c r="O908" s="12" t="n">
        <x:f>IF(L908="Completed",H908*J908,0)</x:f>
        <x:v>0</x:v>
      </x:c>
      <x:c r="P908" s="12" t="n">
        <x:f>N908-O908</x:f>
        <x:v>0</x:v>
      </x:c>
    </x:row>
    <x:row r="909" ht="21" customHeight="1">
      <x:c r="A909" s="7" t="n">
        <x:v>904</x:v>
      </x:c>
      <x:c r="B909" s="2" t="str">
        <x:v>TXN-00904</x:v>
      </x:c>
      <x:c r="C909" s="8" t="d">
        <x:v>2025-08-31T00:00:00.000Z</x:v>
      </x:c>
      <x:c r="D909" s="2" t="str">
        <x:v>Lagos</x:v>
      </x:c>
      <x:c r="E909" s="2" t="str">
        <x:v>Electronics</x:v>
      </x:c>
      <x:c r="F909" s="2" t="str">
        <x:v>Power bank</x:v>
      </x:c>
      <x:c r="G909" s="2" t="str">
        <x:v>Online</x:v>
      </x:c>
      <x:c r="H909" s="7" t="n">
        <x:v>1</x:v>
      </x:c>
      <x:c r="I909" s="9" t="n">
        <x:v>15000</x:v>
      </x:c>
      <x:c r="J909" s="9" t="n">
        <x:v>9500</x:v>
      </x:c>
      <x:c r="K909" s="10" t="n">
        <x:v>0</x:v>
      </x:c>
      <x:c r="L909" s="2" t="str">
        <x:v>Completed</x:v>
      </x:c>
      <x:c r="M909" s="12" t="n">
        <x:f>H909*I909</x:f>
        <x:v>15000</x:v>
      </x:c>
      <x:c r="N909" s="12" t="n">
        <x:f>IF(L909="Completed",ROUND(M909*(1-K909),2),0)</x:f>
        <x:v>15000</x:v>
      </x:c>
      <x:c r="O909" s="12" t="n">
        <x:f>IF(L909="Completed",H909*J909,0)</x:f>
        <x:v>9500</x:v>
      </x:c>
      <x:c r="P909" s="12" t="n">
        <x:f>N909-O909</x:f>
        <x:v>5500</x:v>
      </x:c>
    </x:row>
    <x:row r="910" ht="21" customHeight="1">
      <x:c r="A910" s="7" t="n">
        <x:v>905</x:v>
      </x:c>
      <x:c r="B910" s="2" t="str">
        <x:v>TXN-00905</x:v>
      </x:c>
      <x:c r="C910" s="8" t="d">
        <x:v>2025-08-12T00:00:00.000Z</x:v>
      </x:c>
      <x:c r="D910" s="2" t="str">
        <x:v>Lagos</x:v>
      </x:c>
      <x:c r="E910" s="2" t="str">
        <x:v>Home</x:v>
      </x:c>
      <x:c r="F910" s="2" t="str">
        <x:v>Desk lamp</x:v>
      </x:c>
      <x:c r="G910" s="2" t="str">
        <x:v>In-store</x:v>
      </x:c>
      <x:c r="H910" s="7" t="n">
        <x:v>1</x:v>
      </x:c>
      <x:c r="I910" s="9" t="n">
        <x:v>12000</x:v>
      </x:c>
      <x:c r="J910" s="9" t="n">
        <x:v>7200</x:v>
      </x:c>
      <x:c r="K910" s="10" t="n">
        <x:v>0.15</x:v>
      </x:c>
      <x:c r="L910" s="2" t="str">
        <x:v>Completed</x:v>
      </x:c>
      <x:c r="M910" s="12" t="n">
        <x:f>H910*I910</x:f>
        <x:v>12000</x:v>
      </x:c>
      <x:c r="N910" s="12" t="n">
        <x:f>IF(L910="Completed",ROUND(M910*(1-K910),2),0)</x:f>
        <x:v>10200</x:v>
      </x:c>
      <x:c r="O910" s="12" t="n">
        <x:f>IF(L910="Completed",H910*J910,0)</x:f>
        <x:v>7200</x:v>
      </x:c>
      <x:c r="P910" s="12" t="n">
        <x:f>N910-O910</x:f>
        <x:v>3000</x:v>
      </x:c>
    </x:row>
    <x:row r="911" ht="21" customHeight="1">
      <x:c r="A911" s="7" t="n">
        <x:v>906</x:v>
      </x:c>
      <x:c r="B911" s="2" t="str">
        <x:v>TXN-00906</x:v>
      </x:c>
      <x:c r="C911" s="8" t="d">
        <x:v>2025-08-05T00:00:00.000Z</x:v>
      </x:c>
      <x:c r="D911" s="2" t="str">
        <x:v>Lagos</x:v>
      </x:c>
      <x:c r="E911" s="2" t="str">
        <x:v>Beauty</x:v>
      </x:c>
      <x:c r="F911" s="2" t="str">
        <x:v>Perfume</x:v>
      </x:c>
      <x:c r="G911" s="2" t="str">
        <x:v>In-store</x:v>
      </x:c>
      <x:c r="H911" s="7" t="n">
        <x:v>1</x:v>
      </x:c>
      <x:c r="I911" s="9" t="n">
        <x:v>17000</x:v>
      </x:c>
      <x:c r="J911" s="9" t="n">
        <x:v>9000</x:v>
      </x:c>
      <x:c r="K911" s="10" t="n">
        <x:v>0.05</x:v>
      </x:c>
      <x:c r="L911" s="2" t="str">
        <x:v>Completed</x:v>
      </x:c>
      <x:c r="M911" s="12" t="n">
        <x:f>H911*I911</x:f>
        <x:v>17000</x:v>
      </x:c>
      <x:c r="N911" s="12" t="n">
        <x:f>IF(L911="Completed",ROUND(M911*(1-K911),2),0)</x:f>
        <x:v>16150</x:v>
      </x:c>
      <x:c r="O911" s="12" t="n">
        <x:f>IF(L911="Completed",H911*J911,0)</x:f>
        <x:v>9000</x:v>
      </x:c>
      <x:c r="P911" s="12" t="n">
        <x:f>N911-O911</x:f>
        <x:v>7150</x:v>
      </x:c>
    </x:row>
    <x:row r="912" ht="21" customHeight="1">
      <x:c r="A912" s="7" t="n">
        <x:v>907</x:v>
      </x:c>
      <x:c r="B912" s="2" t="str">
        <x:v>TXN-00907</x:v>
      </x:c>
      <x:c r="C912" s="8" t="d">
        <x:v>2025-08-13T00:00:00.000Z</x:v>
      </x:c>
      <x:c r="D912" s="2" t="str">
        <x:v>Abuja</x:v>
      </x:c>
      <x:c r="E912" s="2" t="str">
        <x:v>Electronics</x:v>
      </x:c>
      <x:c r="F912" s="2" t="str">
        <x:v>Power bank</x:v>
      </x:c>
      <x:c r="G912" s="2" t="str">
        <x:v>In-store</x:v>
      </x:c>
      <x:c r="H912" s="7" t="n">
        <x:v>1</x:v>
      </x:c>
      <x:c r="I912" s="9" t="n">
        <x:v>15000</x:v>
      </x:c>
      <x:c r="J912" s="9" t="n">
        <x:v>9500</x:v>
      </x:c>
      <x:c r="K912" s="10" t="n">
        <x:v>0</x:v>
      </x:c>
      <x:c r="L912" s="2" t="str">
        <x:v>Completed</x:v>
      </x:c>
      <x:c r="M912" s="12" t="n">
        <x:f>H912*I912</x:f>
        <x:v>15000</x:v>
      </x:c>
      <x:c r="N912" s="12" t="n">
        <x:f>IF(L912="Completed",ROUND(M912*(1-K912),2),0)</x:f>
        <x:v>15000</x:v>
      </x:c>
      <x:c r="O912" s="12" t="n">
        <x:f>IF(L912="Completed",H912*J912,0)</x:f>
        <x:v>9500</x:v>
      </x:c>
      <x:c r="P912" s="12" t="n">
        <x:f>N912-O912</x:f>
        <x:v>5500</x:v>
      </x:c>
    </x:row>
    <x:row r="913" ht="21" customHeight="1">
      <x:c r="A913" s="7" t="n">
        <x:v>908</x:v>
      </x:c>
      <x:c r="B913" s="2" t="str">
        <x:v>TXN-00908</x:v>
      </x:c>
      <x:c r="C913" s="8" t="d">
        <x:v>2025-08-10T00:00:00.000Z</x:v>
      </x:c>
      <x:c r="D913" s="2" t="str">
        <x:v>Lagos</x:v>
      </x:c>
      <x:c r="E913" s="2" t="str">
        <x:v>Beauty</x:v>
      </x:c>
      <x:c r="F913" s="2" t="str">
        <x:v>Perfume</x:v>
      </x:c>
      <x:c r="G913" s="2" t="str">
        <x:v>In-store</x:v>
      </x:c>
      <x:c r="H913" s="7" t="n">
        <x:v>1</x:v>
      </x:c>
      <x:c r="I913" s="9" t="n">
        <x:v>17000</x:v>
      </x:c>
      <x:c r="J913" s="9" t="n">
        <x:v>9000</x:v>
      </x:c>
      <x:c r="K913" s="10" t="n">
        <x:v>0</x:v>
      </x:c>
      <x:c r="L913" s="2" t="str">
        <x:v>Completed</x:v>
      </x:c>
      <x:c r="M913" s="12" t="n">
        <x:f>H913*I913</x:f>
        <x:v>17000</x:v>
      </x:c>
      <x:c r="N913" s="12" t="n">
        <x:f>IF(L913="Completed",ROUND(M913*(1-K913),2),0)</x:f>
        <x:v>17000</x:v>
      </x:c>
      <x:c r="O913" s="12" t="n">
        <x:f>IF(L913="Completed",H913*J913,0)</x:f>
        <x:v>9000</x:v>
      </x:c>
      <x:c r="P913" s="12" t="n">
        <x:f>N913-O913</x:f>
        <x:v>8000</x:v>
      </x:c>
    </x:row>
    <x:row r="914" ht="21" customHeight="1">
      <x:c r="A914" s="7" t="n">
        <x:v>909</x:v>
      </x:c>
      <x:c r="B914" s="2" t="str">
        <x:v>TXN-00909</x:v>
      </x:c>
      <x:c r="C914" s="8" t="d">
        <x:v>2025-08-15T00:00:00.000Z</x:v>
      </x:c>
      <x:c r="D914" s="2" t="str">
        <x:v>Port Harcourt</x:v>
      </x:c>
      <x:c r="E914" s="2" t="str">
        <x:v>Fashion</x:v>
      </x:c>
      <x:c r="F914" s="2" t="str">
        <x:v>T-shirt</x:v>
      </x:c>
      <x:c r="G914" s="2" t="str">
        <x:v>Online</x:v>
      </x:c>
      <x:c r="H914" s="7" t="n">
        <x:v>1</x:v>
      </x:c>
      <x:c r="I914" s="9" t="n">
        <x:v>9000</x:v>
      </x:c>
      <x:c r="J914" s="9" t="n">
        <x:v>5000</x:v>
      </x:c>
      <x:c r="K914" s="10" t="n">
        <x:v>0</x:v>
      </x:c>
      <x:c r="L914" s="2" t="str">
        <x:v>Completed</x:v>
      </x:c>
      <x:c r="M914" s="12" t="n">
        <x:f>H914*I914</x:f>
        <x:v>9000</x:v>
      </x:c>
      <x:c r="N914" s="12" t="n">
        <x:f>IF(L914="Completed",ROUND(M914*(1-K914),2),0)</x:f>
        <x:v>9000</x:v>
      </x:c>
      <x:c r="O914" s="12" t="n">
        <x:f>IF(L914="Completed",H914*J914,0)</x:f>
        <x:v>5000</x:v>
      </x:c>
      <x:c r="P914" s="12" t="n">
        <x:f>N914-O914</x:f>
        <x:v>4000</x:v>
      </x:c>
    </x:row>
    <x:row r="915" ht="21" customHeight="1">
      <x:c r="A915" s="7" t="n">
        <x:v>910</x:v>
      </x:c>
      <x:c r="B915" s="2" t="str">
        <x:v>TXN-00910</x:v>
      </x:c>
      <x:c r="C915" s="8" t="d">
        <x:v>2025-09-14T00:00:00.000Z</x:v>
      </x:c>
      <x:c r="D915" s="2" t="str">
        <x:v>Lagos</x:v>
      </x:c>
      <x:c r="E915" s="2" t="str">
        <x:v>Electronics</x:v>
      </x:c>
      <x:c r="F915" s="2" t="str">
        <x:v>Headphones</x:v>
      </x:c>
      <x:c r="G915" s="2" t="str">
        <x:v>Online</x:v>
      </x:c>
      <x:c r="H915" s="7" t="n">
        <x:v>3</x:v>
      </x:c>
      <x:c r="I915" s="9" t="n">
        <x:v>18000</x:v>
      </x:c>
      <x:c r="J915" s="9" t="n">
        <x:v>10500</x:v>
      </x:c>
      <x:c r="K915" s="10" t="n">
        <x:v>0.05</x:v>
      </x:c>
      <x:c r="L915" s="2" t="str">
        <x:v>Completed</x:v>
      </x:c>
      <x:c r="M915" s="12" t="n">
        <x:f>H915*I915</x:f>
        <x:v>54000</x:v>
      </x:c>
      <x:c r="N915" s="12" t="n">
        <x:f>IF(L915="Completed",ROUND(M915*(1-K915),2),0)</x:f>
        <x:v>51300</x:v>
      </x:c>
      <x:c r="O915" s="12" t="n">
        <x:f>IF(L915="Completed",H915*J915,0)</x:f>
        <x:v>31500</x:v>
      </x:c>
      <x:c r="P915" s="12" t="n">
        <x:f>N915-O915</x:f>
        <x:v>19800</x:v>
      </x:c>
    </x:row>
    <x:row r="916" ht="21" customHeight="1">
      <x:c r="A916" s="7" t="n">
        <x:v>911</x:v>
      </x:c>
      <x:c r="B916" s="2" t="str">
        <x:v>TXN-00911</x:v>
      </x:c>
      <x:c r="C916" s="8" t="d">
        <x:v>2025-09-02T00:00:00.000Z</x:v>
      </x:c>
      <x:c r="D916" s="2" t="str">
        <x:v>Port Harcourt</x:v>
      </x:c>
      <x:c r="E916" s="2" t="str">
        <x:v>Home</x:v>
      </x:c>
      <x:c r="F916" s="2" t="str">
        <x:v>Desk lamp</x:v>
      </x:c>
      <x:c r="G916" s="2" t="str">
        <x:v>In-store</x:v>
      </x:c>
      <x:c r="H916" s="7" t="n">
        <x:v>1</x:v>
      </x:c>
      <x:c r="I916" s="9" t="n">
        <x:v>12000</x:v>
      </x:c>
      <x:c r="J916" s="9" t="n">
        <x:v>7200</x:v>
      </x:c>
      <x:c r="K916" s="10" t="n">
        <x:v>0</x:v>
      </x:c>
      <x:c r="L916" s="2" t="str">
        <x:v>Completed</x:v>
      </x:c>
      <x:c r="M916" s="12" t="n">
        <x:f>H916*I916</x:f>
        <x:v>12000</x:v>
      </x:c>
      <x:c r="N916" s="12" t="n">
        <x:f>IF(L916="Completed",ROUND(M916*(1-K916),2),0)</x:f>
        <x:v>12000</x:v>
      </x:c>
      <x:c r="O916" s="12" t="n">
        <x:f>IF(L916="Completed",H916*J916,0)</x:f>
        <x:v>7200</x:v>
      </x:c>
      <x:c r="P916" s="12" t="n">
        <x:f>N916-O916</x:f>
        <x:v>4800</x:v>
      </x:c>
    </x:row>
    <x:row r="917" ht="21" customHeight="1">
      <x:c r="A917" s="7" t="n">
        <x:v>912</x:v>
      </x:c>
      <x:c r="B917" s="2" t="str">
        <x:v>TXN-00912</x:v>
      </x:c>
      <x:c r="C917" s="8" t="d">
        <x:v>2025-09-09T00:00:00.000Z</x:v>
      </x:c>
      <x:c r="D917" s="2" t="str">
        <x:v>Lagos</x:v>
      </x:c>
      <x:c r="E917" s="2" t="str">
        <x:v>Beauty</x:v>
      </x:c>
      <x:c r="F917" s="2" t="str">
        <x:v>Moisturizer</x:v>
      </x:c>
      <x:c r="G917" s="2" t="str">
        <x:v>In-store</x:v>
      </x:c>
      <x:c r="H917" s="7" t="n">
        <x:v>1</x:v>
      </x:c>
      <x:c r="I917" s="9" t="n">
        <x:v>6500</x:v>
      </x:c>
      <x:c r="J917" s="9" t="n">
        <x:v>3500</x:v>
      </x:c>
      <x:c r="K917" s="10" t="n">
        <x:v>0.05</x:v>
      </x:c>
      <x:c r="L917" s="2" t="str">
        <x:v>Completed</x:v>
      </x:c>
      <x:c r="M917" s="12" t="n">
        <x:f>H917*I917</x:f>
        <x:v>6500</x:v>
      </x:c>
      <x:c r="N917" s="12" t="n">
        <x:f>IF(L917="Completed",ROUND(M917*(1-K917),2),0)</x:f>
        <x:v>6175</x:v>
      </x:c>
      <x:c r="O917" s="12" t="n">
        <x:f>IF(L917="Completed",H917*J917,0)</x:f>
        <x:v>3500</x:v>
      </x:c>
      <x:c r="P917" s="12" t="n">
        <x:f>N917-O917</x:f>
        <x:v>2675</x:v>
      </x:c>
    </x:row>
    <x:row r="918" ht="21" customHeight="1">
      <x:c r="A918" s="7" t="n">
        <x:v>913</x:v>
      </x:c>
      <x:c r="B918" s="2" t="str">
        <x:v>TXN-00913</x:v>
      </x:c>
      <x:c r="C918" s="8" t="d">
        <x:v>2025-09-13T00:00:00.000Z</x:v>
      </x:c>
      <x:c r="D918" s="2" t="str">
        <x:v>Kano</x:v>
      </x:c>
      <x:c r="E918" s="2" t="str">
        <x:v>Electronics</x:v>
      </x:c>
      <x:c r="F918" s="2" t="str">
        <x:v>Bluetooth speaker</x:v>
      </x:c>
      <x:c r="G918" s="2" t="str">
        <x:v>In-store</x:v>
      </x:c>
      <x:c r="H918" s="7" t="n">
        <x:v>2</x:v>
      </x:c>
      <x:c r="I918" s="9" t="n">
        <x:v>26000</x:v>
      </x:c>
      <x:c r="J918" s="9" t="n">
        <x:v>17000</x:v>
      </x:c>
      <x:c r="K918" s="10" t="n">
        <x:v>0.05</x:v>
      </x:c>
      <x:c r="L918" s="2" t="str">
        <x:v>Completed</x:v>
      </x:c>
      <x:c r="M918" s="12" t="n">
        <x:f>H918*I918</x:f>
        <x:v>52000</x:v>
      </x:c>
      <x:c r="N918" s="12" t="n">
        <x:f>IF(L918="Completed",ROUND(M918*(1-K918),2),0)</x:f>
        <x:v>49400</x:v>
      </x:c>
      <x:c r="O918" s="12" t="n">
        <x:f>IF(L918="Completed",H918*J918,0)</x:f>
        <x:v>34000</x:v>
      </x:c>
      <x:c r="P918" s="12" t="n">
        <x:f>N918-O918</x:f>
        <x:v>15400</x:v>
      </x:c>
    </x:row>
    <x:row r="919" ht="21" customHeight="1">
      <x:c r="A919" s="7" t="n">
        <x:v>914</x:v>
      </x:c>
      <x:c r="B919" s="2" t="str">
        <x:v>TXN-00914</x:v>
      </x:c>
      <x:c r="C919" s="8" t="d">
        <x:v>2025-09-26T00:00:00.000Z</x:v>
      </x:c>
      <x:c r="D919" s="2" t="str">
        <x:v>Lagos</x:v>
      </x:c>
      <x:c r="E919" s="2" t="str">
        <x:v>Electronics</x:v>
      </x:c>
      <x:c r="F919" s="2" t="str">
        <x:v>Bluetooth speaker</x:v>
      </x:c>
      <x:c r="G919" s="2" t="str">
        <x:v>In-store</x:v>
      </x:c>
      <x:c r="H919" s="7" t="n">
        <x:v>1</x:v>
      </x:c>
      <x:c r="I919" s="9" t="n">
        <x:v>26000</x:v>
      </x:c>
      <x:c r="J919" s="9" t="n">
        <x:v>17000</x:v>
      </x:c>
      <x:c r="K919" s="10" t="n">
        <x:v>0</x:v>
      </x:c>
      <x:c r="L919" s="2" t="str">
        <x:v>Completed</x:v>
      </x:c>
      <x:c r="M919" s="12" t="n">
        <x:f>H919*I919</x:f>
        <x:v>26000</x:v>
      </x:c>
      <x:c r="N919" s="12" t="n">
        <x:f>IF(L919="Completed",ROUND(M919*(1-K919),2),0)</x:f>
        <x:v>26000</x:v>
      </x:c>
      <x:c r="O919" s="12" t="n">
        <x:f>IF(L919="Completed",H919*J919,0)</x:f>
        <x:v>17000</x:v>
      </x:c>
      <x:c r="P919" s="12" t="n">
        <x:f>N919-O919</x:f>
        <x:v>9000</x:v>
      </x:c>
    </x:row>
    <x:row r="920" ht="21" customHeight="1">
      <x:c r="A920" s="7" t="n">
        <x:v>915</x:v>
      </x:c>
      <x:c r="B920" s="2" t="str">
        <x:v>TXN-00915</x:v>
      </x:c>
      <x:c r="C920" s="8" t="d">
        <x:v>2025-09-20T00:00:00.000Z</x:v>
      </x:c>
      <x:c r="D920" s="2" t="str">
        <x:v>Abuja</x:v>
      </x:c>
      <x:c r="E920" s="2" t="str">
        <x:v>Fashion</x:v>
      </x:c>
      <x:c r="F920" s="2" t="str">
        <x:v>Sneakers</x:v>
      </x:c>
      <x:c r="G920" s="2" t="str">
        <x:v>Online</x:v>
      </x:c>
      <x:c r="H920" s="7" t="n">
        <x:v>2</x:v>
      </x:c>
      <x:c r="I920" s="9" t="n">
        <x:v>28000</x:v>
      </x:c>
      <x:c r="J920" s="9" t="n">
        <x:v>17500</x:v>
      </x:c>
      <x:c r="K920" s="10" t="n">
        <x:v>0.1</x:v>
      </x:c>
      <x:c r="L920" s="2" t="str">
        <x:v>Completed</x:v>
      </x:c>
      <x:c r="M920" s="12" t="n">
        <x:f>H920*I920</x:f>
        <x:v>56000</x:v>
      </x:c>
      <x:c r="N920" s="12" t="n">
        <x:f>IF(L920="Completed",ROUND(M920*(1-K920),2),0)</x:f>
        <x:v>50400</x:v>
      </x:c>
      <x:c r="O920" s="12" t="n">
        <x:f>IF(L920="Completed",H920*J920,0)</x:f>
        <x:v>35000</x:v>
      </x:c>
      <x:c r="P920" s="12" t="n">
        <x:f>N920-O920</x:f>
        <x:v>15400</x:v>
      </x:c>
    </x:row>
    <x:row r="921" ht="21" customHeight="1">
      <x:c r="A921" s="7" t="n">
        <x:v>916</x:v>
      </x:c>
      <x:c r="B921" s="2" t="str">
        <x:v>TXN-00916</x:v>
      </x:c>
      <x:c r="C921" s="8" t="d">
        <x:v>2025-09-02T00:00:00.000Z</x:v>
      </x:c>
      <x:c r="D921" s="2" t="str">
        <x:v>Abuja</x:v>
      </x:c>
      <x:c r="E921" s="2" t="str">
        <x:v>Fashion</x:v>
      </x:c>
      <x:c r="F921" s="2" t="str">
        <x:v>Sneakers</x:v>
      </x:c>
      <x:c r="G921" s="2" t="str">
        <x:v>Online</x:v>
      </x:c>
      <x:c r="H921" s="7" t="n">
        <x:v>1</x:v>
      </x:c>
      <x:c r="I921" s="9" t="n">
        <x:v>28000</x:v>
      </x:c>
      <x:c r="J921" s="9" t="n">
        <x:v>17500</x:v>
      </x:c>
      <x:c r="K921" s="10" t="n">
        <x:v>0</x:v>
      </x:c>
      <x:c r="L921" s="2" t="str">
        <x:v>Completed</x:v>
      </x:c>
      <x:c r="M921" s="12" t="n">
        <x:f>H921*I921</x:f>
        <x:v>28000</x:v>
      </x:c>
      <x:c r="N921" s="12" t="n">
        <x:f>IF(L921="Completed",ROUND(M921*(1-K921),2),0)</x:f>
        <x:v>28000</x:v>
      </x:c>
      <x:c r="O921" s="12" t="n">
        <x:f>IF(L921="Completed",H921*J921,0)</x:f>
        <x:v>17500</x:v>
      </x:c>
      <x:c r="P921" s="12" t="n">
        <x:f>N921-O921</x:f>
        <x:v>10500</x:v>
      </x:c>
    </x:row>
    <x:row r="922" ht="21" customHeight="1">
      <x:c r="A922" s="7" t="n">
        <x:v>917</x:v>
      </x:c>
      <x:c r="B922" s="2" t="str">
        <x:v>TXN-00917</x:v>
      </x:c>
      <x:c r="C922" s="8" t="d">
        <x:v>2025-09-11T00:00:00.000Z</x:v>
      </x:c>
      <x:c r="D922" s="2" t="str">
        <x:v>Port Harcourt</x:v>
      </x:c>
      <x:c r="E922" s="2" t="str">
        <x:v>Fashion</x:v>
      </x:c>
      <x:c r="F922" s="2" t="str">
        <x:v>Sneakers</x:v>
      </x:c>
      <x:c r="G922" s="2" t="str">
        <x:v>Online</x:v>
      </x:c>
      <x:c r="H922" s="7" t="n">
        <x:v>3</x:v>
      </x:c>
      <x:c r="I922" s="9" t="n">
        <x:v>28000</x:v>
      </x:c>
      <x:c r="J922" s="9" t="n">
        <x:v>17500</x:v>
      </x:c>
      <x:c r="K922" s="10" t="n">
        <x:v>0.1</x:v>
      </x:c>
      <x:c r="L922" s="2" t="str">
        <x:v>Completed</x:v>
      </x:c>
      <x:c r="M922" s="12" t="n">
        <x:f>H922*I922</x:f>
        <x:v>84000</x:v>
      </x:c>
      <x:c r="N922" s="12" t="n">
        <x:f>IF(L922="Completed",ROUND(M922*(1-K922),2),0)</x:f>
        <x:v>75600</x:v>
      </x:c>
      <x:c r="O922" s="12" t="n">
        <x:f>IF(L922="Completed",H922*J922,0)</x:f>
        <x:v>52500</x:v>
      </x:c>
      <x:c r="P922" s="12" t="n">
        <x:f>N922-O922</x:f>
        <x:v>23100</x:v>
      </x:c>
    </x:row>
    <x:row r="923" ht="21" customHeight="1">
      <x:c r="A923" s="7" t="n">
        <x:v>918</x:v>
      </x:c>
      <x:c r="B923" s="2" t="str">
        <x:v>TXN-00918</x:v>
      </x:c>
      <x:c r="C923" s="8" t="d">
        <x:v>2025-09-15T00:00:00.000Z</x:v>
      </x:c>
      <x:c r="D923" s="2" t="str">
        <x:v>Lagos</x:v>
      </x:c>
      <x:c r="E923" s="2" t="str">
        <x:v>Electronics</x:v>
      </x:c>
      <x:c r="F923" s="2" t="str">
        <x:v>Bluetooth speaker</x:v>
      </x:c>
      <x:c r="G923" s="2" t="str">
        <x:v>Online</x:v>
      </x:c>
      <x:c r="H923" s="7" t="n">
        <x:v>1</x:v>
      </x:c>
      <x:c r="I923" s="9" t="n">
        <x:v>26000</x:v>
      </x:c>
      <x:c r="J923" s="9" t="n">
        <x:v>17000</x:v>
      </x:c>
      <x:c r="K923" s="10" t="n">
        <x:v>0</x:v>
      </x:c>
      <x:c r="L923" s="2" t="str">
        <x:v>Completed</x:v>
      </x:c>
      <x:c r="M923" s="12" t="n">
        <x:f>H923*I923</x:f>
        <x:v>26000</x:v>
      </x:c>
      <x:c r="N923" s="12" t="n">
        <x:f>IF(L923="Completed",ROUND(M923*(1-K923),2),0)</x:f>
        <x:v>26000</x:v>
      </x:c>
      <x:c r="O923" s="12" t="n">
        <x:f>IF(L923="Completed",H923*J923,0)</x:f>
        <x:v>17000</x:v>
      </x:c>
      <x:c r="P923" s="12" t="n">
        <x:f>N923-O923</x:f>
        <x:v>9000</x:v>
      </x:c>
    </x:row>
    <x:row r="924" ht="21" customHeight="1">
      <x:c r="A924" s="7" t="n">
        <x:v>919</x:v>
      </x:c>
      <x:c r="B924" s="2" t="str">
        <x:v>TXN-00919</x:v>
      </x:c>
      <x:c r="C924" s="8" t="d">
        <x:v>2025-09-15T00:00:00.000Z</x:v>
      </x:c>
      <x:c r="D924" s="2" t="str">
        <x:v>Kano</x:v>
      </x:c>
      <x:c r="E924" s="2" t="str">
        <x:v>Electronics</x:v>
      </x:c>
      <x:c r="F924" s="2" t="str">
        <x:v>Power bank</x:v>
      </x:c>
      <x:c r="G924" s="2" t="str">
        <x:v>Online</x:v>
      </x:c>
      <x:c r="H924" s="7" t="n">
        <x:v>3</x:v>
      </x:c>
      <x:c r="I924" s="9" t="n">
        <x:v>15000</x:v>
      </x:c>
      <x:c r="J924" s="9" t="n">
        <x:v>9500</x:v>
      </x:c>
      <x:c r="K924" s="10" t="n">
        <x:v>0</x:v>
      </x:c>
      <x:c r="L924" s="2" t="str">
        <x:v>Completed</x:v>
      </x:c>
      <x:c r="M924" s="12" t="n">
        <x:f>H924*I924</x:f>
        <x:v>45000</x:v>
      </x:c>
      <x:c r="N924" s="12" t="n">
        <x:f>IF(L924="Completed",ROUND(M924*(1-K924),2),0)</x:f>
        <x:v>45000</x:v>
      </x:c>
      <x:c r="O924" s="12" t="n">
        <x:f>IF(L924="Completed",H924*J924,0)</x:f>
        <x:v>28500</x:v>
      </x:c>
      <x:c r="P924" s="12" t="n">
        <x:f>N924-O924</x:f>
        <x:v>16500</x:v>
      </x:c>
    </x:row>
    <x:row r="925" ht="21" customHeight="1">
      <x:c r="A925" s="7" t="n">
        <x:v>920</x:v>
      </x:c>
      <x:c r="B925" s="2" t="str">
        <x:v>TXN-00920</x:v>
      </x:c>
      <x:c r="C925" s="8" t="d">
        <x:v>2025-09-23T00:00:00.000Z</x:v>
      </x:c>
      <x:c r="D925" s="2" t="str">
        <x:v>Lagos</x:v>
      </x:c>
      <x:c r="E925" s="2" t="str">
        <x:v>Fashion</x:v>
      </x:c>
      <x:c r="F925" s="2" t="str">
        <x:v>T-shirt</x:v>
      </x:c>
      <x:c r="G925" s="2" t="str">
        <x:v>Online</x:v>
      </x:c>
      <x:c r="H925" s="7" t="n">
        <x:v>1</x:v>
      </x:c>
      <x:c r="I925" s="9" t="n">
        <x:v>9000</x:v>
      </x:c>
      <x:c r="J925" s="9" t="n">
        <x:v>5000</x:v>
      </x:c>
      <x:c r="K925" s="10" t="n">
        <x:v>0.05</x:v>
      </x:c>
      <x:c r="L925" s="2" t="str">
        <x:v>Completed</x:v>
      </x:c>
      <x:c r="M925" s="12" t="n">
        <x:f>H925*I925</x:f>
        <x:v>9000</x:v>
      </x:c>
      <x:c r="N925" s="12" t="n">
        <x:f>IF(L925="Completed",ROUND(M925*(1-K925),2),0)</x:f>
        <x:v>8550</x:v>
      </x:c>
      <x:c r="O925" s="12" t="n">
        <x:f>IF(L925="Completed",H925*J925,0)</x:f>
        <x:v>5000</x:v>
      </x:c>
      <x:c r="P925" s="12" t="n">
        <x:f>N925-O925</x:f>
        <x:v>3550</x:v>
      </x:c>
    </x:row>
    <x:row r="926" ht="21" customHeight="1">
      <x:c r="A926" s="7" t="n">
        <x:v>921</x:v>
      </x:c>
      <x:c r="B926" s="2" t="str">
        <x:v>TXN-00921</x:v>
      </x:c>
      <x:c r="C926" s="8" t="d">
        <x:v>2025-09-01T00:00:00.000Z</x:v>
      </x:c>
      <x:c r="D926" s="2" t="str">
        <x:v>Port Harcourt</x:v>
      </x:c>
      <x:c r="E926" s="2" t="str">
        <x:v>Fashion</x:v>
      </x:c>
      <x:c r="F926" s="2" t="str">
        <x:v>Sneakers</x:v>
      </x:c>
      <x:c r="G926" s="2" t="str">
        <x:v>Online</x:v>
      </x:c>
      <x:c r="H926" s="7" t="n">
        <x:v>1</x:v>
      </x:c>
      <x:c r="I926" s="9" t="n">
        <x:v>28000</x:v>
      </x:c>
      <x:c r="J926" s="9" t="n">
        <x:v>17500</x:v>
      </x:c>
      <x:c r="K926" s="10" t="n">
        <x:v>0</x:v>
      </x:c>
      <x:c r="L926" s="2" t="str">
        <x:v>Completed</x:v>
      </x:c>
      <x:c r="M926" s="12" t="n">
        <x:f>H926*I926</x:f>
        <x:v>28000</x:v>
      </x:c>
      <x:c r="N926" s="12" t="n">
        <x:f>IF(L926="Completed",ROUND(M926*(1-K926),2),0)</x:f>
        <x:v>28000</x:v>
      </x:c>
      <x:c r="O926" s="12" t="n">
        <x:f>IF(L926="Completed",H926*J926,0)</x:f>
        <x:v>17500</x:v>
      </x:c>
      <x:c r="P926" s="12" t="n">
        <x:f>N926-O926</x:f>
        <x:v>10500</x:v>
      </x:c>
    </x:row>
    <x:row r="927" ht="21" customHeight="1">
      <x:c r="A927" s="7" t="n">
        <x:v>922</x:v>
      </x:c>
      <x:c r="B927" s="2" t="str">
        <x:v>TXN-00922</x:v>
      </x:c>
      <x:c r="C927" s="8" t="d">
        <x:v>2025-09-02T00:00:00.000Z</x:v>
      </x:c>
      <x:c r="D927" s="2" t="str">
        <x:v>Kano</x:v>
      </x:c>
      <x:c r="E927" s="2" t="str">
        <x:v>Fashion</x:v>
      </x:c>
      <x:c r="F927" s="2" t="str">
        <x:v>Sneakers</x:v>
      </x:c>
      <x:c r="G927" s="2" t="str">
        <x:v>Online</x:v>
      </x:c>
      <x:c r="H927" s="7" t="n">
        <x:v>1</x:v>
      </x:c>
      <x:c r="I927" s="9" t="n">
        <x:v>28000</x:v>
      </x:c>
      <x:c r="J927" s="9" t="n">
        <x:v>17500</x:v>
      </x:c>
      <x:c r="K927" s="10" t="n">
        <x:v>0</x:v>
      </x:c>
      <x:c r="L927" s="2" t="str">
        <x:v>Completed</x:v>
      </x:c>
      <x:c r="M927" s="12" t="n">
        <x:f>H927*I927</x:f>
        <x:v>28000</x:v>
      </x:c>
      <x:c r="N927" s="12" t="n">
        <x:f>IF(L927="Completed",ROUND(M927*(1-K927),2),0)</x:f>
        <x:v>28000</x:v>
      </x:c>
      <x:c r="O927" s="12" t="n">
        <x:f>IF(L927="Completed",H927*J927,0)</x:f>
        <x:v>17500</x:v>
      </x:c>
      <x:c r="P927" s="12" t="n">
        <x:f>N927-O927</x:f>
        <x:v>10500</x:v>
      </x:c>
    </x:row>
    <x:row r="928" ht="21" customHeight="1">
      <x:c r="A928" s="7" t="n">
        <x:v>923</x:v>
      </x:c>
      <x:c r="B928" s="2" t="str">
        <x:v>TXN-00923</x:v>
      </x:c>
      <x:c r="C928" s="8" t="d">
        <x:v>2025-09-16T00:00:00.000Z</x:v>
      </x:c>
      <x:c r="D928" s="2" t="str">
        <x:v>Lagos</x:v>
      </x:c>
      <x:c r="E928" s="2" t="str">
        <x:v>Electronics</x:v>
      </x:c>
      <x:c r="F928" s="2" t="str">
        <x:v>Headphones</x:v>
      </x:c>
      <x:c r="G928" s="2" t="str">
        <x:v>In-store</x:v>
      </x:c>
      <x:c r="H928" s="7" t="n">
        <x:v>1</x:v>
      </x:c>
      <x:c r="I928" s="9" t="n">
        <x:v>18000</x:v>
      </x:c>
      <x:c r="J928" s="9" t="n">
        <x:v>10500</x:v>
      </x:c>
      <x:c r="K928" s="10" t="n">
        <x:v>0.05</x:v>
      </x:c>
      <x:c r="L928" s="2" t="str">
        <x:v>Completed</x:v>
      </x:c>
      <x:c r="M928" s="12" t="n">
        <x:f>H928*I928</x:f>
        <x:v>18000</x:v>
      </x:c>
      <x:c r="N928" s="12" t="n">
        <x:f>IF(L928="Completed",ROUND(M928*(1-K928),2),0)</x:f>
        <x:v>17100</x:v>
      </x:c>
      <x:c r="O928" s="12" t="n">
        <x:f>IF(L928="Completed",H928*J928,0)</x:f>
        <x:v>10500</x:v>
      </x:c>
      <x:c r="P928" s="12" t="n">
        <x:f>N928-O928</x:f>
        <x:v>6600</x:v>
      </x:c>
    </x:row>
    <x:row r="929" ht="21" customHeight="1">
      <x:c r="A929" s="7" t="n">
        <x:v>924</x:v>
      </x:c>
      <x:c r="B929" s="2" t="str">
        <x:v>TXN-00924</x:v>
      </x:c>
      <x:c r="C929" s="8" t="d">
        <x:v>2025-09-20T00:00:00.000Z</x:v>
      </x:c>
      <x:c r="D929" s="2" t="str">
        <x:v>Lagos</x:v>
      </x:c>
      <x:c r="E929" s="2" t="str">
        <x:v>Home</x:v>
      </x:c>
      <x:c r="F929" s="2" t="str">
        <x:v>Cookware set</x:v>
      </x:c>
      <x:c r="G929" s="2" t="str">
        <x:v>In-store</x:v>
      </x:c>
      <x:c r="H929" s="7" t="n">
        <x:v>1</x:v>
      </x:c>
      <x:c r="I929" s="9" t="n">
        <x:v>35000</x:v>
      </x:c>
      <x:c r="J929" s="9" t="n">
        <x:v>22500</x:v>
      </x:c>
      <x:c r="K929" s="10" t="n">
        <x:v>0.1</x:v>
      </x:c>
      <x:c r="L929" s="2" t="str">
        <x:v>Completed</x:v>
      </x:c>
      <x:c r="M929" s="12" t="n">
        <x:f>H929*I929</x:f>
        <x:v>35000</x:v>
      </x:c>
      <x:c r="N929" s="12" t="n">
        <x:f>IF(L929="Completed",ROUND(M929*(1-K929),2),0)</x:f>
        <x:v>31500</x:v>
      </x:c>
      <x:c r="O929" s="12" t="n">
        <x:f>IF(L929="Completed",H929*J929,0)</x:f>
        <x:v>22500</x:v>
      </x:c>
      <x:c r="P929" s="12" t="n">
        <x:f>N929-O929</x:f>
        <x:v>9000</x:v>
      </x:c>
    </x:row>
    <x:row r="930" ht="21" customHeight="1">
      <x:c r="A930" s="7" t="n">
        <x:v>925</x:v>
      </x:c>
      <x:c r="B930" s="2" t="str">
        <x:v>TXN-00925</x:v>
      </x:c>
      <x:c r="C930" s="8" t="d">
        <x:v>2025-09-15T00:00:00.000Z</x:v>
      </x:c>
      <x:c r="D930" s="2" t="str">
        <x:v>Lagos</x:v>
      </x:c>
      <x:c r="E930" s="2" t="str">
        <x:v>Fashion</x:v>
      </x:c>
      <x:c r="F930" s="2" t="str">
        <x:v>Handbag</x:v>
      </x:c>
      <x:c r="G930" s="2" t="str">
        <x:v>Online</x:v>
      </x:c>
      <x:c r="H930" s="7" t="n">
        <x:v>2</x:v>
      </x:c>
      <x:c r="I930" s="9" t="n">
        <x:v>22000</x:v>
      </x:c>
      <x:c r="J930" s="9" t="n">
        <x:v>13500</x:v>
      </x:c>
      <x:c r="K930" s="10" t="n">
        <x:v>0</x:v>
      </x:c>
      <x:c r="L930" s="2" t="str">
        <x:v>Completed</x:v>
      </x:c>
      <x:c r="M930" s="12" t="n">
        <x:f>H930*I930</x:f>
        <x:v>44000</x:v>
      </x:c>
      <x:c r="N930" s="12" t="n">
        <x:f>IF(L930="Completed",ROUND(M930*(1-K930),2),0)</x:f>
        <x:v>44000</x:v>
      </x:c>
      <x:c r="O930" s="12" t="n">
        <x:f>IF(L930="Completed",H930*J930,0)</x:f>
        <x:v>27000</x:v>
      </x:c>
      <x:c r="P930" s="12" t="n">
        <x:f>N930-O930</x:f>
        <x:v>17000</x:v>
      </x:c>
    </x:row>
    <x:row r="931" ht="21" customHeight="1">
      <x:c r="A931" s="7" t="n">
        <x:v>926</x:v>
      </x:c>
      <x:c r="B931" s="2" t="str">
        <x:v>TXN-00926</x:v>
      </x:c>
      <x:c r="C931" s="8" t="d">
        <x:v>2025-09-16T00:00:00.000Z</x:v>
      </x:c>
      <x:c r="D931" s="2" t="str">
        <x:v>Lagos</x:v>
      </x:c>
      <x:c r="E931" s="2" t="str">
        <x:v>Fashion</x:v>
      </x:c>
      <x:c r="F931" s="2" t="str">
        <x:v>T-shirt</x:v>
      </x:c>
      <x:c r="G931" s="2" t="str">
        <x:v>Online</x:v>
      </x:c>
      <x:c r="H931" s="7" t="n">
        <x:v>2</x:v>
      </x:c>
      <x:c r="I931" s="9" t="n">
        <x:v>9000</x:v>
      </x:c>
      <x:c r="J931" s="9" t="n">
        <x:v>5000</x:v>
      </x:c>
      <x:c r="K931" s="10" t="n">
        <x:v>0.05</x:v>
      </x:c>
      <x:c r="L931" s="2" t="str">
        <x:v>Completed</x:v>
      </x:c>
      <x:c r="M931" s="12" t="n">
        <x:f>H931*I931</x:f>
        <x:v>18000</x:v>
      </x:c>
      <x:c r="N931" s="12" t="n">
        <x:f>IF(L931="Completed",ROUND(M931*(1-K931),2),0)</x:f>
        <x:v>17100</x:v>
      </x:c>
      <x:c r="O931" s="12" t="n">
        <x:f>IF(L931="Completed",H931*J931,0)</x:f>
        <x:v>10000</x:v>
      </x:c>
      <x:c r="P931" s="12" t="n">
        <x:f>N931-O931</x:f>
        <x:v>7100</x:v>
      </x:c>
    </x:row>
    <x:row r="932" ht="21" customHeight="1">
      <x:c r="A932" s="7" t="n">
        <x:v>927</x:v>
      </x:c>
      <x:c r="B932" s="2" t="str">
        <x:v>TXN-00927</x:v>
      </x:c>
      <x:c r="C932" s="8" t="d">
        <x:v>2025-09-17T00:00:00.000Z</x:v>
      </x:c>
      <x:c r="D932" s="2" t="str">
        <x:v>Abuja</x:v>
      </x:c>
      <x:c r="E932" s="2" t="str">
        <x:v>Electronics</x:v>
      </x:c>
      <x:c r="F932" s="2" t="str">
        <x:v>Power bank</x:v>
      </x:c>
      <x:c r="G932" s="2" t="str">
        <x:v>In-store</x:v>
      </x:c>
      <x:c r="H932" s="7" t="n">
        <x:v>1</x:v>
      </x:c>
      <x:c r="I932" s="9" t="n">
        <x:v>15000</x:v>
      </x:c>
      <x:c r="J932" s="9" t="n">
        <x:v>9500</x:v>
      </x:c>
      <x:c r="K932" s="10" t="n">
        <x:v>0.15</x:v>
      </x:c>
      <x:c r="L932" s="2" t="str">
        <x:v>Completed</x:v>
      </x:c>
      <x:c r="M932" s="12" t="n">
        <x:f>H932*I932</x:f>
        <x:v>15000</x:v>
      </x:c>
      <x:c r="N932" s="12" t="n">
        <x:f>IF(L932="Completed",ROUND(M932*(1-K932),2),0)</x:f>
        <x:v>12750</x:v>
      </x:c>
      <x:c r="O932" s="12" t="n">
        <x:f>IF(L932="Completed",H932*J932,0)</x:f>
        <x:v>9500</x:v>
      </x:c>
      <x:c r="P932" s="12" t="n">
        <x:f>N932-O932</x:f>
        <x:v>3250</x:v>
      </x:c>
    </x:row>
    <x:row r="933" ht="21" customHeight="1">
      <x:c r="A933" s="7" t="n">
        <x:v>928</x:v>
      </x:c>
      <x:c r="B933" s="2" t="str">
        <x:v>TXN-00928</x:v>
      </x:c>
      <x:c r="C933" s="8" t="d">
        <x:v>2025-09-28T00:00:00.000Z</x:v>
      </x:c>
      <x:c r="D933" s="2" t="str">
        <x:v>Abuja</x:v>
      </x:c>
      <x:c r="E933" s="2" t="str">
        <x:v>Fashion</x:v>
      </x:c>
      <x:c r="F933" s="2" t="str">
        <x:v>Handbag</x:v>
      </x:c>
      <x:c r="G933" s="2" t="str">
        <x:v>Online</x:v>
      </x:c>
      <x:c r="H933" s="7" t="n">
        <x:v>1</x:v>
      </x:c>
      <x:c r="I933" s="9" t="n">
        <x:v>22000</x:v>
      </x:c>
      <x:c r="J933" s="9" t="n">
        <x:v>13500</x:v>
      </x:c>
      <x:c r="K933" s="10" t="n">
        <x:v>0.1</x:v>
      </x:c>
      <x:c r="L933" s="2" t="str">
        <x:v>Completed</x:v>
      </x:c>
      <x:c r="M933" s="12" t="n">
        <x:f>H933*I933</x:f>
        <x:v>22000</x:v>
      </x:c>
      <x:c r="N933" s="12" t="n">
        <x:f>IF(L933="Completed",ROUND(M933*(1-K933),2),0)</x:f>
        <x:v>19800</x:v>
      </x:c>
      <x:c r="O933" s="12" t="n">
        <x:f>IF(L933="Completed",H933*J933,0)</x:f>
        <x:v>13500</x:v>
      </x:c>
      <x:c r="P933" s="12" t="n">
        <x:f>N933-O933</x:f>
        <x:v>6300</x:v>
      </x:c>
    </x:row>
    <x:row r="934" ht="21" customHeight="1">
      <x:c r="A934" s="7" t="n">
        <x:v>929</x:v>
      </x:c>
      <x:c r="B934" s="2" t="str">
        <x:v>TXN-00929</x:v>
      </x:c>
      <x:c r="C934" s="8" t="d">
        <x:v>2025-09-13T00:00:00.000Z</x:v>
      </x:c>
      <x:c r="D934" s="2" t="str">
        <x:v>Port Harcourt</x:v>
      </x:c>
      <x:c r="E934" s="2" t="str">
        <x:v>Home</x:v>
      </x:c>
      <x:c r="F934" s="2" t="str">
        <x:v>Cookware set</x:v>
      </x:c>
      <x:c r="G934" s="2" t="str">
        <x:v>In-store</x:v>
      </x:c>
      <x:c r="H934" s="7" t="n">
        <x:v>2</x:v>
      </x:c>
      <x:c r="I934" s="9" t="n">
        <x:v>35000</x:v>
      </x:c>
      <x:c r="J934" s="9" t="n">
        <x:v>22500</x:v>
      </x:c>
      <x:c r="K934" s="10" t="n">
        <x:v>0</x:v>
      </x:c>
      <x:c r="L934" s="2" t="str">
        <x:v>Completed</x:v>
      </x:c>
      <x:c r="M934" s="12" t="n">
        <x:f>H934*I934</x:f>
        <x:v>70000</x:v>
      </x:c>
      <x:c r="N934" s="12" t="n">
        <x:f>IF(L934="Completed",ROUND(M934*(1-K934),2),0)</x:f>
        <x:v>70000</x:v>
      </x:c>
      <x:c r="O934" s="12" t="n">
        <x:f>IF(L934="Completed",H934*J934,0)</x:f>
        <x:v>45000</x:v>
      </x:c>
      <x:c r="P934" s="12" t="n">
        <x:f>N934-O934</x:f>
        <x:v>25000</x:v>
      </x:c>
    </x:row>
    <x:row r="935" ht="21" customHeight="1">
      <x:c r="A935" s="7" t="n">
        <x:v>930</x:v>
      </x:c>
      <x:c r="B935" s="2" t="str">
        <x:v>TXN-00930</x:v>
      </x:c>
      <x:c r="C935" s="8" t="d">
        <x:v>2025-09-01T00:00:00.000Z</x:v>
      </x:c>
      <x:c r="D935" s="2" t="str">
        <x:v>Lagos</x:v>
      </x:c>
      <x:c r="E935" s="2" t="str">
        <x:v>Home</x:v>
      </x:c>
      <x:c r="F935" s="2" t="str">
        <x:v>Desk lamp</x:v>
      </x:c>
      <x:c r="G935" s="2" t="str">
        <x:v>In-store</x:v>
      </x:c>
      <x:c r="H935" s="7" t="n">
        <x:v>1</x:v>
      </x:c>
      <x:c r="I935" s="9" t="n">
        <x:v>12000</x:v>
      </x:c>
      <x:c r="J935" s="9" t="n">
        <x:v>7200</x:v>
      </x:c>
      <x:c r="K935" s="10" t="n">
        <x:v>0</x:v>
      </x:c>
      <x:c r="L935" s="2" t="str">
        <x:v>Completed</x:v>
      </x:c>
      <x:c r="M935" s="12" t="n">
        <x:f>H935*I935</x:f>
        <x:v>12000</x:v>
      </x:c>
      <x:c r="N935" s="12" t="n">
        <x:f>IF(L935="Completed",ROUND(M935*(1-K935),2),0)</x:f>
        <x:v>12000</x:v>
      </x:c>
      <x:c r="O935" s="12" t="n">
        <x:f>IF(L935="Completed",H935*J935,0)</x:f>
        <x:v>7200</x:v>
      </x:c>
      <x:c r="P935" s="12" t="n">
        <x:f>N935-O935</x:f>
        <x:v>4800</x:v>
      </x:c>
    </x:row>
    <x:row r="936" ht="21" customHeight="1">
      <x:c r="A936" s="7" t="n">
        <x:v>931</x:v>
      </x:c>
      <x:c r="B936" s="2" t="str">
        <x:v>TXN-00931</x:v>
      </x:c>
      <x:c r="C936" s="8" t="d">
        <x:v>2025-09-18T00:00:00.000Z</x:v>
      </x:c>
      <x:c r="D936" s="2" t="str">
        <x:v>Abuja</x:v>
      </x:c>
      <x:c r="E936" s="2" t="str">
        <x:v>Fashion</x:v>
      </x:c>
      <x:c r="F936" s="2" t="str">
        <x:v>Sneakers</x:v>
      </x:c>
      <x:c r="G936" s="2" t="str">
        <x:v>Online</x:v>
      </x:c>
      <x:c r="H936" s="7" t="n">
        <x:v>2</x:v>
      </x:c>
      <x:c r="I936" s="9" t="n">
        <x:v>28000</x:v>
      </x:c>
      <x:c r="J936" s="9" t="n">
        <x:v>17500</x:v>
      </x:c>
      <x:c r="K936" s="10" t="n">
        <x:v>0.1</x:v>
      </x:c>
      <x:c r="L936" s="2" t="str">
        <x:v>Completed</x:v>
      </x:c>
      <x:c r="M936" s="12" t="n">
        <x:f>H936*I936</x:f>
        <x:v>56000</x:v>
      </x:c>
      <x:c r="N936" s="12" t="n">
        <x:f>IF(L936="Completed",ROUND(M936*(1-K936),2),0)</x:f>
        <x:v>50400</x:v>
      </x:c>
      <x:c r="O936" s="12" t="n">
        <x:f>IF(L936="Completed",H936*J936,0)</x:f>
        <x:v>35000</x:v>
      </x:c>
      <x:c r="P936" s="12" t="n">
        <x:f>N936-O936</x:f>
        <x:v>15400</x:v>
      </x:c>
    </x:row>
    <x:row r="937" ht="21" customHeight="1">
      <x:c r="A937" s="7" t="n">
        <x:v>932</x:v>
      </x:c>
      <x:c r="B937" s="2" t="str">
        <x:v>TXN-00932</x:v>
      </x:c>
      <x:c r="C937" s="8" t="d">
        <x:v>2025-09-18T00:00:00.000Z</x:v>
      </x:c>
      <x:c r="D937" s="2" t="str">
        <x:v>Abuja</x:v>
      </x:c>
      <x:c r="E937" s="2" t="str">
        <x:v>Home</x:v>
      </x:c>
      <x:c r="F937" s="2" t="str">
        <x:v>Cookware set</x:v>
      </x:c>
      <x:c r="G937" s="2" t="str">
        <x:v>In-store</x:v>
      </x:c>
      <x:c r="H937" s="7" t="n">
        <x:v>1</x:v>
      </x:c>
      <x:c r="I937" s="9" t="n">
        <x:v>35000</x:v>
      </x:c>
      <x:c r="J937" s="9" t="n">
        <x:v>22500</x:v>
      </x:c>
      <x:c r="K937" s="10" t="n">
        <x:v>0</x:v>
      </x:c>
      <x:c r="L937" s="2" t="str">
        <x:v>Completed</x:v>
      </x:c>
      <x:c r="M937" s="12" t="n">
        <x:f>H937*I937</x:f>
        <x:v>35000</x:v>
      </x:c>
      <x:c r="N937" s="12" t="n">
        <x:f>IF(L937="Completed",ROUND(M937*(1-K937),2),0)</x:f>
        <x:v>35000</x:v>
      </x:c>
      <x:c r="O937" s="12" t="n">
        <x:f>IF(L937="Completed",H937*J937,0)</x:f>
        <x:v>22500</x:v>
      </x:c>
      <x:c r="P937" s="12" t="n">
        <x:f>N937-O937</x:f>
        <x:v>12500</x:v>
      </x:c>
    </x:row>
    <x:row r="938" ht="21" customHeight="1">
      <x:c r="A938" s="7" t="n">
        <x:v>933</x:v>
      </x:c>
      <x:c r="B938" s="2" t="str">
        <x:v>TXN-00933</x:v>
      </x:c>
      <x:c r="C938" s="8" t="d">
        <x:v>2025-09-06T00:00:00.000Z</x:v>
      </x:c>
      <x:c r="D938" s="2" t="str">
        <x:v>Kano</x:v>
      </x:c>
      <x:c r="E938" s="2" t="str">
        <x:v>Fashion</x:v>
      </x:c>
      <x:c r="F938" s="2" t="str">
        <x:v>T-shirt</x:v>
      </x:c>
      <x:c r="G938" s="2" t="str">
        <x:v>In-store</x:v>
      </x:c>
      <x:c r="H938" s="7" t="n">
        <x:v>3</x:v>
      </x:c>
      <x:c r="I938" s="9" t="n">
        <x:v>9000</x:v>
      </x:c>
      <x:c r="J938" s="9" t="n">
        <x:v>5000</x:v>
      </x:c>
      <x:c r="K938" s="10" t="n">
        <x:v>0</x:v>
      </x:c>
      <x:c r="L938" s="2" t="str">
        <x:v>Returned</x:v>
      </x:c>
      <x:c r="M938" s="12" t="n">
        <x:f>H938*I938</x:f>
        <x:v>27000</x:v>
      </x:c>
      <x:c r="N938" s="12" t="n">
        <x:f>IF(L938="Completed",ROUND(M938*(1-K938),2),0)</x:f>
        <x:v>0</x:v>
      </x:c>
      <x:c r="O938" s="12" t="n">
        <x:f>IF(L938="Completed",H938*J938,0)</x:f>
        <x:v>0</x:v>
      </x:c>
      <x:c r="P938" s="12" t="n">
        <x:f>N938-O938</x:f>
        <x:v>0</x:v>
      </x:c>
    </x:row>
    <x:row r="939" ht="21" customHeight="1">
      <x:c r="A939" s="7" t="n">
        <x:v>934</x:v>
      </x:c>
      <x:c r="B939" s="2" t="str">
        <x:v>TXN-00934</x:v>
      </x:c>
      <x:c r="C939" s="8" t="d">
        <x:v>2025-09-27T00:00:00.000Z</x:v>
      </x:c>
      <x:c r="D939" s="2" t="str">
        <x:v>Abuja</x:v>
      </x:c>
      <x:c r="E939" s="2" t="str">
        <x:v>Electronics</x:v>
      </x:c>
      <x:c r="F939" s="2" t="str">
        <x:v>Headphones</x:v>
      </x:c>
      <x:c r="G939" s="2" t="str">
        <x:v>Online</x:v>
      </x:c>
      <x:c r="H939" s="7" t="n">
        <x:v>1</x:v>
      </x:c>
      <x:c r="I939" s="9" t="n">
        <x:v>18000</x:v>
      </x:c>
      <x:c r="J939" s="9" t="n">
        <x:v>10500</x:v>
      </x:c>
      <x:c r="K939" s="10" t="n">
        <x:v>0.05</x:v>
      </x:c>
      <x:c r="L939" s="2" t="str">
        <x:v>Completed</x:v>
      </x:c>
      <x:c r="M939" s="12" t="n">
        <x:f>H939*I939</x:f>
        <x:v>18000</x:v>
      </x:c>
      <x:c r="N939" s="12" t="n">
        <x:f>IF(L939="Completed",ROUND(M939*(1-K939),2),0)</x:f>
        <x:v>17100</x:v>
      </x:c>
      <x:c r="O939" s="12" t="n">
        <x:f>IF(L939="Completed",H939*J939,0)</x:f>
        <x:v>10500</x:v>
      </x:c>
      <x:c r="P939" s="12" t="n">
        <x:f>N939-O939</x:f>
        <x:v>6600</x:v>
      </x:c>
    </x:row>
    <x:row r="940" ht="21" customHeight="1">
      <x:c r="A940" s="7" t="n">
        <x:v>935</x:v>
      </x:c>
      <x:c r="B940" s="2" t="str">
        <x:v>TXN-00935</x:v>
      </x:c>
      <x:c r="C940" s="8" t="d">
        <x:v>2025-09-26T00:00:00.000Z</x:v>
      </x:c>
      <x:c r="D940" s="2" t="str">
        <x:v>Kano</x:v>
      </x:c>
      <x:c r="E940" s="2" t="str">
        <x:v>Fashion</x:v>
      </x:c>
      <x:c r="F940" s="2" t="str">
        <x:v>T-shirt</x:v>
      </x:c>
      <x:c r="G940" s="2" t="str">
        <x:v>Online</x:v>
      </x:c>
      <x:c r="H940" s="7" t="n">
        <x:v>1</x:v>
      </x:c>
      <x:c r="I940" s="9" t="n">
        <x:v>9000</x:v>
      </x:c>
      <x:c r="J940" s="9" t="n">
        <x:v>5000</x:v>
      </x:c>
      <x:c r="K940" s="10" t="n">
        <x:v>0.05</x:v>
      </x:c>
      <x:c r="L940" s="2" t="str">
        <x:v>Completed</x:v>
      </x:c>
      <x:c r="M940" s="12" t="n">
        <x:f>H940*I940</x:f>
        <x:v>9000</x:v>
      </x:c>
      <x:c r="N940" s="12" t="n">
        <x:f>IF(L940="Completed",ROUND(M940*(1-K940),2),0)</x:f>
        <x:v>8550</x:v>
      </x:c>
      <x:c r="O940" s="12" t="n">
        <x:f>IF(L940="Completed",H940*J940,0)</x:f>
        <x:v>5000</x:v>
      </x:c>
      <x:c r="P940" s="12" t="n">
        <x:f>N940-O940</x:f>
        <x:v>3550</x:v>
      </x:c>
    </x:row>
    <x:row r="941" ht="21" customHeight="1">
      <x:c r="A941" s="7" t="n">
        <x:v>936</x:v>
      </x:c>
      <x:c r="B941" s="2" t="str">
        <x:v>TXN-00936</x:v>
      </x:c>
      <x:c r="C941" s="8" t="d">
        <x:v>2025-09-13T00:00:00.000Z</x:v>
      </x:c>
      <x:c r="D941" s="2" t="str">
        <x:v>Abuja</x:v>
      </x:c>
      <x:c r="E941" s="2" t="str">
        <x:v>Fashion</x:v>
      </x:c>
      <x:c r="F941" s="2" t="str">
        <x:v>Handbag</x:v>
      </x:c>
      <x:c r="G941" s="2" t="str">
        <x:v>Online</x:v>
      </x:c>
      <x:c r="H941" s="7" t="n">
        <x:v>4</x:v>
      </x:c>
      <x:c r="I941" s="9" t="n">
        <x:v>22000</x:v>
      </x:c>
      <x:c r="J941" s="9" t="n">
        <x:v>13500</x:v>
      </x:c>
      <x:c r="K941" s="10" t="n">
        <x:v>0</x:v>
      </x:c>
      <x:c r="L941" s="2" t="str">
        <x:v>Completed</x:v>
      </x:c>
      <x:c r="M941" s="12" t="n">
        <x:f>H941*I941</x:f>
        <x:v>88000</x:v>
      </x:c>
      <x:c r="N941" s="12" t="n">
        <x:f>IF(L941="Completed",ROUND(M941*(1-K941),2),0)</x:f>
        <x:v>88000</x:v>
      </x:c>
      <x:c r="O941" s="12" t="n">
        <x:f>IF(L941="Completed",H941*J941,0)</x:f>
        <x:v>54000</x:v>
      </x:c>
      <x:c r="P941" s="12" t="n">
        <x:f>N941-O941</x:f>
        <x:v>34000</x:v>
      </x:c>
    </x:row>
    <x:row r="942" ht="21" customHeight="1">
      <x:c r="A942" s="7" t="n">
        <x:v>937</x:v>
      </x:c>
      <x:c r="B942" s="2" t="str">
        <x:v>TXN-00937</x:v>
      </x:c>
      <x:c r="C942" s="8" t="d">
        <x:v>2025-09-16T00:00:00.000Z</x:v>
      </x:c>
      <x:c r="D942" s="2" t="str">
        <x:v>Port Harcourt</x:v>
      </x:c>
      <x:c r="E942" s="2" t="str">
        <x:v>Fashion</x:v>
      </x:c>
      <x:c r="F942" s="2" t="str">
        <x:v>T-shirt</x:v>
      </x:c>
      <x:c r="G942" s="2" t="str">
        <x:v>In-store</x:v>
      </x:c>
      <x:c r="H942" s="7" t="n">
        <x:v>2</x:v>
      </x:c>
      <x:c r="I942" s="9" t="n">
        <x:v>9000</x:v>
      </x:c>
      <x:c r="J942" s="9" t="n">
        <x:v>5000</x:v>
      </x:c>
      <x:c r="K942" s="10" t="n">
        <x:v>0.1</x:v>
      </x:c>
      <x:c r="L942" s="2" t="str">
        <x:v>Completed</x:v>
      </x:c>
      <x:c r="M942" s="12" t="n">
        <x:f>H942*I942</x:f>
        <x:v>18000</x:v>
      </x:c>
      <x:c r="N942" s="12" t="n">
        <x:f>IF(L942="Completed",ROUND(M942*(1-K942),2),0)</x:f>
        <x:v>16200</x:v>
      </x:c>
      <x:c r="O942" s="12" t="n">
        <x:f>IF(L942="Completed",H942*J942,0)</x:f>
        <x:v>10000</x:v>
      </x:c>
      <x:c r="P942" s="12" t="n">
        <x:f>N942-O942</x:f>
        <x:v>6200</x:v>
      </x:c>
    </x:row>
    <x:row r="943" ht="21" customHeight="1">
      <x:c r="A943" s="7" t="n">
        <x:v>938</x:v>
      </x:c>
      <x:c r="B943" s="2" t="str">
        <x:v>TXN-00938</x:v>
      </x:c>
      <x:c r="C943" s="8" t="d">
        <x:v>2025-09-30T00:00:00.000Z</x:v>
      </x:c>
      <x:c r="D943" s="2" t="str">
        <x:v>Abuja</x:v>
      </x:c>
      <x:c r="E943" s="2" t="str">
        <x:v>Home</x:v>
      </x:c>
      <x:c r="F943" s="2" t="str">
        <x:v>Cookware set</x:v>
      </x:c>
      <x:c r="G943" s="2" t="str">
        <x:v>Online</x:v>
      </x:c>
      <x:c r="H943" s="7" t="n">
        <x:v>1</x:v>
      </x:c>
      <x:c r="I943" s="9" t="n">
        <x:v>35000</x:v>
      </x:c>
      <x:c r="J943" s="9" t="n">
        <x:v>22500</x:v>
      </x:c>
      <x:c r="K943" s="10" t="n">
        <x:v>0.05</x:v>
      </x:c>
      <x:c r="L943" s="2" t="str">
        <x:v>Completed</x:v>
      </x:c>
      <x:c r="M943" s="12" t="n">
        <x:f>H943*I943</x:f>
        <x:v>35000</x:v>
      </x:c>
      <x:c r="N943" s="12" t="n">
        <x:f>IF(L943="Completed",ROUND(M943*(1-K943),2),0)</x:f>
        <x:v>33250</x:v>
      </x:c>
      <x:c r="O943" s="12" t="n">
        <x:f>IF(L943="Completed",H943*J943,0)</x:f>
        <x:v>22500</x:v>
      </x:c>
      <x:c r="P943" s="12" t="n">
        <x:f>N943-O943</x:f>
        <x:v>10750</x:v>
      </x:c>
    </x:row>
    <x:row r="944" ht="21" customHeight="1">
      <x:c r="A944" s="7" t="n">
        <x:v>939</x:v>
      </x:c>
      <x:c r="B944" s="2" t="str">
        <x:v>TXN-00939</x:v>
      </x:c>
      <x:c r="C944" s="8" t="d">
        <x:v>2025-09-15T00:00:00.000Z</x:v>
      </x:c>
      <x:c r="D944" s="2" t="str">
        <x:v>Kano</x:v>
      </x:c>
      <x:c r="E944" s="2" t="str">
        <x:v>Electronics</x:v>
      </x:c>
      <x:c r="F944" s="2" t="str">
        <x:v>Headphones</x:v>
      </x:c>
      <x:c r="G944" s="2" t="str">
        <x:v>In-store</x:v>
      </x:c>
      <x:c r="H944" s="7" t="n">
        <x:v>1</x:v>
      </x:c>
      <x:c r="I944" s="9" t="n">
        <x:v>18000</x:v>
      </x:c>
      <x:c r="J944" s="9" t="n">
        <x:v>10500</x:v>
      </x:c>
      <x:c r="K944" s="10" t="n">
        <x:v>0.05</x:v>
      </x:c>
      <x:c r="L944" s="2" t="str">
        <x:v>Completed</x:v>
      </x:c>
      <x:c r="M944" s="12" t="n">
        <x:f>H944*I944</x:f>
        <x:v>18000</x:v>
      </x:c>
      <x:c r="N944" s="12" t="n">
        <x:f>IF(L944="Completed",ROUND(M944*(1-K944),2),0)</x:f>
        <x:v>17100</x:v>
      </x:c>
      <x:c r="O944" s="12" t="n">
        <x:f>IF(L944="Completed",H944*J944,0)</x:f>
        <x:v>10500</x:v>
      </x:c>
      <x:c r="P944" s="12" t="n">
        <x:f>N944-O944</x:f>
        <x:v>6600</x:v>
      </x:c>
    </x:row>
    <x:row r="945" ht="21" customHeight="1">
      <x:c r="A945" s="7" t="n">
        <x:v>940</x:v>
      </x:c>
      <x:c r="B945" s="2" t="str">
        <x:v>TXN-00940</x:v>
      </x:c>
      <x:c r="C945" s="8" t="d">
        <x:v>2025-09-14T00:00:00.000Z</x:v>
      </x:c>
      <x:c r="D945" s="2" t="str">
        <x:v>Abuja</x:v>
      </x:c>
      <x:c r="E945" s="2" t="str">
        <x:v>Beauty</x:v>
      </x:c>
      <x:c r="F945" s="2" t="str">
        <x:v>Moisturizer</x:v>
      </x:c>
      <x:c r="G945" s="2" t="str">
        <x:v>Online</x:v>
      </x:c>
      <x:c r="H945" s="7" t="n">
        <x:v>1</x:v>
      </x:c>
      <x:c r="I945" s="9" t="n">
        <x:v>6500</x:v>
      </x:c>
      <x:c r="J945" s="9" t="n">
        <x:v>3500</x:v>
      </x:c>
      <x:c r="K945" s="10" t="n">
        <x:v>0</x:v>
      </x:c>
      <x:c r="L945" s="2" t="str">
        <x:v>Completed</x:v>
      </x:c>
      <x:c r="M945" s="12" t="n">
        <x:f>H945*I945</x:f>
        <x:v>6500</x:v>
      </x:c>
      <x:c r="N945" s="12" t="n">
        <x:f>IF(L945="Completed",ROUND(M945*(1-K945),2),0)</x:f>
        <x:v>6500</x:v>
      </x:c>
      <x:c r="O945" s="12" t="n">
        <x:f>IF(L945="Completed",H945*J945,0)</x:f>
        <x:v>3500</x:v>
      </x:c>
      <x:c r="P945" s="12" t="n">
        <x:f>N945-O945</x:f>
        <x:v>3000</x:v>
      </x:c>
    </x:row>
    <x:row r="946" ht="21" customHeight="1">
      <x:c r="A946" s="7" t="n">
        <x:v>941</x:v>
      </x:c>
      <x:c r="B946" s="2" t="str">
        <x:v>TXN-00941</x:v>
      </x:c>
      <x:c r="C946" s="8" t="d">
        <x:v>2025-09-09T00:00:00.000Z</x:v>
      </x:c>
      <x:c r="D946" s="2" t="str">
        <x:v>Port Harcourt</x:v>
      </x:c>
      <x:c r="E946" s="2" t="str">
        <x:v>Fashion</x:v>
      </x:c>
      <x:c r="F946" s="2" t="str">
        <x:v>Sneakers</x:v>
      </x:c>
      <x:c r="G946" s="2" t="str">
        <x:v>Online</x:v>
      </x:c>
      <x:c r="H946" s="7" t="n">
        <x:v>1</x:v>
      </x:c>
      <x:c r="I946" s="9" t="n">
        <x:v>28000</x:v>
      </x:c>
      <x:c r="J946" s="9" t="n">
        <x:v>17500</x:v>
      </x:c>
      <x:c r="K946" s="10" t="n">
        <x:v>0.05</x:v>
      </x:c>
      <x:c r="L946" s="2" t="str">
        <x:v>Returned</x:v>
      </x:c>
      <x:c r="M946" s="12" t="n">
        <x:f>H946*I946</x:f>
        <x:v>28000</x:v>
      </x:c>
      <x:c r="N946" s="12" t="n">
        <x:f>IF(L946="Completed",ROUND(M946*(1-K946),2),0)</x:f>
        <x:v>0</x:v>
      </x:c>
      <x:c r="O946" s="12" t="n">
        <x:f>IF(L946="Completed",H946*J946,0)</x:f>
        <x:v>0</x:v>
      </x:c>
      <x:c r="P946" s="12" t="n">
        <x:f>N946-O946</x:f>
        <x:v>0</x:v>
      </x:c>
    </x:row>
    <x:row r="947" ht="21" customHeight="1">
      <x:c r="A947" s="7" t="n">
        <x:v>942</x:v>
      </x:c>
      <x:c r="B947" s="2" t="str">
        <x:v>TXN-00942</x:v>
      </x:c>
      <x:c r="C947" s="8" t="d">
        <x:v>2025-09-19T00:00:00.000Z</x:v>
      </x:c>
      <x:c r="D947" s="2" t="str">
        <x:v>Kano</x:v>
      </x:c>
      <x:c r="E947" s="2" t="str">
        <x:v>Electronics</x:v>
      </x:c>
      <x:c r="F947" s="2" t="str">
        <x:v>Headphones</x:v>
      </x:c>
      <x:c r="G947" s="2" t="str">
        <x:v>Online</x:v>
      </x:c>
      <x:c r="H947" s="7" t="n">
        <x:v>4</x:v>
      </x:c>
      <x:c r="I947" s="9" t="n">
        <x:v>18000</x:v>
      </x:c>
      <x:c r="J947" s="9" t="n">
        <x:v>10500</x:v>
      </x:c>
      <x:c r="K947" s="10" t="n">
        <x:v>0</x:v>
      </x:c>
      <x:c r="L947" s="2" t="str">
        <x:v>Completed</x:v>
      </x:c>
      <x:c r="M947" s="12" t="n">
        <x:f>H947*I947</x:f>
        <x:v>72000</x:v>
      </x:c>
      <x:c r="N947" s="12" t="n">
        <x:f>IF(L947="Completed",ROUND(M947*(1-K947),2),0)</x:f>
        <x:v>72000</x:v>
      </x:c>
      <x:c r="O947" s="12" t="n">
        <x:f>IF(L947="Completed",H947*J947,0)</x:f>
        <x:v>42000</x:v>
      </x:c>
      <x:c r="P947" s="12" t="n">
        <x:f>N947-O947</x:f>
        <x:v>30000</x:v>
      </x:c>
    </x:row>
    <x:row r="948" ht="21" customHeight="1">
      <x:c r="A948" s="7" t="n">
        <x:v>943</x:v>
      </x:c>
      <x:c r="B948" s="2" t="str">
        <x:v>TXN-00943</x:v>
      </x:c>
      <x:c r="C948" s="8" t="d">
        <x:v>2025-09-29T00:00:00.000Z</x:v>
      </x:c>
      <x:c r="D948" s="2" t="str">
        <x:v>Lagos</x:v>
      </x:c>
      <x:c r="E948" s="2" t="str">
        <x:v>Electronics</x:v>
      </x:c>
      <x:c r="F948" s="2" t="str">
        <x:v>Bluetooth speaker</x:v>
      </x:c>
      <x:c r="G948" s="2" t="str">
        <x:v>In-store</x:v>
      </x:c>
      <x:c r="H948" s="7" t="n">
        <x:v>3</x:v>
      </x:c>
      <x:c r="I948" s="9" t="n">
        <x:v>26000</x:v>
      </x:c>
      <x:c r="J948" s="9" t="n">
        <x:v>17000</x:v>
      </x:c>
      <x:c r="K948" s="10" t="n">
        <x:v>0.05</x:v>
      </x:c>
      <x:c r="L948" s="2" t="str">
        <x:v>Completed</x:v>
      </x:c>
      <x:c r="M948" s="12" t="n">
        <x:f>H948*I948</x:f>
        <x:v>78000</x:v>
      </x:c>
      <x:c r="N948" s="12" t="n">
        <x:f>IF(L948="Completed",ROUND(M948*(1-K948),2),0)</x:f>
        <x:v>74100</x:v>
      </x:c>
      <x:c r="O948" s="12" t="n">
        <x:f>IF(L948="Completed",H948*J948,0)</x:f>
        <x:v>51000</x:v>
      </x:c>
      <x:c r="P948" s="12" t="n">
        <x:f>N948-O948</x:f>
        <x:v>23100</x:v>
      </x:c>
    </x:row>
    <x:row r="949" ht="21" customHeight="1">
      <x:c r="A949" s="7" t="n">
        <x:v>944</x:v>
      </x:c>
      <x:c r="B949" s="2" t="str">
        <x:v>TXN-00944</x:v>
      </x:c>
      <x:c r="C949" s="8" t="d">
        <x:v>2025-09-15T00:00:00.000Z</x:v>
      </x:c>
      <x:c r="D949" s="2" t="str">
        <x:v>Lagos</x:v>
      </x:c>
      <x:c r="E949" s="2" t="str">
        <x:v>Fashion</x:v>
      </x:c>
      <x:c r="F949" s="2" t="str">
        <x:v>Sneakers</x:v>
      </x:c>
      <x:c r="G949" s="2" t="str">
        <x:v>In-store</x:v>
      </x:c>
      <x:c r="H949" s="7" t="n">
        <x:v>1</x:v>
      </x:c>
      <x:c r="I949" s="9" t="n">
        <x:v>28000</x:v>
      </x:c>
      <x:c r="J949" s="9" t="n">
        <x:v>17500</x:v>
      </x:c>
      <x:c r="K949" s="10" t="n">
        <x:v>0.05</x:v>
      </x:c>
      <x:c r="L949" s="2" t="str">
        <x:v>Completed</x:v>
      </x:c>
      <x:c r="M949" s="12" t="n">
        <x:f>H949*I949</x:f>
        <x:v>28000</x:v>
      </x:c>
      <x:c r="N949" s="12" t="n">
        <x:f>IF(L949="Completed",ROUND(M949*(1-K949),2),0)</x:f>
        <x:v>26600</x:v>
      </x:c>
      <x:c r="O949" s="12" t="n">
        <x:f>IF(L949="Completed",H949*J949,0)</x:f>
        <x:v>17500</x:v>
      </x:c>
      <x:c r="P949" s="12" t="n">
        <x:f>N949-O949</x:f>
        <x:v>9100</x:v>
      </x:c>
    </x:row>
    <x:row r="950" ht="21" customHeight="1">
      <x:c r="A950" s="7" t="n">
        <x:v>945</x:v>
      </x:c>
      <x:c r="B950" s="2" t="str">
        <x:v>TXN-00945</x:v>
      </x:c>
      <x:c r="C950" s="8" t="d">
        <x:v>2025-09-20T00:00:00.000Z</x:v>
      </x:c>
      <x:c r="D950" s="2" t="str">
        <x:v>Port Harcourt</x:v>
      </x:c>
      <x:c r="E950" s="2" t="str">
        <x:v>Beauty</x:v>
      </x:c>
      <x:c r="F950" s="2" t="str">
        <x:v>Body wash</x:v>
      </x:c>
      <x:c r="G950" s="2" t="str">
        <x:v>Online</x:v>
      </x:c>
      <x:c r="H950" s="7" t="n">
        <x:v>2</x:v>
      </x:c>
      <x:c r="I950" s="9" t="n">
        <x:v>4500</x:v>
      </x:c>
      <x:c r="J950" s="9" t="n">
        <x:v>2300</x:v>
      </x:c>
      <x:c r="K950" s="10" t="n">
        <x:v>0.05</x:v>
      </x:c>
      <x:c r="L950" s="2" t="str">
        <x:v>Completed</x:v>
      </x:c>
      <x:c r="M950" s="12" t="n">
        <x:f>H950*I950</x:f>
        <x:v>9000</x:v>
      </x:c>
      <x:c r="N950" s="12" t="n">
        <x:f>IF(L950="Completed",ROUND(M950*(1-K950),2),0)</x:f>
        <x:v>8550</x:v>
      </x:c>
      <x:c r="O950" s="12" t="n">
        <x:f>IF(L950="Completed",H950*J950,0)</x:f>
        <x:v>4600</x:v>
      </x:c>
      <x:c r="P950" s="12" t="n">
        <x:f>N950-O950</x:f>
        <x:v>3950</x:v>
      </x:c>
    </x:row>
    <x:row r="951" ht="21" customHeight="1">
      <x:c r="A951" s="7" t="n">
        <x:v>946</x:v>
      </x:c>
      <x:c r="B951" s="2" t="str">
        <x:v>TXN-00946</x:v>
      </x:c>
      <x:c r="C951" s="8" t="d">
        <x:v>2025-09-27T00:00:00.000Z</x:v>
      </x:c>
      <x:c r="D951" s="2" t="str">
        <x:v>Unknown</x:v>
      </x:c>
      <x:c r="E951" s="2" t="str">
        <x:v>Beauty</x:v>
      </x:c>
      <x:c r="F951" s="2" t="str">
        <x:v>Perfume</x:v>
      </x:c>
      <x:c r="G951" s="2" t="str">
        <x:v>In-store</x:v>
      </x:c>
      <x:c r="H951" s="7" t="n">
        <x:v>1</x:v>
      </x:c>
      <x:c r="I951" s="9" t="n">
        <x:v>17000</x:v>
      </x:c>
      <x:c r="J951" s="9" t="n">
        <x:v>9000</x:v>
      </x:c>
      <x:c r="K951" s="10" t="n">
        <x:v>0</x:v>
      </x:c>
      <x:c r="L951" s="2" t="str">
        <x:v>Completed</x:v>
      </x:c>
      <x:c r="M951" s="12" t="n">
        <x:f>H951*I951</x:f>
        <x:v>17000</x:v>
      </x:c>
      <x:c r="N951" s="12" t="n">
        <x:f>IF(L951="Completed",ROUND(M951*(1-K951),2),0)</x:f>
        <x:v>17000</x:v>
      </x:c>
      <x:c r="O951" s="12" t="n">
        <x:f>IF(L951="Completed",H951*J951,0)</x:f>
        <x:v>9000</x:v>
      </x:c>
      <x:c r="P951" s="12" t="n">
        <x:f>N951-O951</x:f>
        <x:v>8000</x:v>
      </x:c>
    </x:row>
    <x:row r="952" ht="21" customHeight="1">
      <x:c r="A952" s="7" t="n">
        <x:v>947</x:v>
      </x:c>
      <x:c r="B952" s="2" t="str">
        <x:v>TXN-00947</x:v>
      </x:c>
      <x:c r="C952" s="8" t="d">
        <x:v>2025-09-25T00:00:00.000Z</x:v>
      </x:c>
      <x:c r="D952" s="2" t="str">
        <x:v>Lagos</x:v>
      </x:c>
      <x:c r="E952" s="2" t="str">
        <x:v>Beauty</x:v>
      </x:c>
      <x:c r="F952" s="2" t="str">
        <x:v>Body wash</x:v>
      </x:c>
      <x:c r="G952" s="2" t="str">
        <x:v>In-store</x:v>
      </x:c>
      <x:c r="H952" s="7" t="n">
        <x:v>1</x:v>
      </x:c>
      <x:c r="I952" s="9" t="n">
        <x:v>4500</x:v>
      </x:c>
      <x:c r="J952" s="9" t="n">
        <x:v>2300</x:v>
      </x:c>
      <x:c r="K952" s="10" t="n">
        <x:v>0</x:v>
      </x:c>
      <x:c r="L952" s="2" t="str">
        <x:v>Completed</x:v>
      </x:c>
      <x:c r="M952" s="12" t="n">
        <x:f>H952*I952</x:f>
        <x:v>4500</x:v>
      </x:c>
      <x:c r="N952" s="12" t="n">
        <x:f>IF(L952="Completed",ROUND(M952*(1-K952),2),0)</x:f>
        <x:v>4500</x:v>
      </x:c>
      <x:c r="O952" s="12" t="n">
        <x:f>IF(L952="Completed",H952*J952,0)</x:f>
        <x:v>2300</x:v>
      </x:c>
      <x:c r="P952" s="12" t="n">
        <x:f>N952-O952</x:f>
        <x:v>2200</x:v>
      </x:c>
    </x:row>
    <x:row r="953" ht="21" customHeight="1">
      <x:c r="A953" s="7" t="n">
        <x:v>948</x:v>
      </x:c>
      <x:c r="B953" s="2" t="str">
        <x:v>TXN-00948</x:v>
      </x:c>
      <x:c r="C953" s="8" t="d">
        <x:v>2025-09-21T00:00:00.000Z</x:v>
      </x:c>
      <x:c r="D953" s="2" t="str">
        <x:v>Lagos</x:v>
      </x:c>
      <x:c r="E953" s="2" t="str">
        <x:v>Beauty</x:v>
      </x:c>
      <x:c r="F953" s="2" t="str">
        <x:v>Body wash</x:v>
      </x:c>
      <x:c r="G953" s="2" t="str">
        <x:v>In-store</x:v>
      </x:c>
      <x:c r="H953" s="7" t="n">
        <x:v>1</x:v>
      </x:c>
      <x:c r="I953" s="9" t="n">
        <x:v>4500</x:v>
      </x:c>
      <x:c r="J953" s="9" t="n">
        <x:v>2300</x:v>
      </x:c>
      <x:c r="K953" s="10" t="n">
        <x:v>0</x:v>
      </x:c>
      <x:c r="L953" s="2" t="str">
        <x:v>Completed</x:v>
      </x:c>
      <x:c r="M953" s="12" t="n">
        <x:f>H953*I953</x:f>
        <x:v>4500</x:v>
      </x:c>
      <x:c r="N953" s="12" t="n">
        <x:f>IF(L953="Completed",ROUND(M953*(1-K953),2),0)</x:f>
        <x:v>4500</x:v>
      </x:c>
      <x:c r="O953" s="12" t="n">
        <x:f>IF(L953="Completed",H953*J953,0)</x:f>
        <x:v>2300</x:v>
      </x:c>
      <x:c r="P953" s="12" t="n">
        <x:f>N953-O953</x:f>
        <x:v>2200</x:v>
      </x:c>
    </x:row>
    <x:row r="954" ht="21" customHeight="1">
      <x:c r="A954" s="7" t="n">
        <x:v>949</x:v>
      </x:c>
      <x:c r="B954" s="2" t="str">
        <x:v>TXN-00949</x:v>
      </x:c>
      <x:c r="C954" s="8" t="d">
        <x:v>2025-09-22T00:00:00.000Z</x:v>
      </x:c>
      <x:c r="D954" s="2" t="str">
        <x:v>Port Harcourt</x:v>
      </x:c>
      <x:c r="E954" s="2" t="str">
        <x:v>Fashion</x:v>
      </x:c>
      <x:c r="F954" s="2" t="str">
        <x:v>Handbag</x:v>
      </x:c>
      <x:c r="G954" s="2" t="str">
        <x:v>In-store</x:v>
      </x:c>
      <x:c r="H954" s="7" t="n">
        <x:v>1</x:v>
      </x:c>
      <x:c r="I954" s="9" t="n">
        <x:v>22000</x:v>
      </x:c>
      <x:c r="J954" s="9" t="n">
        <x:v>13500</x:v>
      </x:c>
      <x:c r="K954" s="10" t="n">
        <x:v>0</x:v>
      </x:c>
      <x:c r="L954" s="2" t="str">
        <x:v>Completed</x:v>
      </x:c>
      <x:c r="M954" s="12" t="n">
        <x:f>H954*I954</x:f>
        <x:v>22000</x:v>
      </x:c>
      <x:c r="N954" s="12" t="n">
        <x:f>IF(L954="Completed",ROUND(M954*(1-K954),2),0)</x:f>
        <x:v>22000</x:v>
      </x:c>
      <x:c r="O954" s="12" t="n">
        <x:f>IF(L954="Completed",H954*J954,0)</x:f>
        <x:v>13500</x:v>
      </x:c>
      <x:c r="P954" s="12" t="n">
        <x:f>N954-O954</x:f>
        <x:v>8500</x:v>
      </x:c>
    </x:row>
    <x:row r="955" ht="21" customHeight="1">
      <x:c r="A955" s="7" t="n">
        <x:v>950</x:v>
      </x:c>
      <x:c r="B955" s="2" t="str">
        <x:v>TXN-00950</x:v>
      </x:c>
      <x:c r="C955" s="8" t="d">
        <x:v>2025-09-04T00:00:00.000Z</x:v>
      </x:c>
      <x:c r="D955" s="2" t="str">
        <x:v>Kano</x:v>
      </x:c>
      <x:c r="E955" s="2" t="str">
        <x:v>Home</x:v>
      </x:c>
      <x:c r="F955" s="2" t="str">
        <x:v>Cookware set</x:v>
      </x:c>
      <x:c r="G955" s="2" t="str">
        <x:v>In-store</x:v>
      </x:c>
      <x:c r="H955" s="7" t="n">
        <x:v>3</x:v>
      </x:c>
      <x:c r="I955" s="9" t="n">
        <x:v>35000</x:v>
      </x:c>
      <x:c r="J955" s="9" t="n">
        <x:v>22500</x:v>
      </x:c>
      <x:c r="K955" s="10" t="n">
        <x:v>0</x:v>
      </x:c>
      <x:c r="L955" s="2" t="str">
        <x:v>Completed</x:v>
      </x:c>
      <x:c r="M955" s="12" t="n">
        <x:f>H955*I955</x:f>
        <x:v>105000</x:v>
      </x:c>
      <x:c r="N955" s="12" t="n">
        <x:f>IF(L955="Completed",ROUND(M955*(1-K955),2),0)</x:f>
        <x:v>105000</x:v>
      </x:c>
      <x:c r="O955" s="12" t="n">
        <x:f>IF(L955="Completed",H955*J955,0)</x:f>
        <x:v>67500</x:v>
      </x:c>
      <x:c r="P955" s="12" t="n">
        <x:f>N955-O955</x:f>
        <x:v>37500</x:v>
      </x:c>
    </x:row>
    <x:row r="956" ht="21" customHeight="1">
      <x:c r="A956" s="7" t="n">
        <x:v>951</x:v>
      </x:c>
      <x:c r="B956" s="2" t="str">
        <x:v>TXN-00951</x:v>
      </x:c>
      <x:c r="C956" s="8" t="d">
        <x:v>2025-09-25T00:00:00.000Z</x:v>
      </x:c>
      <x:c r="D956" s="2" t="str">
        <x:v>Abuja</x:v>
      </x:c>
      <x:c r="E956" s="2" t="str">
        <x:v>Fashion</x:v>
      </x:c>
      <x:c r="F956" s="2" t="str">
        <x:v>Sneakers</x:v>
      </x:c>
      <x:c r="G956" s="2" t="str">
        <x:v>Online</x:v>
      </x:c>
      <x:c r="H956" s="7" t="n">
        <x:v>1</x:v>
      </x:c>
      <x:c r="I956" s="9" t="n">
        <x:v>28000</x:v>
      </x:c>
      <x:c r="J956" s="9" t="n">
        <x:v>17500</x:v>
      </x:c>
      <x:c r="K956" s="10" t="n">
        <x:v>0.05</x:v>
      </x:c>
      <x:c r="L956" s="2" t="str">
        <x:v>Completed</x:v>
      </x:c>
      <x:c r="M956" s="12" t="n">
        <x:f>H956*I956</x:f>
        <x:v>28000</x:v>
      </x:c>
      <x:c r="N956" s="12" t="n">
        <x:f>IF(L956="Completed",ROUND(M956*(1-K956),2),0)</x:f>
        <x:v>26600</x:v>
      </x:c>
      <x:c r="O956" s="12" t="n">
        <x:f>IF(L956="Completed",H956*J956,0)</x:f>
        <x:v>17500</x:v>
      </x:c>
      <x:c r="P956" s="12" t="n">
        <x:f>N956-O956</x:f>
        <x:v>9100</x:v>
      </x:c>
    </x:row>
    <x:row r="957" ht="21" customHeight="1">
      <x:c r="A957" s="7" t="n">
        <x:v>952</x:v>
      </x:c>
      <x:c r="B957" s="2" t="str">
        <x:v>TXN-00952</x:v>
      </x:c>
      <x:c r="C957" s="8" t="d">
        <x:v>2025-09-07T00:00:00.000Z</x:v>
      </x:c>
      <x:c r="D957" s="2" t="str">
        <x:v>Port Harcourt</x:v>
      </x:c>
      <x:c r="E957" s="2" t="str">
        <x:v>Electronics</x:v>
      </x:c>
      <x:c r="F957" s="2" t="str">
        <x:v>Power bank</x:v>
      </x:c>
      <x:c r="G957" s="2" t="str">
        <x:v>In-store</x:v>
      </x:c>
      <x:c r="H957" s="7" t="n">
        <x:v>1</x:v>
      </x:c>
      <x:c r="I957" s="9" t="n">
        <x:v>15000</x:v>
      </x:c>
      <x:c r="J957" s="9" t="n">
        <x:v>9500</x:v>
      </x:c>
      <x:c r="K957" s="10" t="n">
        <x:v>0</x:v>
      </x:c>
      <x:c r="L957" s="2" t="str">
        <x:v>Completed</x:v>
      </x:c>
      <x:c r="M957" s="12" t="n">
        <x:f>H957*I957</x:f>
        <x:v>15000</x:v>
      </x:c>
      <x:c r="N957" s="12" t="n">
        <x:f>IF(L957="Completed",ROUND(M957*(1-K957),2),0)</x:f>
        <x:v>15000</x:v>
      </x:c>
      <x:c r="O957" s="12" t="n">
        <x:f>IF(L957="Completed",H957*J957,0)</x:f>
        <x:v>9500</x:v>
      </x:c>
      <x:c r="P957" s="12" t="n">
        <x:f>N957-O957</x:f>
        <x:v>5500</x:v>
      </x:c>
    </x:row>
    <x:row r="958" ht="21" customHeight="1">
      <x:c r="A958" s="7" t="n">
        <x:v>953</x:v>
      </x:c>
      <x:c r="B958" s="2" t="str">
        <x:v>TXN-00953</x:v>
      </x:c>
      <x:c r="C958" s="8" t="d">
        <x:v>2025-09-10T00:00:00.000Z</x:v>
      </x:c>
      <x:c r="D958" s="2" t="str">
        <x:v>Port Harcourt</x:v>
      </x:c>
      <x:c r="E958" s="2" t="str">
        <x:v>Electronics</x:v>
      </x:c>
      <x:c r="F958" s="2" t="str">
        <x:v>Bluetooth speaker</x:v>
      </x:c>
      <x:c r="G958" s="2" t="str">
        <x:v>Online</x:v>
      </x:c>
      <x:c r="H958" s="7" t="n">
        <x:v>4</x:v>
      </x:c>
      <x:c r="I958" s="9" t="n">
        <x:v>26000</x:v>
      </x:c>
      <x:c r="J958" s="9" t="n">
        <x:v>17000</x:v>
      </x:c>
      <x:c r="K958" s="10" t="n">
        <x:v>0.05</x:v>
      </x:c>
      <x:c r="L958" s="2" t="str">
        <x:v>Completed</x:v>
      </x:c>
      <x:c r="M958" s="12" t="n">
        <x:f>H958*I958</x:f>
        <x:v>104000</x:v>
      </x:c>
      <x:c r="N958" s="12" t="n">
        <x:f>IF(L958="Completed",ROUND(M958*(1-K958),2),0)</x:f>
        <x:v>98800</x:v>
      </x:c>
      <x:c r="O958" s="12" t="n">
        <x:f>IF(L958="Completed",H958*J958,0)</x:f>
        <x:v>68000</x:v>
      </x:c>
      <x:c r="P958" s="12" t="n">
        <x:f>N958-O958</x:f>
        <x:v>30800</x:v>
      </x:c>
    </x:row>
    <x:row r="959" ht="21" customHeight="1">
      <x:c r="A959" s="7" t="n">
        <x:v>954</x:v>
      </x:c>
      <x:c r="B959" s="2" t="str">
        <x:v>TXN-00954</x:v>
      </x:c>
      <x:c r="C959" s="8" t="d">
        <x:v>2025-09-27T00:00:00.000Z</x:v>
      </x:c>
      <x:c r="D959" s="2" t="str">
        <x:v>Kano</x:v>
      </x:c>
      <x:c r="E959" s="2" t="str">
        <x:v>Beauty</x:v>
      </x:c>
      <x:c r="F959" s="2" t="str">
        <x:v>Perfume</x:v>
      </x:c>
      <x:c r="G959" s="2" t="str">
        <x:v>In-store</x:v>
      </x:c>
      <x:c r="H959" s="7" t="n">
        <x:v>2</x:v>
      </x:c>
      <x:c r="I959" s="9" t="n">
        <x:v>17000</x:v>
      </x:c>
      <x:c r="J959" s="9" t="n">
        <x:v>9000</x:v>
      </x:c>
      <x:c r="K959" s="10" t="n">
        <x:v>0</x:v>
      </x:c>
      <x:c r="L959" s="2" t="str">
        <x:v>Completed</x:v>
      </x:c>
      <x:c r="M959" s="12" t="n">
        <x:f>H959*I959</x:f>
        <x:v>34000</x:v>
      </x:c>
      <x:c r="N959" s="12" t="n">
        <x:f>IF(L959="Completed",ROUND(M959*(1-K959),2),0)</x:f>
        <x:v>34000</x:v>
      </x:c>
      <x:c r="O959" s="12" t="n">
        <x:f>IF(L959="Completed",H959*J959,0)</x:f>
        <x:v>18000</x:v>
      </x:c>
      <x:c r="P959" s="12" t="n">
        <x:f>N959-O959</x:f>
        <x:v>16000</x:v>
      </x:c>
    </x:row>
    <x:row r="960" ht="21" customHeight="1">
      <x:c r="A960" s="7" t="n">
        <x:v>955</x:v>
      </x:c>
      <x:c r="B960" s="2" t="str">
        <x:v>TXN-00955</x:v>
      </x:c>
      <x:c r="C960" s="8" t="d">
        <x:v>2025-09-06T00:00:00.000Z</x:v>
      </x:c>
      <x:c r="D960" s="2" t="str">
        <x:v>Kano</x:v>
      </x:c>
      <x:c r="E960" s="2" t="str">
        <x:v>Home</x:v>
      </x:c>
      <x:c r="F960" s="2" t="str">
        <x:v>Desk lamp</x:v>
      </x:c>
      <x:c r="G960" s="2" t="str">
        <x:v>Online</x:v>
      </x:c>
      <x:c r="H960" s="7" t="n">
        <x:v>2</x:v>
      </x:c>
      <x:c r="I960" s="9" t="n">
        <x:v>12000</x:v>
      </x:c>
      <x:c r="J960" s="9" t="n">
        <x:v>7200</x:v>
      </x:c>
      <x:c r="K960" s="10" t="n">
        <x:v>0.05</x:v>
      </x:c>
      <x:c r="L960" s="2" t="str">
        <x:v>Completed</x:v>
      </x:c>
      <x:c r="M960" s="12" t="n">
        <x:f>H960*I960</x:f>
        <x:v>24000</x:v>
      </x:c>
      <x:c r="N960" s="12" t="n">
        <x:f>IF(L960="Completed",ROUND(M960*(1-K960),2),0)</x:f>
        <x:v>22800</x:v>
      </x:c>
      <x:c r="O960" s="12" t="n">
        <x:f>IF(L960="Completed",H960*J960,0)</x:f>
        <x:v>14400</x:v>
      </x:c>
      <x:c r="P960" s="12" t="n">
        <x:f>N960-O960</x:f>
        <x:v>8400</x:v>
      </x:c>
    </x:row>
    <x:row r="961" ht="21" customHeight="1">
      <x:c r="A961" s="7" t="n">
        <x:v>956</x:v>
      </x:c>
      <x:c r="B961" s="2" t="str">
        <x:v>TXN-00956</x:v>
      </x:c>
      <x:c r="C961" s="8" t="d">
        <x:v>2025-09-28T00:00:00.000Z</x:v>
      </x:c>
      <x:c r="D961" s="2" t="str">
        <x:v>Lagos</x:v>
      </x:c>
      <x:c r="E961" s="2" t="str">
        <x:v>Home</x:v>
      </x:c>
      <x:c r="F961" s="2" t="str">
        <x:v>Desk lamp</x:v>
      </x:c>
      <x:c r="G961" s="2" t="str">
        <x:v>Online</x:v>
      </x:c>
      <x:c r="H961" s="7" t="n">
        <x:v>2</x:v>
      </x:c>
      <x:c r="I961" s="9" t="n">
        <x:v>12000</x:v>
      </x:c>
      <x:c r="J961" s="9" t="n">
        <x:v>7200</x:v>
      </x:c>
      <x:c r="K961" s="10" t="n">
        <x:v>0</x:v>
      </x:c>
      <x:c r="L961" s="2" t="str">
        <x:v>Completed</x:v>
      </x:c>
      <x:c r="M961" s="12" t="n">
        <x:f>H961*I961</x:f>
        <x:v>24000</x:v>
      </x:c>
      <x:c r="N961" s="12" t="n">
        <x:f>IF(L961="Completed",ROUND(M961*(1-K961),2),0)</x:f>
        <x:v>24000</x:v>
      </x:c>
      <x:c r="O961" s="12" t="n">
        <x:f>IF(L961="Completed",H961*J961,0)</x:f>
        <x:v>14400</x:v>
      </x:c>
      <x:c r="P961" s="12" t="n">
        <x:f>N961-O961</x:f>
        <x:v>9600</x:v>
      </x:c>
    </x:row>
    <x:row r="962" ht="21" customHeight="1">
      <x:c r="A962" s="7" t="n">
        <x:v>957</x:v>
      </x:c>
      <x:c r="B962" s="2" t="str">
        <x:v>TXN-00957</x:v>
      </x:c>
      <x:c r="C962" s="8" t="d">
        <x:v>2025-09-25T00:00:00.000Z</x:v>
      </x:c>
      <x:c r="D962" s="2" t="str">
        <x:v>Lagos</x:v>
      </x:c>
      <x:c r="E962" s="2" t="str">
        <x:v>Home</x:v>
      </x:c>
      <x:c r="F962" s="2" t="str">
        <x:v>Cookware set</x:v>
      </x:c>
      <x:c r="G962" s="2" t="str">
        <x:v>In-store</x:v>
      </x:c>
      <x:c r="H962" s="7" t="n">
        <x:v>1</x:v>
      </x:c>
      <x:c r="I962" s="9" t="n">
        <x:v>35000</x:v>
      </x:c>
      <x:c r="J962" s="9" t="n">
        <x:v>22500</x:v>
      </x:c>
      <x:c r="K962" s="10" t="n">
        <x:v>0</x:v>
      </x:c>
      <x:c r="L962" s="2" t="str">
        <x:v>Completed</x:v>
      </x:c>
      <x:c r="M962" s="12" t="n">
        <x:f>H962*I962</x:f>
        <x:v>35000</x:v>
      </x:c>
      <x:c r="N962" s="12" t="n">
        <x:f>IF(L962="Completed",ROUND(M962*(1-K962),2),0)</x:f>
        <x:v>35000</x:v>
      </x:c>
      <x:c r="O962" s="12" t="n">
        <x:f>IF(L962="Completed",H962*J962,0)</x:f>
        <x:v>22500</x:v>
      </x:c>
      <x:c r="P962" s="12" t="n">
        <x:f>N962-O962</x:f>
        <x:v>12500</x:v>
      </x:c>
    </x:row>
    <x:row r="963" ht="21" customHeight="1">
      <x:c r="A963" s="7" t="n">
        <x:v>958</x:v>
      </x:c>
      <x:c r="B963" s="2" t="str">
        <x:v>TXN-00958</x:v>
      </x:c>
      <x:c r="C963" s="8" t="d">
        <x:v>2025-09-20T00:00:00.000Z</x:v>
      </x:c>
      <x:c r="D963" s="2" t="str">
        <x:v>Lagos</x:v>
      </x:c>
      <x:c r="E963" s="2" t="str">
        <x:v>Fashion</x:v>
      </x:c>
      <x:c r="F963" s="2" t="str">
        <x:v>T-shirt</x:v>
      </x:c>
      <x:c r="G963" s="2" t="str">
        <x:v>Online</x:v>
      </x:c>
      <x:c r="H963" s="7" t="n">
        <x:v>2</x:v>
      </x:c>
      <x:c r="I963" s="9" t="n">
        <x:v>9000</x:v>
      </x:c>
      <x:c r="J963" s="9" t="n">
        <x:v>5000</x:v>
      </x:c>
      <x:c r="K963" s="10" t="n">
        <x:v>0</x:v>
      </x:c>
      <x:c r="L963" s="2" t="str">
        <x:v>Completed</x:v>
      </x:c>
      <x:c r="M963" s="12" t="n">
        <x:f>H963*I963</x:f>
        <x:v>18000</x:v>
      </x:c>
      <x:c r="N963" s="12" t="n">
        <x:f>IF(L963="Completed",ROUND(M963*(1-K963),2),0)</x:f>
        <x:v>18000</x:v>
      </x:c>
      <x:c r="O963" s="12" t="n">
        <x:f>IF(L963="Completed",H963*J963,0)</x:f>
        <x:v>10000</x:v>
      </x:c>
      <x:c r="P963" s="12" t="n">
        <x:f>N963-O963</x:f>
        <x:v>8000</x:v>
      </x:c>
    </x:row>
    <x:row r="964" ht="21" customHeight="1">
      <x:c r="A964" s="7" t="n">
        <x:v>959</x:v>
      </x:c>
      <x:c r="B964" s="2" t="str">
        <x:v>TXN-00959</x:v>
      </x:c>
      <x:c r="C964" s="8" t="d">
        <x:v>2025-09-13T00:00:00.000Z</x:v>
      </x:c>
      <x:c r="D964" s="2" t="str">
        <x:v>Kano</x:v>
      </x:c>
      <x:c r="E964" s="2" t="str">
        <x:v>Beauty</x:v>
      </x:c>
      <x:c r="F964" s="2" t="str">
        <x:v>Body wash</x:v>
      </x:c>
      <x:c r="G964" s="2" t="str">
        <x:v>In-store</x:v>
      </x:c>
      <x:c r="H964" s="7" t="n">
        <x:v>1</x:v>
      </x:c>
      <x:c r="I964" s="9" t="n">
        <x:v>4500</x:v>
      </x:c>
      <x:c r="J964" s="9" t="n">
        <x:v>2300</x:v>
      </x:c>
      <x:c r="K964" s="10" t="n">
        <x:v>0</x:v>
      </x:c>
      <x:c r="L964" s="2" t="str">
        <x:v>Completed</x:v>
      </x:c>
      <x:c r="M964" s="12" t="n">
        <x:f>H964*I964</x:f>
        <x:v>4500</x:v>
      </x:c>
      <x:c r="N964" s="12" t="n">
        <x:f>IF(L964="Completed",ROUND(M964*(1-K964),2),0)</x:f>
        <x:v>4500</x:v>
      </x:c>
      <x:c r="O964" s="12" t="n">
        <x:f>IF(L964="Completed",H964*J964,0)</x:f>
        <x:v>2300</x:v>
      </x:c>
      <x:c r="P964" s="12" t="n">
        <x:f>N964-O964</x:f>
        <x:v>2200</x:v>
      </x:c>
    </x:row>
    <x:row r="965" ht="21" customHeight="1">
      <x:c r="A965" s="7" t="n">
        <x:v>960</x:v>
      </x:c>
      <x:c r="B965" s="2" t="str">
        <x:v>TXN-00960</x:v>
      </x:c>
      <x:c r="C965" s="8" t="d">
        <x:v>2025-09-26T00:00:00.000Z</x:v>
      </x:c>
      <x:c r="D965" s="2" t="str">
        <x:v>Lagos</x:v>
      </x:c>
      <x:c r="E965" s="2" t="str">
        <x:v>Electronics</x:v>
      </x:c>
      <x:c r="F965" s="2" t="str">
        <x:v>Bluetooth speaker</x:v>
      </x:c>
      <x:c r="G965" s="2" t="str">
        <x:v>Online</x:v>
      </x:c>
      <x:c r="H965" s="7" t="n">
        <x:v>1</x:v>
      </x:c>
      <x:c r="I965" s="9" t="n">
        <x:v>26000</x:v>
      </x:c>
      <x:c r="J965" s="9" t="n">
        <x:v>17000</x:v>
      </x:c>
      <x:c r="K965" s="10" t="n">
        <x:v>0</x:v>
      </x:c>
      <x:c r="L965" s="2" t="str">
        <x:v>Completed</x:v>
      </x:c>
      <x:c r="M965" s="12" t="n">
        <x:f>H965*I965</x:f>
        <x:v>26000</x:v>
      </x:c>
      <x:c r="N965" s="12" t="n">
        <x:f>IF(L965="Completed",ROUND(M965*(1-K965),2),0)</x:f>
        <x:v>26000</x:v>
      </x:c>
      <x:c r="O965" s="12" t="n">
        <x:f>IF(L965="Completed",H965*J965,0)</x:f>
        <x:v>17000</x:v>
      </x:c>
      <x:c r="P965" s="12" t="n">
        <x:f>N965-O965</x:f>
        <x:v>9000</x:v>
      </x:c>
    </x:row>
    <x:row r="966" ht="21" customHeight="1">
      <x:c r="A966" s="7" t="n">
        <x:v>961</x:v>
      </x:c>
      <x:c r="B966" s="2" t="str">
        <x:v>TXN-00961</x:v>
      </x:c>
      <x:c r="C966" s="8" t="d">
        <x:v>2025-09-14T00:00:00.000Z</x:v>
      </x:c>
      <x:c r="D966" s="2" t="str">
        <x:v>Port Harcourt</x:v>
      </x:c>
      <x:c r="E966" s="2" t="str">
        <x:v>Electronics</x:v>
      </x:c>
      <x:c r="F966" s="2" t="str">
        <x:v>Headphones</x:v>
      </x:c>
      <x:c r="G966" s="2" t="str">
        <x:v>Online</x:v>
      </x:c>
      <x:c r="H966" s="7" t="n">
        <x:v>1</x:v>
      </x:c>
      <x:c r="I966" s="9" t="n">
        <x:v>18000</x:v>
      </x:c>
      <x:c r="J966" s="9" t="n">
        <x:v>10500</x:v>
      </x:c>
      <x:c r="K966" s="10" t="n">
        <x:v>0.05</x:v>
      </x:c>
      <x:c r="L966" s="2" t="str">
        <x:v>Completed</x:v>
      </x:c>
      <x:c r="M966" s="12" t="n">
        <x:f>H966*I966</x:f>
        <x:v>18000</x:v>
      </x:c>
      <x:c r="N966" s="12" t="n">
        <x:f>IF(L966="Completed",ROUND(M966*(1-K966),2),0)</x:f>
        <x:v>17100</x:v>
      </x:c>
      <x:c r="O966" s="12" t="n">
        <x:f>IF(L966="Completed",H966*J966,0)</x:f>
        <x:v>10500</x:v>
      </x:c>
      <x:c r="P966" s="12" t="n">
        <x:f>N966-O966</x:f>
        <x:v>6600</x:v>
      </x:c>
    </x:row>
    <x:row r="967" ht="21" customHeight="1">
      <x:c r="A967" s="7" t="n">
        <x:v>962</x:v>
      </x:c>
      <x:c r="B967" s="2" t="str">
        <x:v>TXN-00962</x:v>
      </x:c>
      <x:c r="C967" s="8" t="d">
        <x:v>2025-09-30T00:00:00.000Z</x:v>
      </x:c>
      <x:c r="D967" s="2" t="str">
        <x:v>Lagos</x:v>
      </x:c>
      <x:c r="E967" s="2" t="str">
        <x:v>Home</x:v>
      </x:c>
      <x:c r="F967" s="2" t="str">
        <x:v>Cookware set</x:v>
      </x:c>
      <x:c r="G967" s="2" t="str">
        <x:v>Online</x:v>
      </x:c>
      <x:c r="H967" s="7" t="n">
        <x:v>1</x:v>
      </x:c>
      <x:c r="I967" s="9" t="n">
        <x:v>35000</x:v>
      </x:c>
      <x:c r="J967" s="9" t="n">
        <x:v>22500</x:v>
      </x:c>
      <x:c r="K967" s="10" t="n">
        <x:v>0.05</x:v>
      </x:c>
      <x:c r="L967" s="2" t="str">
        <x:v>Completed</x:v>
      </x:c>
      <x:c r="M967" s="12" t="n">
        <x:f>H967*I967</x:f>
        <x:v>35000</x:v>
      </x:c>
      <x:c r="N967" s="12" t="n">
        <x:f>IF(L967="Completed",ROUND(M967*(1-K967),2),0)</x:f>
        <x:v>33250</x:v>
      </x:c>
      <x:c r="O967" s="12" t="n">
        <x:f>IF(L967="Completed",H967*J967,0)</x:f>
        <x:v>22500</x:v>
      </x:c>
      <x:c r="P967" s="12" t="n">
        <x:f>N967-O967</x:f>
        <x:v>10750</x:v>
      </x:c>
    </x:row>
    <x:row r="968" ht="21" customHeight="1">
      <x:c r="A968" s="7" t="n">
        <x:v>963</x:v>
      </x:c>
      <x:c r="B968" s="2" t="str">
        <x:v>TXN-00963</x:v>
      </x:c>
      <x:c r="C968" s="8" t="d">
        <x:v>2025-09-29T00:00:00.000Z</x:v>
      </x:c>
      <x:c r="D968" s="2" t="str">
        <x:v>Port Harcourt</x:v>
      </x:c>
      <x:c r="E968" s="2" t="str">
        <x:v>Electronics</x:v>
      </x:c>
      <x:c r="F968" s="2" t="str">
        <x:v>Power bank</x:v>
      </x:c>
      <x:c r="G968" s="2" t="str">
        <x:v>In-store</x:v>
      </x:c>
      <x:c r="H968" s="7" t="n">
        <x:v>1</x:v>
      </x:c>
      <x:c r="I968" s="9" t="n">
        <x:v>15000</x:v>
      </x:c>
      <x:c r="J968" s="9" t="n">
        <x:v>9500</x:v>
      </x:c>
      <x:c r="K968" s="10" t="n">
        <x:v>0.15</x:v>
      </x:c>
      <x:c r="L968" s="2" t="str">
        <x:v>Completed</x:v>
      </x:c>
      <x:c r="M968" s="12" t="n">
        <x:f>H968*I968</x:f>
        <x:v>15000</x:v>
      </x:c>
      <x:c r="N968" s="12" t="n">
        <x:f>IF(L968="Completed",ROUND(M968*(1-K968),2),0)</x:f>
        <x:v>12750</x:v>
      </x:c>
      <x:c r="O968" s="12" t="n">
        <x:f>IF(L968="Completed",H968*J968,0)</x:f>
        <x:v>9500</x:v>
      </x:c>
      <x:c r="P968" s="12" t="n">
        <x:f>N968-O968</x:f>
        <x:v>3250</x:v>
      </x:c>
    </x:row>
    <x:row r="969" ht="21" customHeight="1">
      <x:c r="A969" s="7" t="n">
        <x:v>964</x:v>
      </x:c>
      <x:c r="B969" s="2" t="str">
        <x:v>TXN-00964</x:v>
      </x:c>
      <x:c r="C969" s="8" t="d">
        <x:v>2025-09-29T00:00:00.000Z</x:v>
      </x:c>
      <x:c r="D969" s="2" t="str">
        <x:v>Abuja</x:v>
      </x:c>
      <x:c r="E969" s="2" t="str">
        <x:v>Beauty</x:v>
      </x:c>
      <x:c r="F969" s="2" t="str">
        <x:v>Body wash</x:v>
      </x:c>
      <x:c r="G969" s="2" t="str">
        <x:v>Online</x:v>
      </x:c>
      <x:c r="H969" s="7" t="n">
        <x:v>2</x:v>
      </x:c>
      <x:c r="I969" s="9" t="n">
        <x:v>4500</x:v>
      </x:c>
      <x:c r="J969" s="9" t="n">
        <x:v>2300</x:v>
      </x:c>
      <x:c r="K969" s="10" t="n">
        <x:v>0</x:v>
      </x:c>
      <x:c r="L969" s="2" t="str">
        <x:v>Completed</x:v>
      </x:c>
      <x:c r="M969" s="12" t="n">
        <x:f>H969*I969</x:f>
        <x:v>9000</x:v>
      </x:c>
      <x:c r="N969" s="12" t="n">
        <x:f>IF(L969="Completed",ROUND(M969*(1-K969),2),0)</x:f>
        <x:v>9000</x:v>
      </x:c>
      <x:c r="O969" s="12" t="n">
        <x:f>IF(L969="Completed",H969*J969,0)</x:f>
        <x:v>4600</x:v>
      </x:c>
      <x:c r="P969" s="12" t="n">
        <x:f>N969-O969</x:f>
        <x:v>4400</x:v>
      </x:c>
    </x:row>
    <x:row r="970" ht="21" customHeight="1">
      <x:c r="A970" s="7" t="n">
        <x:v>965</x:v>
      </x:c>
      <x:c r="B970" s="2" t="str">
        <x:v>TXN-00965</x:v>
      </x:c>
      <x:c r="C970" s="8" t="d">
        <x:v>2025-09-03T00:00:00.000Z</x:v>
      </x:c>
      <x:c r="D970" s="2" t="str">
        <x:v>Abuja</x:v>
      </x:c>
      <x:c r="E970" s="2" t="str">
        <x:v>Electronics</x:v>
      </x:c>
      <x:c r="F970" s="2" t="str">
        <x:v>Headphones</x:v>
      </x:c>
      <x:c r="G970" s="2" t="str">
        <x:v>Online</x:v>
      </x:c>
      <x:c r="H970" s="7" t="n">
        <x:v>1</x:v>
      </x:c>
      <x:c r="I970" s="9" t="n">
        <x:v>18000</x:v>
      </x:c>
      <x:c r="J970" s="9" t="n">
        <x:v>10500</x:v>
      </x:c>
      <x:c r="K970" s="10" t="n">
        <x:v>0</x:v>
      </x:c>
      <x:c r="L970" s="2" t="str">
        <x:v>Completed</x:v>
      </x:c>
      <x:c r="M970" s="12" t="n">
        <x:f>H970*I970</x:f>
        <x:v>18000</x:v>
      </x:c>
      <x:c r="N970" s="12" t="n">
        <x:f>IF(L970="Completed",ROUND(M970*(1-K970),2),0)</x:f>
        <x:v>18000</x:v>
      </x:c>
      <x:c r="O970" s="12" t="n">
        <x:f>IF(L970="Completed",H970*J970,0)</x:f>
        <x:v>10500</x:v>
      </x:c>
      <x:c r="P970" s="12" t="n">
        <x:f>N970-O970</x:f>
        <x:v>7500</x:v>
      </x:c>
    </x:row>
    <x:row r="971" ht="21" customHeight="1">
      <x:c r="A971" s="7" t="n">
        <x:v>966</x:v>
      </x:c>
      <x:c r="B971" s="2" t="str">
        <x:v>TXN-00966</x:v>
      </x:c>
      <x:c r="C971" s="8" t="d">
        <x:v>2025-09-27T00:00:00.000Z</x:v>
      </x:c>
      <x:c r="D971" s="2" t="str">
        <x:v>Lagos</x:v>
      </x:c>
      <x:c r="E971" s="2" t="str">
        <x:v>Fashion</x:v>
      </x:c>
      <x:c r="F971" s="2" t="str">
        <x:v>Sneakers</x:v>
      </x:c>
      <x:c r="G971" s="2" t="str">
        <x:v>Online</x:v>
      </x:c>
      <x:c r="H971" s="7" t="n">
        <x:v>1</x:v>
      </x:c>
      <x:c r="I971" s="9" t="n">
        <x:v>28000</x:v>
      </x:c>
      <x:c r="J971" s="9" t="n">
        <x:v>17500</x:v>
      </x:c>
      <x:c r="K971" s="10" t="n">
        <x:v>0</x:v>
      </x:c>
      <x:c r="L971" s="2" t="str">
        <x:v>Completed</x:v>
      </x:c>
      <x:c r="M971" s="12" t="n">
        <x:f>H971*I971</x:f>
        <x:v>28000</x:v>
      </x:c>
      <x:c r="N971" s="12" t="n">
        <x:f>IF(L971="Completed",ROUND(M971*(1-K971),2),0)</x:f>
        <x:v>28000</x:v>
      </x:c>
      <x:c r="O971" s="12" t="n">
        <x:f>IF(L971="Completed",H971*J971,0)</x:f>
        <x:v>17500</x:v>
      </x:c>
      <x:c r="P971" s="12" t="n">
        <x:f>N971-O971</x:f>
        <x:v>10500</x:v>
      </x:c>
    </x:row>
    <x:row r="972" ht="21" customHeight="1">
      <x:c r="A972" s="7" t="n">
        <x:v>967</x:v>
      </x:c>
      <x:c r="B972" s="2" t="str">
        <x:v>TXN-00967</x:v>
      </x:c>
      <x:c r="C972" s="8" t="d">
        <x:v>2025-09-21T00:00:00.000Z</x:v>
      </x:c>
      <x:c r="D972" s="2" t="str">
        <x:v>Lagos</x:v>
      </x:c>
      <x:c r="E972" s="2" t="str">
        <x:v>Fashion</x:v>
      </x:c>
      <x:c r="F972" s="2" t="str">
        <x:v>Sneakers</x:v>
      </x:c>
      <x:c r="G972" s="2" t="str">
        <x:v>In-store</x:v>
      </x:c>
      <x:c r="H972" s="7" t="n">
        <x:v>1</x:v>
      </x:c>
      <x:c r="I972" s="9" t="n">
        <x:v>28000</x:v>
      </x:c>
      <x:c r="J972" s="9" t="n">
        <x:v>17500</x:v>
      </x:c>
      <x:c r="K972" s="10" t="n">
        <x:v>0</x:v>
      </x:c>
      <x:c r="L972" s="2" t="str">
        <x:v>Completed</x:v>
      </x:c>
      <x:c r="M972" s="12" t="n">
        <x:f>H972*I972</x:f>
        <x:v>28000</x:v>
      </x:c>
      <x:c r="N972" s="12" t="n">
        <x:f>IF(L972="Completed",ROUND(M972*(1-K972),2),0)</x:f>
        <x:v>28000</x:v>
      </x:c>
      <x:c r="O972" s="12" t="n">
        <x:f>IF(L972="Completed",H972*J972,0)</x:f>
        <x:v>17500</x:v>
      </x:c>
      <x:c r="P972" s="12" t="n">
        <x:f>N972-O972</x:f>
        <x:v>10500</x:v>
      </x:c>
    </x:row>
    <x:row r="973" ht="21" customHeight="1">
      <x:c r="A973" s="7" t="n">
        <x:v>968</x:v>
      </x:c>
      <x:c r="B973" s="2" t="str">
        <x:v>TXN-00968</x:v>
      </x:c>
      <x:c r="C973" s="8" t="d">
        <x:v>2025-09-23T00:00:00.000Z</x:v>
      </x:c>
      <x:c r="D973" s="2" t="str">
        <x:v>Abuja</x:v>
      </x:c>
      <x:c r="E973" s="2" t="str">
        <x:v>Electronics</x:v>
      </x:c>
      <x:c r="F973" s="2" t="str">
        <x:v>Bluetooth speaker</x:v>
      </x:c>
      <x:c r="G973" s="2" t="str">
        <x:v>Online</x:v>
      </x:c>
      <x:c r="H973" s="7" t="n">
        <x:v>1</x:v>
      </x:c>
      <x:c r="I973" s="9" t="n">
        <x:v>26000</x:v>
      </x:c>
      <x:c r="J973" s="9" t="n">
        <x:v>17000</x:v>
      </x:c>
      <x:c r="K973" s="10" t="n">
        <x:v>0.05</x:v>
      </x:c>
      <x:c r="L973" s="2" t="str">
        <x:v>Completed</x:v>
      </x:c>
      <x:c r="M973" s="12" t="n">
        <x:f>H973*I973</x:f>
        <x:v>26000</x:v>
      </x:c>
      <x:c r="N973" s="12" t="n">
        <x:f>IF(L973="Completed",ROUND(M973*(1-K973),2),0)</x:f>
        <x:v>24700</x:v>
      </x:c>
      <x:c r="O973" s="12" t="n">
        <x:f>IF(L973="Completed",H973*J973,0)</x:f>
        <x:v>17000</x:v>
      </x:c>
      <x:c r="P973" s="12" t="n">
        <x:f>N973-O973</x:f>
        <x:v>7700</x:v>
      </x:c>
    </x:row>
    <x:row r="974" ht="21" customHeight="1">
      <x:c r="A974" s="7" t="n">
        <x:v>969</x:v>
      </x:c>
      <x:c r="B974" s="2" t="str">
        <x:v>TXN-00969</x:v>
      </x:c>
      <x:c r="C974" s="8" t="d">
        <x:v>2025-09-20T00:00:00.000Z</x:v>
      </x:c>
      <x:c r="D974" s="2" t="str">
        <x:v>Abuja</x:v>
      </x:c>
      <x:c r="E974" s="2" t="str">
        <x:v>Beauty</x:v>
      </x:c>
      <x:c r="F974" s="2" t="str">
        <x:v>Perfume</x:v>
      </x:c>
      <x:c r="G974" s="2" t="str">
        <x:v>In-store</x:v>
      </x:c>
      <x:c r="H974" s="7" t="n">
        <x:v>2</x:v>
      </x:c>
      <x:c r="I974" s="9" t="n">
        <x:v>17000</x:v>
      </x:c>
      <x:c r="J974" s="9" t="n">
        <x:v>9000</x:v>
      </x:c>
      <x:c r="K974" s="10" t="n">
        <x:v>0</x:v>
      </x:c>
      <x:c r="L974" s="2" t="str">
        <x:v>Completed</x:v>
      </x:c>
      <x:c r="M974" s="12" t="n">
        <x:f>H974*I974</x:f>
        <x:v>34000</x:v>
      </x:c>
      <x:c r="N974" s="12" t="n">
        <x:f>IF(L974="Completed",ROUND(M974*(1-K974),2),0)</x:f>
        <x:v>34000</x:v>
      </x:c>
      <x:c r="O974" s="12" t="n">
        <x:f>IF(L974="Completed",H974*J974,0)</x:f>
        <x:v>18000</x:v>
      </x:c>
      <x:c r="P974" s="12" t="n">
        <x:f>N974-O974</x:f>
        <x:v>16000</x:v>
      </x:c>
    </x:row>
    <x:row r="975" ht="21" customHeight="1">
      <x:c r="A975" s="7" t="n">
        <x:v>970</x:v>
      </x:c>
      <x:c r="B975" s="2" t="str">
        <x:v>TXN-00970</x:v>
      </x:c>
      <x:c r="C975" s="8" t="d">
        <x:v>2025-09-19T00:00:00.000Z</x:v>
      </x:c>
      <x:c r="D975" s="2" t="str">
        <x:v>Abuja</x:v>
      </x:c>
      <x:c r="E975" s="2" t="str">
        <x:v>Electronics</x:v>
      </x:c>
      <x:c r="F975" s="2" t="str">
        <x:v>Bluetooth speaker</x:v>
      </x:c>
      <x:c r="G975" s="2" t="str">
        <x:v>Online</x:v>
      </x:c>
      <x:c r="H975" s="7" t="n">
        <x:v>2</x:v>
      </x:c>
      <x:c r="I975" s="9" t="n">
        <x:v>26000</x:v>
      </x:c>
      <x:c r="J975" s="9" t="n">
        <x:v>17000</x:v>
      </x:c>
      <x:c r="K975" s="10" t="n">
        <x:v>0</x:v>
      </x:c>
      <x:c r="L975" s="2" t="str">
        <x:v>Completed</x:v>
      </x:c>
      <x:c r="M975" s="12" t="n">
        <x:f>H975*I975</x:f>
        <x:v>52000</x:v>
      </x:c>
      <x:c r="N975" s="12" t="n">
        <x:f>IF(L975="Completed",ROUND(M975*(1-K975),2),0)</x:f>
        <x:v>52000</x:v>
      </x:c>
      <x:c r="O975" s="12" t="n">
        <x:f>IF(L975="Completed",H975*J975,0)</x:f>
        <x:v>34000</x:v>
      </x:c>
      <x:c r="P975" s="12" t="n">
        <x:f>N975-O975</x:f>
        <x:v>18000</x:v>
      </x:c>
    </x:row>
    <x:row r="976" ht="21" customHeight="1">
      <x:c r="A976" s="7" t="n">
        <x:v>971</x:v>
      </x:c>
      <x:c r="B976" s="2" t="str">
        <x:v>TXN-00971</x:v>
      </x:c>
      <x:c r="C976" s="8" t="d">
        <x:v>2025-09-11T00:00:00.000Z</x:v>
      </x:c>
      <x:c r="D976" s="2" t="str">
        <x:v>Lagos</x:v>
      </x:c>
      <x:c r="E976" s="2" t="str">
        <x:v>Electronics</x:v>
      </x:c>
      <x:c r="F976" s="2" t="str">
        <x:v>Bluetooth speaker</x:v>
      </x:c>
      <x:c r="G976" s="2" t="str">
        <x:v>Online</x:v>
      </x:c>
      <x:c r="H976" s="7" t="n">
        <x:v>1</x:v>
      </x:c>
      <x:c r="I976" s="9" t="n">
        <x:v>26000</x:v>
      </x:c>
      <x:c r="J976" s="9" t="n">
        <x:v>17000</x:v>
      </x:c>
      <x:c r="K976" s="10" t="n">
        <x:v>0.1</x:v>
      </x:c>
      <x:c r="L976" s="2" t="str">
        <x:v>Completed</x:v>
      </x:c>
      <x:c r="M976" s="12" t="n">
        <x:f>H976*I976</x:f>
        <x:v>26000</x:v>
      </x:c>
      <x:c r="N976" s="12" t="n">
        <x:f>IF(L976="Completed",ROUND(M976*(1-K976),2),0)</x:f>
        <x:v>23400</x:v>
      </x:c>
      <x:c r="O976" s="12" t="n">
        <x:f>IF(L976="Completed",H976*J976,0)</x:f>
        <x:v>17000</x:v>
      </x:c>
      <x:c r="P976" s="12" t="n">
        <x:f>N976-O976</x:f>
        <x:v>6400</x:v>
      </x:c>
    </x:row>
    <x:row r="977" ht="21" customHeight="1">
      <x:c r="A977" s="7" t="n">
        <x:v>972</x:v>
      </x:c>
      <x:c r="B977" s="2" t="str">
        <x:v>TXN-00972</x:v>
      </x:c>
      <x:c r="C977" s="8" t="d">
        <x:v>2025-09-19T00:00:00.000Z</x:v>
      </x:c>
      <x:c r="D977" s="2" t="str">
        <x:v>Abuja</x:v>
      </x:c>
      <x:c r="E977" s="2" t="str">
        <x:v>Beauty</x:v>
      </x:c>
      <x:c r="F977" s="2" t="str">
        <x:v>Perfume</x:v>
      </x:c>
      <x:c r="G977" s="2" t="str">
        <x:v>In-store</x:v>
      </x:c>
      <x:c r="H977" s="7" t="n">
        <x:v>2</x:v>
      </x:c>
      <x:c r="I977" s="9" t="n">
        <x:v>17000</x:v>
      </x:c>
      <x:c r="J977" s="9" t="n">
        <x:v>9000</x:v>
      </x:c>
      <x:c r="K977" s="10" t="n">
        <x:v>0</x:v>
      </x:c>
      <x:c r="L977" s="2" t="str">
        <x:v>Returned</x:v>
      </x:c>
      <x:c r="M977" s="12" t="n">
        <x:f>H977*I977</x:f>
        <x:v>34000</x:v>
      </x:c>
      <x:c r="N977" s="12" t="n">
        <x:f>IF(L977="Completed",ROUND(M977*(1-K977),2),0)</x:f>
        <x:v>0</x:v>
      </x:c>
      <x:c r="O977" s="12" t="n">
        <x:f>IF(L977="Completed",H977*J977,0)</x:f>
        <x:v>0</x:v>
      </x:c>
      <x:c r="P977" s="12" t="n">
        <x:f>N977-O977</x:f>
        <x:v>0</x:v>
      </x:c>
    </x:row>
    <x:row r="978" ht="21" customHeight="1">
      <x:c r="A978" s="7" t="n">
        <x:v>973</x:v>
      </x:c>
      <x:c r="B978" s="2" t="str">
        <x:v>TXN-00973</x:v>
      </x:c>
      <x:c r="C978" s="8" t="d">
        <x:v>2025-09-12T00:00:00.000Z</x:v>
      </x:c>
      <x:c r="D978" s="2" t="str">
        <x:v>Kano</x:v>
      </x:c>
      <x:c r="E978" s="2" t="str">
        <x:v>Fashion</x:v>
      </x:c>
      <x:c r="F978" s="2" t="str">
        <x:v>Handbag</x:v>
      </x:c>
      <x:c r="G978" s="2" t="str">
        <x:v>Online</x:v>
      </x:c>
      <x:c r="H978" s="7" t="n">
        <x:v>1</x:v>
      </x:c>
      <x:c r="I978" s="9" t="n">
        <x:v>22000</x:v>
      </x:c>
      <x:c r="J978" s="9" t="n">
        <x:v>13500</x:v>
      </x:c>
      <x:c r="K978" s="10" t="n">
        <x:v>0.15</x:v>
      </x:c>
      <x:c r="L978" s="2" t="str">
        <x:v>Completed</x:v>
      </x:c>
      <x:c r="M978" s="12" t="n">
        <x:f>H978*I978</x:f>
        <x:v>22000</x:v>
      </x:c>
      <x:c r="N978" s="12" t="n">
        <x:f>IF(L978="Completed",ROUND(M978*(1-K978),2),0)</x:f>
        <x:v>18700</x:v>
      </x:c>
      <x:c r="O978" s="12" t="n">
        <x:f>IF(L978="Completed",H978*J978,0)</x:f>
        <x:v>13500</x:v>
      </x:c>
      <x:c r="P978" s="12" t="n">
        <x:f>N978-O978</x:f>
        <x:v>5200</x:v>
      </x:c>
    </x:row>
    <x:row r="979" ht="21" customHeight="1">
      <x:c r="A979" s="7" t="n">
        <x:v>974</x:v>
      </x:c>
      <x:c r="B979" s="2" t="str">
        <x:v>TXN-00974</x:v>
      </x:c>
      <x:c r="C979" s="8" t="d">
        <x:v>2025-09-21T00:00:00.000Z</x:v>
      </x:c>
      <x:c r="D979" s="2" t="str">
        <x:v>Abuja</x:v>
      </x:c>
      <x:c r="E979" s="2" t="str">
        <x:v>Beauty</x:v>
      </x:c>
      <x:c r="F979" s="2" t="str">
        <x:v>Body wash</x:v>
      </x:c>
      <x:c r="G979" s="2" t="str">
        <x:v>In-store</x:v>
      </x:c>
      <x:c r="H979" s="7" t="n">
        <x:v>1</x:v>
      </x:c>
      <x:c r="I979" s="9" t="n">
        <x:v>4500</x:v>
      </x:c>
      <x:c r="J979" s="9" t="n">
        <x:v>2300</x:v>
      </x:c>
      <x:c r="K979" s="10" t="n">
        <x:v>0.05</x:v>
      </x:c>
      <x:c r="L979" s="2" t="str">
        <x:v>Completed</x:v>
      </x:c>
      <x:c r="M979" s="12" t="n">
        <x:f>H979*I979</x:f>
        <x:v>4500</x:v>
      </x:c>
      <x:c r="N979" s="12" t="n">
        <x:f>IF(L979="Completed",ROUND(M979*(1-K979),2),0)</x:f>
        <x:v>4275</x:v>
      </x:c>
      <x:c r="O979" s="12" t="n">
        <x:f>IF(L979="Completed",H979*J979,0)</x:f>
        <x:v>2300</x:v>
      </x:c>
      <x:c r="P979" s="12" t="n">
        <x:f>N979-O979</x:f>
        <x:v>1975</x:v>
      </x:c>
    </x:row>
    <x:row r="980" ht="21" customHeight="1">
      <x:c r="A980" s="7" t="n">
        <x:v>975</x:v>
      </x:c>
      <x:c r="B980" s="2" t="str">
        <x:v>TXN-00975</x:v>
      </x:c>
      <x:c r="C980" s="8" t="d">
        <x:v>2025-09-17T00:00:00.000Z</x:v>
      </x:c>
      <x:c r="D980" s="2" t="str">
        <x:v>Lagos</x:v>
      </x:c>
      <x:c r="E980" s="2" t="str">
        <x:v>Fashion</x:v>
      </x:c>
      <x:c r="F980" s="2" t="str">
        <x:v>T-shirt</x:v>
      </x:c>
      <x:c r="G980" s="2" t="str">
        <x:v>In-store</x:v>
      </x:c>
      <x:c r="H980" s="7" t="n">
        <x:v>1</x:v>
      </x:c>
      <x:c r="I980" s="9" t="n">
        <x:v>9000</x:v>
      </x:c>
      <x:c r="J980" s="9" t="n">
        <x:v>5000</x:v>
      </x:c>
      <x:c r="K980" s="10" t="n">
        <x:v>0.1</x:v>
      </x:c>
      <x:c r="L980" s="2" t="str">
        <x:v>Completed</x:v>
      </x:c>
      <x:c r="M980" s="12" t="n">
        <x:f>H980*I980</x:f>
        <x:v>9000</x:v>
      </x:c>
      <x:c r="N980" s="12" t="n">
        <x:f>IF(L980="Completed",ROUND(M980*(1-K980),2),0)</x:f>
        <x:v>8100</x:v>
      </x:c>
      <x:c r="O980" s="12" t="n">
        <x:f>IF(L980="Completed",H980*J980,0)</x:f>
        <x:v>5000</x:v>
      </x:c>
      <x:c r="P980" s="12" t="n">
        <x:f>N980-O980</x:f>
        <x:v>3100</x:v>
      </x:c>
    </x:row>
    <x:row r="981" ht="21" customHeight="1">
      <x:c r="A981" s="7" t="n">
        <x:v>976</x:v>
      </x:c>
      <x:c r="B981" s="2" t="str">
        <x:v>TXN-00976</x:v>
      </x:c>
      <x:c r="C981" s="8" t="d">
        <x:v>2025-09-17T00:00:00.000Z</x:v>
      </x:c>
      <x:c r="D981" s="2" t="str">
        <x:v>Port Harcourt</x:v>
      </x:c>
      <x:c r="E981" s="2" t="str">
        <x:v>Fashion</x:v>
      </x:c>
      <x:c r="F981" s="2" t="str">
        <x:v>T-shirt</x:v>
      </x:c>
      <x:c r="G981" s="2" t="str">
        <x:v>Online</x:v>
      </x:c>
      <x:c r="H981" s="7" t="n">
        <x:v>1</x:v>
      </x:c>
      <x:c r="I981" s="9" t="n">
        <x:v>9000</x:v>
      </x:c>
      <x:c r="J981" s="9" t="n">
        <x:v>5000</x:v>
      </x:c>
      <x:c r="K981" s="10" t="n">
        <x:v>0.05</x:v>
      </x:c>
      <x:c r="L981" s="2" t="str">
        <x:v>Returned</x:v>
      </x:c>
      <x:c r="M981" s="12" t="n">
        <x:f>H981*I981</x:f>
        <x:v>9000</x:v>
      </x:c>
      <x:c r="N981" s="12" t="n">
        <x:f>IF(L981="Completed",ROUND(M981*(1-K981),2),0)</x:f>
        <x:v>0</x:v>
      </x:c>
      <x:c r="O981" s="12" t="n">
        <x:f>IF(L981="Completed",H981*J981,0)</x:f>
        <x:v>0</x:v>
      </x:c>
      <x:c r="P981" s="12" t="n">
        <x:f>N981-O981</x:f>
        <x:v>0</x:v>
      </x:c>
    </x:row>
    <x:row r="982" ht="21" customHeight="1">
      <x:c r="A982" s="7" t="n">
        <x:v>977</x:v>
      </x:c>
      <x:c r="B982" s="2" t="str">
        <x:v>TXN-00977</x:v>
      </x:c>
      <x:c r="C982" s="8" t="d">
        <x:v>2025-09-16T00:00:00.000Z</x:v>
      </x:c>
      <x:c r="D982" s="2" t="str">
        <x:v>Port Harcourt</x:v>
      </x:c>
      <x:c r="E982" s="2" t="str">
        <x:v>Beauty</x:v>
      </x:c>
      <x:c r="F982" s="2" t="str">
        <x:v>Moisturizer</x:v>
      </x:c>
      <x:c r="G982" s="2" t="str">
        <x:v>Online</x:v>
      </x:c>
      <x:c r="H982" s="7" t="n">
        <x:v>1</x:v>
      </x:c>
      <x:c r="I982" s="9" t="n">
        <x:v>6500</x:v>
      </x:c>
      <x:c r="J982" s="9" t="n">
        <x:v>3500</x:v>
      </x:c>
      <x:c r="K982" s="10" t="n">
        <x:v>0.05</x:v>
      </x:c>
      <x:c r="L982" s="2" t="str">
        <x:v>Completed</x:v>
      </x:c>
      <x:c r="M982" s="12" t="n">
        <x:f>H982*I982</x:f>
        <x:v>6500</x:v>
      </x:c>
      <x:c r="N982" s="12" t="n">
        <x:f>IF(L982="Completed",ROUND(M982*(1-K982),2),0)</x:f>
        <x:v>6175</x:v>
      </x:c>
      <x:c r="O982" s="12" t="n">
        <x:f>IF(L982="Completed",H982*J982,0)</x:f>
        <x:v>3500</x:v>
      </x:c>
      <x:c r="P982" s="12" t="n">
        <x:f>N982-O982</x:f>
        <x:v>2675</x:v>
      </x:c>
    </x:row>
    <x:row r="983" ht="21" customHeight="1">
      <x:c r="A983" s="7" t="n">
        <x:v>978</x:v>
      </x:c>
      <x:c r="B983" s="2" t="str">
        <x:v>TXN-00978</x:v>
      </x:c>
      <x:c r="C983" s="8" t="d">
        <x:v>2025-09-01T00:00:00.000Z</x:v>
      </x:c>
      <x:c r="D983" s="2" t="str">
        <x:v>Lagos</x:v>
      </x:c>
      <x:c r="E983" s="2" t="str">
        <x:v>Beauty</x:v>
      </x:c>
      <x:c r="F983" s="2" t="str">
        <x:v>Perfume</x:v>
      </x:c>
      <x:c r="G983" s="2" t="str">
        <x:v>Online</x:v>
      </x:c>
      <x:c r="H983" s="7" t="n">
        <x:v>2</x:v>
      </x:c>
      <x:c r="I983" s="9" t="n">
        <x:v>17000</x:v>
      </x:c>
      <x:c r="J983" s="9" t="n">
        <x:v>9000</x:v>
      </x:c>
      <x:c r="K983" s="10" t="n">
        <x:v>0.1</x:v>
      </x:c>
      <x:c r="L983" s="2" t="str">
        <x:v>Completed</x:v>
      </x:c>
      <x:c r="M983" s="12" t="n">
        <x:f>H983*I983</x:f>
        <x:v>34000</x:v>
      </x:c>
      <x:c r="N983" s="12" t="n">
        <x:f>IF(L983="Completed",ROUND(M983*(1-K983),2),0)</x:f>
        <x:v>30600</x:v>
      </x:c>
      <x:c r="O983" s="12" t="n">
        <x:f>IF(L983="Completed",H983*J983,0)</x:f>
        <x:v>18000</x:v>
      </x:c>
      <x:c r="P983" s="12" t="n">
        <x:f>N983-O983</x:f>
        <x:v>12600</x:v>
      </x:c>
    </x:row>
    <x:row r="984" ht="21" customHeight="1">
      <x:c r="A984" s="7" t="n">
        <x:v>979</x:v>
      </x:c>
      <x:c r="B984" s="2" t="str">
        <x:v>TXN-00979</x:v>
      </x:c>
      <x:c r="C984" s="8" t="d">
        <x:v>2025-09-02T00:00:00.000Z</x:v>
      </x:c>
      <x:c r="D984" s="2" t="str">
        <x:v>Abuja</x:v>
      </x:c>
      <x:c r="E984" s="2" t="str">
        <x:v>Beauty</x:v>
      </x:c>
      <x:c r="F984" s="2" t="str">
        <x:v>Perfume</x:v>
      </x:c>
      <x:c r="G984" s="2" t="str">
        <x:v>Online</x:v>
      </x:c>
      <x:c r="H984" s="7" t="n">
        <x:v>1</x:v>
      </x:c>
      <x:c r="I984" s="9" t="n">
        <x:v>17000</x:v>
      </x:c>
      <x:c r="J984" s="9" t="n">
        <x:v>9000</x:v>
      </x:c>
      <x:c r="K984" s="10" t="n">
        <x:v>0</x:v>
      </x:c>
      <x:c r="L984" s="2" t="str">
        <x:v>Completed</x:v>
      </x:c>
      <x:c r="M984" s="12" t="n">
        <x:f>H984*I984</x:f>
        <x:v>17000</x:v>
      </x:c>
      <x:c r="N984" s="12" t="n">
        <x:f>IF(L984="Completed",ROUND(M984*(1-K984),2),0)</x:f>
        <x:v>17000</x:v>
      </x:c>
      <x:c r="O984" s="12" t="n">
        <x:f>IF(L984="Completed",H984*J984,0)</x:f>
        <x:v>9000</x:v>
      </x:c>
      <x:c r="P984" s="12" t="n">
        <x:f>N984-O984</x:f>
        <x:v>8000</x:v>
      </x:c>
    </x:row>
    <x:row r="985" ht="21" customHeight="1">
      <x:c r="A985" s="7" t="n">
        <x:v>980</x:v>
      </x:c>
      <x:c r="B985" s="2" t="str">
        <x:v>TXN-00980</x:v>
      </x:c>
      <x:c r="C985" s="8" t="d">
        <x:v>2025-09-22T00:00:00.000Z</x:v>
      </x:c>
      <x:c r="D985" s="2" t="str">
        <x:v>Kano</x:v>
      </x:c>
      <x:c r="E985" s="2" t="str">
        <x:v>Electronics</x:v>
      </x:c>
      <x:c r="F985" s="2" t="str">
        <x:v>Power bank</x:v>
      </x:c>
      <x:c r="G985" s="2" t="str">
        <x:v>In-store</x:v>
      </x:c>
      <x:c r="H985" s="7" t="n">
        <x:v>1</x:v>
      </x:c>
      <x:c r="I985" s="9" t="n">
        <x:v>15000</x:v>
      </x:c>
      <x:c r="J985" s="9" t="n">
        <x:v>9500</x:v>
      </x:c>
      <x:c r="K985" s="10" t="n">
        <x:v>0</x:v>
      </x:c>
      <x:c r="L985" s="2" t="str">
        <x:v>Completed</x:v>
      </x:c>
      <x:c r="M985" s="12" t="n">
        <x:f>H985*I985</x:f>
        <x:v>15000</x:v>
      </x:c>
      <x:c r="N985" s="12" t="n">
        <x:f>IF(L985="Completed",ROUND(M985*(1-K985),2),0)</x:f>
        <x:v>15000</x:v>
      </x:c>
      <x:c r="O985" s="12" t="n">
        <x:f>IF(L985="Completed",H985*J985,0)</x:f>
        <x:v>9500</x:v>
      </x:c>
      <x:c r="P985" s="12" t="n">
        <x:f>N985-O985</x:f>
        <x:v>5500</x:v>
      </x:c>
    </x:row>
    <x:row r="986" ht="21" customHeight="1">
      <x:c r="A986" s="7" t="n">
        <x:v>981</x:v>
      </x:c>
      <x:c r="B986" s="2" t="str">
        <x:v>TXN-00981</x:v>
      </x:c>
      <x:c r="C986" s="8" t="d">
        <x:v>2025-09-11T00:00:00.000Z</x:v>
      </x:c>
      <x:c r="D986" s="2" t="str">
        <x:v>Kano</x:v>
      </x:c>
      <x:c r="E986" s="2" t="str">
        <x:v>Electronics</x:v>
      </x:c>
      <x:c r="F986" s="2" t="str">
        <x:v>Power bank</x:v>
      </x:c>
      <x:c r="G986" s="2" t="str">
        <x:v>Online</x:v>
      </x:c>
      <x:c r="H986" s="7" t="n">
        <x:v>3</x:v>
      </x:c>
      <x:c r="I986" s="9" t="n">
        <x:v>15000</x:v>
      </x:c>
      <x:c r="J986" s="9" t="n">
        <x:v>9500</x:v>
      </x:c>
      <x:c r="K986" s="10" t="n">
        <x:v>0.1</x:v>
      </x:c>
      <x:c r="L986" s="2" t="str">
        <x:v>Completed</x:v>
      </x:c>
      <x:c r="M986" s="12" t="n">
        <x:f>H986*I986</x:f>
        <x:v>45000</x:v>
      </x:c>
      <x:c r="N986" s="12" t="n">
        <x:f>IF(L986="Completed",ROUND(M986*(1-K986),2),0)</x:f>
        <x:v>40500</x:v>
      </x:c>
      <x:c r="O986" s="12" t="n">
        <x:f>IF(L986="Completed",H986*J986,0)</x:f>
        <x:v>28500</x:v>
      </x:c>
      <x:c r="P986" s="12" t="n">
        <x:f>N986-O986</x:f>
        <x:v>12000</x:v>
      </x:c>
    </x:row>
    <x:row r="987" ht="21" customHeight="1">
      <x:c r="A987" s="7" t="n">
        <x:v>982</x:v>
      </x:c>
      <x:c r="B987" s="2" t="str">
        <x:v>TXN-00982</x:v>
      </x:c>
      <x:c r="C987" s="8" t="d">
        <x:v>2025-09-21T00:00:00.000Z</x:v>
      </x:c>
      <x:c r="D987" s="2" t="str">
        <x:v>Port Harcourt</x:v>
      </x:c>
      <x:c r="E987" s="2" t="str">
        <x:v>Home</x:v>
      </x:c>
      <x:c r="F987" s="2" t="str">
        <x:v>Bedsheet</x:v>
      </x:c>
      <x:c r="G987" s="2" t="str">
        <x:v>Online</x:v>
      </x:c>
      <x:c r="H987" s="7" t="n">
        <x:v>1</x:v>
      </x:c>
      <x:c r="I987" s="9" t="n">
        <x:v>14000</x:v>
      </x:c>
      <x:c r="J987" s="9" t="n">
        <x:v>8500</x:v>
      </x:c>
      <x:c r="K987" s="10" t="n">
        <x:v>0</x:v>
      </x:c>
      <x:c r="L987" s="2" t="str">
        <x:v>Completed</x:v>
      </x:c>
      <x:c r="M987" s="12" t="n">
        <x:f>H987*I987</x:f>
        <x:v>14000</x:v>
      </x:c>
      <x:c r="N987" s="12" t="n">
        <x:f>IF(L987="Completed",ROUND(M987*(1-K987),2),0)</x:f>
        <x:v>14000</x:v>
      </x:c>
      <x:c r="O987" s="12" t="n">
        <x:f>IF(L987="Completed",H987*J987,0)</x:f>
        <x:v>8500</x:v>
      </x:c>
      <x:c r="P987" s="12" t="n">
        <x:f>N987-O987</x:f>
        <x:v>5500</x:v>
      </x:c>
    </x:row>
    <x:row r="988" ht="21" customHeight="1">
      <x:c r="A988" s="7" t="n">
        <x:v>983</x:v>
      </x:c>
      <x:c r="B988" s="2" t="str">
        <x:v>TXN-00983</x:v>
      </x:c>
      <x:c r="C988" s="8" t="d">
        <x:v>2025-09-24T00:00:00.000Z</x:v>
      </x:c>
      <x:c r="D988" s="2" t="str">
        <x:v>Kano</x:v>
      </x:c>
      <x:c r="E988" s="2" t="str">
        <x:v>Fashion</x:v>
      </x:c>
      <x:c r="F988" s="2" t="str">
        <x:v>T-shirt</x:v>
      </x:c>
      <x:c r="G988" s="2" t="str">
        <x:v>Online</x:v>
      </x:c>
      <x:c r="H988" s="7" t="n">
        <x:v>2</x:v>
      </x:c>
      <x:c r="I988" s="9" t="n">
        <x:v>9000</x:v>
      </x:c>
      <x:c r="J988" s="9" t="n">
        <x:v>5000</x:v>
      </x:c>
      <x:c r="K988" s="10" t="n">
        <x:v>0</x:v>
      </x:c>
      <x:c r="L988" s="2" t="str">
        <x:v>Completed</x:v>
      </x:c>
      <x:c r="M988" s="12" t="n">
        <x:f>H988*I988</x:f>
        <x:v>18000</x:v>
      </x:c>
      <x:c r="N988" s="12" t="n">
        <x:f>IF(L988="Completed",ROUND(M988*(1-K988),2),0)</x:f>
        <x:v>18000</x:v>
      </x:c>
      <x:c r="O988" s="12" t="n">
        <x:f>IF(L988="Completed",H988*J988,0)</x:f>
        <x:v>10000</x:v>
      </x:c>
      <x:c r="P988" s="12" t="n">
        <x:f>N988-O988</x:f>
        <x:v>8000</x:v>
      </x:c>
    </x:row>
    <x:row r="989" ht="21" customHeight="1">
      <x:c r="A989" s="7" t="n">
        <x:v>984</x:v>
      </x:c>
      <x:c r="B989" s="2" t="str">
        <x:v>TXN-00984</x:v>
      </x:c>
      <x:c r="C989" s="8" t="d">
        <x:v>2025-09-16T00:00:00.000Z</x:v>
      </x:c>
      <x:c r="D989" s="2" t="str">
        <x:v>Lagos</x:v>
      </x:c>
      <x:c r="E989" s="2" t="str">
        <x:v>Home</x:v>
      </x:c>
      <x:c r="F989" s="2" t="str">
        <x:v>Desk lamp</x:v>
      </x:c>
      <x:c r="G989" s="2" t="str">
        <x:v>Online</x:v>
      </x:c>
      <x:c r="H989" s="7" t="n">
        <x:v>3</x:v>
      </x:c>
      <x:c r="I989" s="9" t="n">
        <x:v>12000</x:v>
      </x:c>
      <x:c r="J989" s="9" t="n">
        <x:v>7200</x:v>
      </x:c>
      <x:c r="K989" s="10" t="n">
        <x:v>0.05</x:v>
      </x:c>
      <x:c r="L989" s="2" t="str">
        <x:v>Completed</x:v>
      </x:c>
      <x:c r="M989" s="12" t="n">
        <x:f>H989*I989</x:f>
        <x:v>36000</x:v>
      </x:c>
      <x:c r="N989" s="12" t="n">
        <x:f>IF(L989="Completed",ROUND(M989*(1-K989),2),0)</x:f>
        <x:v>34200</x:v>
      </x:c>
      <x:c r="O989" s="12" t="n">
        <x:f>IF(L989="Completed",H989*J989,0)</x:f>
        <x:v>21600</x:v>
      </x:c>
      <x:c r="P989" s="12" t="n">
        <x:f>N989-O989</x:f>
        <x:v>12600</x:v>
      </x:c>
    </x:row>
    <x:row r="990" ht="21" customHeight="1">
      <x:c r="A990" s="7" t="n">
        <x:v>985</x:v>
      </x:c>
      <x:c r="B990" s="2" t="str">
        <x:v>TXN-00985</x:v>
      </x:c>
      <x:c r="C990" s="8" t="d">
        <x:v>2025-09-03T00:00:00.000Z</x:v>
      </x:c>
      <x:c r="D990" s="2" t="str">
        <x:v>Lagos</x:v>
      </x:c>
      <x:c r="E990" s="2" t="str">
        <x:v>Electronics</x:v>
      </x:c>
      <x:c r="F990" s="2" t="str">
        <x:v>Bluetooth speaker</x:v>
      </x:c>
      <x:c r="G990" s="2" t="str">
        <x:v>In-store</x:v>
      </x:c>
      <x:c r="H990" s="7" t="n">
        <x:v>1</x:v>
      </x:c>
      <x:c r="I990" s="9" t="n">
        <x:v>26000</x:v>
      </x:c>
      <x:c r="J990" s="9" t="n">
        <x:v>17000</x:v>
      </x:c>
      <x:c r="K990" s="10" t="n">
        <x:v>0</x:v>
      </x:c>
      <x:c r="L990" s="2" t="str">
        <x:v>Completed</x:v>
      </x:c>
      <x:c r="M990" s="12" t="n">
        <x:f>H990*I990</x:f>
        <x:v>26000</x:v>
      </x:c>
      <x:c r="N990" s="12" t="n">
        <x:f>IF(L990="Completed",ROUND(M990*(1-K990),2),0)</x:f>
        <x:v>26000</x:v>
      </x:c>
      <x:c r="O990" s="12" t="n">
        <x:f>IF(L990="Completed",H990*J990,0)</x:f>
        <x:v>17000</x:v>
      </x:c>
      <x:c r="P990" s="12" t="n">
        <x:f>N990-O990</x:f>
        <x:v>9000</x:v>
      </x:c>
    </x:row>
    <x:row r="991" ht="21" customHeight="1">
      <x:c r="A991" s="7" t="n">
        <x:v>986</x:v>
      </x:c>
      <x:c r="B991" s="2" t="str">
        <x:v>TXN-00986</x:v>
      </x:c>
      <x:c r="C991" s="8" t="d">
        <x:v>2025-09-10T00:00:00.000Z</x:v>
      </x:c>
      <x:c r="D991" s="2" t="str">
        <x:v>Lagos</x:v>
      </x:c>
      <x:c r="E991" s="2" t="str">
        <x:v>Fashion</x:v>
      </x:c>
      <x:c r="F991" s="2" t="str">
        <x:v>T-shirt</x:v>
      </x:c>
      <x:c r="G991" s="2" t="str">
        <x:v>In-store</x:v>
      </x:c>
      <x:c r="H991" s="7" t="n">
        <x:v>1</x:v>
      </x:c>
      <x:c r="I991" s="9" t="n">
        <x:v>9000</x:v>
      </x:c>
      <x:c r="J991" s="9" t="n">
        <x:v>5000</x:v>
      </x:c>
      <x:c r="K991" s="10" t="n">
        <x:v>0</x:v>
      </x:c>
      <x:c r="L991" s="2" t="str">
        <x:v>Completed</x:v>
      </x:c>
      <x:c r="M991" s="12" t="n">
        <x:f>H991*I991</x:f>
        <x:v>9000</x:v>
      </x:c>
      <x:c r="N991" s="12" t="n">
        <x:f>IF(L991="Completed",ROUND(M991*(1-K991),2),0)</x:f>
        <x:v>9000</x:v>
      </x:c>
      <x:c r="O991" s="12" t="n">
        <x:f>IF(L991="Completed",H991*J991,0)</x:f>
        <x:v>5000</x:v>
      </x:c>
      <x:c r="P991" s="12" t="n">
        <x:f>N991-O991</x:f>
        <x:v>4000</x:v>
      </x:c>
    </x:row>
    <x:row r="992" ht="21" customHeight="1">
      <x:c r="A992" s="7" t="n">
        <x:v>987</x:v>
      </x:c>
      <x:c r="B992" s="2" t="str">
        <x:v>TXN-00987</x:v>
      </x:c>
      <x:c r="C992" s="8" t="d">
        <x:v>2025-09-26T00:00:00.000Z</x:v>
      </x:c>
      <x:c r="D992" s="2" t="str">
        <x:v>Lagos</x:v>
      </x:c>
      <x:c r="E992" s="2" t="str">
        <x:v>Electronics</x:v>
      </x:c>
      <x:c r="F992" s="2" t="str">
        <x:v>Power bank</x:v>
      </x:c>
      <x:c r="G992" s="2" t="str">
        <x:v>In-store</x:v>
      </x:c>
      <x:c r="H992" s="7" t="n">
        <x:v>2</x:v>
      </x:c>
      <x:c r="I992" s="9" t="n">
        <x:v>15000</x:v>
      </x:c>
      <x:c r="J992" s="9" t="n">
        <x:v>9500</x:v>
      </x:c>
      <x:c r="K992" s="10" t="n">
        <x:v>0.05</x:v>
      </x:c>
      <x:c r="L992" s="2" t="str">
        <x:v>Completed</x:v>
      </x:c>
      <x:c r="M992" s="12" t="n">
        <x:f>H992*I992</x:f>
        <x:v>30000</x:v>
      </x:c>
      <x:c r="N992" s="12" t="n">
        <x:f>IF(L992="Completed",ROUND(M992*(1-K992),2),0)</x:f>
        <x:v>28500</x:v>
      </x:c>
      <x:c r="O992" s="12" t="n">
        <x:f>IF(L992="Completed",H992*J992,0)</x:f>
        <x:v>19000</x:v>
      </x:c>
      <x:c r="P992" s="12" t="n">
        <x:f>N992-O992</x:f>
        <x:v>9500</x:v>
      </x:c>
    </x:row>
    <x:row r="993" ht="21" customHeight="1">
      <x:c r="A993" s="7" t="n">
        <x:v>988</x:v>
      </x:c>
      <x:c r="B993" s="2" t="str">
        <x:v>TXN-00988</x:v>
      </x:c>
      <x:c r="C993" s="8" t="d">
        <x:v>2025-09-27T00:00:00.000Z</x:v>
      </x:c>
      <x:c r="D993" s="2" t="str">
        <x:v>Lagos</x:v>
      </x:c>
      <x:c r="E993" s="2" t="str">
        <x:v>Beauty</x:v>
      </x:c>
      <x:c r="F993" s="2" t="str">
        <x:v>Perfume</x:v>
      </x:c>
      <x:c r="G993" s="2" t="str">
        <x:v>Online</x:v>
      </x:c>
      <x:c r="H993" s="7" t="n">
        <x:v>1</x:v>
      </x:c>
      <x:c r="I993" s="9" t="n">
        <x:v>17000</x:v>
      </x:c>
      <x:c r="J993" s="9" t="n">
        <x:v>9000</x:v>
      </x:c>
      <x:c r="K993" s="10" t="n">
        <x:v>0</x:v>
      </x:c>
      <x:c r="L993" s="2" t="str">
        <x:v>Completed</x:v>
      </x:c>
      <x:c r="M993" s="12" t="n">
        <x:f>H993*I993</x:f>
        <x:v>17000</x:v>
      </x:c>
      <x:c r="N993" s="12" t="n">
        <x:f>IF(L993="Completed",ROUND(M993*(1-K993),2),0)</x:f>
        <x:v>17000</x:v>
      </x:c>
      <x:c r="O993" s="12" t="n">
        <x:f>IF(L993="Completed",H993*J993,0)</x:f>
        <x:v>9000</x:v>
      </x:c>
      <x:c r="P993" s="12" t="n">
        <x:f>N993-O993</x:f>
        <x:v>8000</x:v>
      </x:c>
    </x:row>
    <x:row r="994" ht="21" customHeight="1">
      <x:c r="A994" s="7" t="n">
        <x:v>989</x:v>
      </x:c>
      <x:c r="B994" s="2" t="str">
        <x:v>TXN-00989</x:v>
      </x:c>
      <x:c r="C994" s="8" t="d">
        <x:v>2025-09-17T00:00:00.000Z</x:v>
      </x:c>
      <x:c r="D994" s="2" t="str">
        <x:v>Abuja</x:v>
      </x:c>
      <x:c r="E994" s="2" t="str">
        <x:v>Home</x:v>
      </x:c>
      <x:c r="F994" s="2" t="str">
        <x:v>Cookware set</x:v>
      </x:c>
      <x:c r="G994" s="2" t="str">
        <x:v>In-store</x:v>
      </x:c>
      <x:c r="H994" s="7" t="n">
        <x:v>1</x:v>
      </x:c>
      <x:c r="I994" s="9" t="n">
        <x:v>35000</x:v>
      </x:c>
      <x:c r="J994" s="9" t="n">
        <x:v>22500</x:v>
      </x:c>
      <x:c r="K994" s="10" t="n">
        <x:v>0</x:v>
      </x:c>
      <x:c r="L994" s="2" t="str">
        <x:v>Completed</x:v>
      </x:c>
      <x:c r="M994" s="12" t="n">
        <x:f>H994*I994</x:f>
        <x:v>35000</x:v>
      </x:c>
      <x:c r="N994" s="12" t="n">
        <x:f>IF(L994="Completed",ROUND(M994*(1-K994),2),0)</x:f>
        <x:v>35000</x:v>
      </x:c>
      <x:c r="O994" s="12" t="n">
        <x:f>IF(L994="Completed",H994*J994,0)</x:f>
        <x:v>22500</x:v>
      </x:c>
      <x:c r="P994" s="12" t="n">
        <x:f>N994-O994</x:f>
        <x:v>12500</x:v>
      </x:c>
    </x:row>
    <x:row r="995" ht="21" customHeight="1">
      <x:c r="A995" s="7" t="n">
        <x:v>990</x:v>
      </x:c>
      <x:c r="B995" s="2" t="str">
        <x:v>TXN-00990</x:v>
      </x:c>
      <x:c r="C995" s="8" t="d">
        <x:v>2025-09-10T00:00:00.000Z</x:v>
      </x:c>
      <x:c r="D995" s="2" t="str">
        <x:v>Abuja</x:v>
      </x:c>
      <x:c r="E995" s="2" t="str">
        <x:v>Home</x:v>
      </x:c>
      <x:c r="F995" s="2" t="str">
        <x:v>Desk lamp</x:v>
      </x:c>
      <x:c r="G995" s="2" t="str">
        <x:v>In-store</x:v>
      </x:c>
      <x:c r="H995" s="7" t="n">
        <x:v>1</x:v>
      </x:c>
      <x:c r="I995" s="9" t="n">
        <x:v>12000</x:v>
      </x:c>
      <x:c r="J995" s="9" t="n">
        <x:v>7200</x:v>
      </x:c>
      <x:c r="K995" s="10" t="n">
        <x:v>0</x:v>
      </x:c>
      <x:c r="L995" s="2" t="str">
        <x:v>Completed</x:v>
      </x:c>
      <x:c r="M995" s="12" t="n">
        <x:f>H995*I995</x:f>
        <x:v>12000</x:v>
      </x:c>
      <x:c r="N995" s="12" t="n">
        <x:f>IF(L995="Completed",ROUND(M995*(1-K995),2),0)</x:f>
        <x:v>12000</x:v>
      </x:c>
      <x:c r="O995" s="12" t="n">
        <x:f>IF(L995="Completed",H995*J995,0)</x:f>
        <x:v>7200</x:v>
      </x:c>
      <x:c r="P995" s="12" t="n">
        <x:f>N995-O995</x:f>
        <x:v>4800</x:v>
      </x:c>
    </x:row>
    <x:row r="996" ht="21" customHeight="1">
      <x:c r="A996" s="7" t="n">
        <x:v>991</x:v>
      </x:c>
      <x:c r="B996" s="2" t="str">
        <x:v>TXN-00991</x:v>
      </x:c>
      <x:c r="C996" s="8" t="d">
        <x:v>2025-09-30T00:00:00.000Z</x:v>
      </x:c>
      <x:c r="D996" s="2" t="str">
        <x:v>Port Harcourt</x:v>
      </x:c>
      <x:c r="E996" s="2" t="str">
        <x:v>Beauty</x:v>
      </x:c>
      <x:c r="F996" s="2" t="str">
        <x:v>Moisturizer</x:v>
      </x:c>
      <x:c r="G996" s="2" t="str">
        <x:v>In-store</x:v>
      </x:c>
      <x:c r="H996" s="7" t="n">
        <x:v>1</x:v>
      </x:c>
      <x:c r="I996" s="9" t="n">
        <x:v>6500</x:v>
      </x:c>
      <x:c r="J996" s="9" t="n">
        <x:v>3500</x:v>
      </x:c>
      <x:c r="K996" s="10" t="n">
        <x:v>0</x:v>
      </x:c>
      <x:c r="L996" s="2" t="str">
        <x:v>Completed</x:v>
      </x:c>
      <x:c r="M996" s="12" t="n">
        <x:f>H996*I996</x:f>
        <x:v>6500</x:v>
      </x:c>
      <x:c r="N996" s="12" t="n">
        <x:f>IF(L996="Completed",ROUND(M996*(1-K996),2),0)</x:f>
        <x:v>6500</x:v>
      </x:c>
      <x:c r="O996" s="12" t="n">
        <x:f>IF(L996="Completed",H996*J996,0)</x:f>
        <x:v>3500</x:v>
      </x:c>
      <x:c r="P996" s="12" t="n">
        <x:f>N996-O996</x:f>
        <x:v>3000</x:v>
      </x:c>
    </x:row>
    <x:row r="997" ht="21" customHeight="1">
      <x:c r="A997" s="7" t="n">
        <x:v>992</x:v>
      </x:c>
      <x:c r="B997" s="2" t="str">
        <x:v>TXN-00992</x:v>
      </x:c>
      <x:c r="C997" s="8" t="d">
        <x:v>2025-09-15T00:00:00.000Z</x:v>
      </x:c>
      <x:c r="D997" s="2" t="str">
        <x:v>Port Harcourt</x:v>
      </x:c>
      <x:c r="E997" s="2" t="str">
        <x:v>Fashion</x:v>
      </x:c>
      <x:c r="F997" s="2" t="str">
        <x:v>T-shirt</x:v>
      </x:c>
      <x:c r="G997" s="2" t="str">
        <x:v>Online</x:v>
      </x:c>
      <x:c r="H997" s="7" t="n">
        <x:v>2</x:v>
      </x:c>
      <x:c r="I997" s="9" t="n">
        <x:v>9000</x:v>
      </x:c>
      <x:c r="J997" s="9" t="n">
        <x:v>5000</x:v>
      </x:c>
      <x:c r="K997" s="10" t="n">
        <x:v>0</x:v>
      </x:c>
      <x:c r="L997" s="2" t="str">
        <x:v>Completed</x:v>
      </x:c>
      <x:c r="M997" s="12" t="n">
        <x:f>H997*I997</x:f>
        <x:v>18000</x:v>
      </x:c>
      <x:c r="N997" s="12" t="n">
        <x:f>IF(L997="Completed",ROUND(M997*(1-K997),2),0)</x:f>
        <x:v>18000</x:v>
      </x:c>
      <x:c r="O997" s="12" t="n">
        <x:f>IF(L997="Completed",H997*J997,0)</x:f>
        <x:v>10000</x:v>
      </x:c>
      <x:c r="P997" s="12" t="n">
        <x:f>N997-O997</x:f>
        <x:v>8000</x:v>
      </x:c>
    </x:row>
    <x:row r="998" ht="21" customHeight="1">
      <x:c r="A998" s="7" t="n">
        <x:v>993</x:v>
      </x:c>
      <x:c r="B998" s="2" t="str">
        <x:v>TXN-00993</x:v>
      </x:c>
      <x:c r="C998" s="8" t="d">
        <x:v>2025-09-17T00:00:00.000Z</x:v>
      </x:c>
      <x:c r="D998" s="2" t="str">
        <x:v>Abuja</x:v>
      </x:c>
      <x:c r="E998" s="2" t="str">
        <x:v>Home</x:v>
      </x:c>
      <x:c r="F998" s="2" t="str">
        <x:v>Desk lamp</x:v>
      </x:c>
      <x:c r="G998" s="2" t="str">
        <x:v>In-store</x:v>
      </x:c>
      <x:c r="H998" s="7" t="n">
        <x:v>1</x:v>
      </x:c>
      <x:c r="I998" s="9" t="n">
        <x:v>12000</x:v>
      </x:c>
      <x:c r="J998" s="9" t="n">
        <x:v>7200</x:v>
      </x:c>
      <x:c r="K998" s="10" t="n">
        <x:v>0</x:v>
      </x:c>
      <x:c r="L998" s="2" t="str">
        <x:v>Completed</x:v>
      </x:c>
      <x:c r="M998" s="12" t="n">
        <x:f>H998*I998</x:f>
        <x:v>12000</x:v>
      </x:c>
      <x:c r="N998" s="12" t="n">
        <x:f>IF(L998="Completed",ROUND(M998*(1-K998),2),0)</x:f>
        <x:v>12000</x:v>
      </x:c>
      <x:c r="O998" s="12" t="n">
        <x:f>IF(L998="Completed",H998*J998,0)</x:f>
        <x:v>7200</x:v>
      </x:c>
      <x:c r="P998" s="12" t="n">
        <x:f>N998-O998</x:f>
        <x:v>4800</x:v>
      </x:c>
    </x:row>
    <x:row r="999" ht="21" customHeight="1">
      <x:c r="A999" s="7" t="n">
        <x:v>994</x:v>
      </x:c>
      <x:c r="B999" s="2" t="str">
        <x:v>TXN-00994</x:v>
      </x:c>
      <x:c r="C999" s="8" t="d">
        <x:v>2025-09-20T00:00:00.000Z</x:v>
      </x:c>
      <x:c r="D999" s="2" t="str">
        <x:v>Port Harcourt</x:v>
      </x:c>
      <x:c r="E999" s="2" t="str">
        <x:v>Fashion</x:v>
      </x:c>
      <x:c r="F999" s="2" t="str">
        <x:v>Handbag</x:v>
      </x:c>
      <x:c r="G999" s="2" t="str">
        <x:v>In-store</x:v>
      </x:c>
      <x:c r="H999" s="7" t="n">
        <x:v>2</x:v>
      </x:c>
      <x:c r="I999" s="9" t="n">
        <x:v>22000</x:v>
      </x:c>
      <x:c r="J999" s="9" t="n">
        <x:v>13500</x:v>
      </x:c>
      <x:c r="K999" s="10" t="n">
        <x:v>0</x:v>
      </x:c>
      <x:c r="L999" s="2" t="str">
        <x:v>Completed</x:v>
      </x:c>
      <x:c r="M999" s="12" t="n">
        <x:f>H999*I999</x:f>
        <x:v>44000</x:v>
      </x:c>
      <x:c r="N999" s="12" t="n">
        <x:f>IF(L999="Completed",ROUND(M999*(1-K999),2),0)</x:f>
        <x:v>44000</x:v>
      </x:c>
      <x:c r="O999" s="12" t="n">
        <x:f>IF(L999="Completed",H999*J999,0)</x:f>
        <x:v>27000</x:v>
      </x:c>
      <x:c r="P999" s="12" t="n">
        <x:f>N999-O999</x:f>
        <x:v>17000</x:v>
      </x:c>
    </x:row>
    <x:row r="1000" ht="21" customHeight="1">
      <x:c r="A1000" s="7" t="n">
        <x:v>995</x:v>
      </x:c>
      <x:c r="B1000" s="2" t="str">
        <x:v>TXN-00995</x:v>
      </x:c>
      <x:c r="C1000" s="8" t="d">
        <x:v>2025-09-26T00:00:00.000Z</x:v>
      </x:c>
      <x:c r="D1000" s="2" t="str">
        <x:v>Lagos</x:v>
      </x:c>
      <x:c r="E1000" s="2" t="str">
        <x:v>Home</x:v>
      </x:c>
      <x:c r="F1000" s="2" t="str">
        <x:v>Cookware set</x:v>
      </x:c>
      <x:c r="G1000" s="2" t="str">
        <x:v>In-store</x:v>
      </x:c>
      <x:c r="H1000" s="7" t="n">
        <x:v>2</x:v>
      </x:c>
      <x:c r="I1000" s="9" t="n">
        <x:v>35000</x:v>
      </x:c>
      <x:c r="J1000" s="9" t="n">
        <x:v>22500</x:v>
      </x:c>
      <x:c r="K1000" s="10" t="n">
        <x:v>0.05</x:v>
      </x:c>
      <x:c r="L1000" s="2" t="str">
        <x:v>Returned</x:v>
      </x:c>
      <x:c r="M1000" s="12" t="n">
        <x:f>H1000*I1000</x:f>
        <x:v>70000</x:v>
      </x:c>
      <x:c r="N1000" s="12" t="n">
        <x:f>IF(L1000="Completed",ROUND(M1000*(1-K1000),2),0)</x:f>
        <x:v>0</x:v>
      </x:c>
      <x:c r="O1000" s="12" t="n">
        <x:f>IF(L1000="Completed",H1000*J1000,0)</x:f>
        <x:v>0</x:v>
      </x:c>
      <x:c r="P1000" s="12" t="n">
        <x:f>N1000-O1000</x:f>
        <x:v>0</x:v>
      </x:c>
    </x:row>
    <x:row r="1001" ht="21" customHeight="1">
      <x:c r="A1001" s="7" t="n">
        <x:v>996</x:v>
      </x:c>
      <x:c r="B1001" s="2" t="str">
        <x:v>TXN-00996</x:v>
      </x:c>
      <x:c r="C1001" s="8" t="d">
        <x:v>2025-09-11T00:00:00.000Z</x:v>
      </x:c>
      <x:c r="D1001" s="2" t="str">
        <x:v>Lagos</x:v>
      </x:c>
      <x:c r="E1001" s="2" t="str">
        <x:v>Electronics</x:v>
      </x:c>
      <x:c r="F1001" s="2" t="str">
        <x:v>Bluetooth speaker</x:v>
      </x:c>
      <x:c r="G1001" s="2" t="str">
        <x:v>In-store</x:v>
      </x:c>
      <x:c r="H1001" s="7" t="n">
        <x:v>2</x:v>
      </x:c>
      <x:c r="I1001" s="9" t="n">
        <x:v>26000</x:v>
      </x:c>
      <x:c r="J1001" s="9" t="n">
        <x:v>17000</x:v>
      </x:c>
      <x:c r="K1001" s="10" t="n">
        <x:v>0.05</x:v>
      </x:c>
      <x:c r="L1001" s="2" t="str">
        <x:v>Completed</x:v>
      </x:c>
      <x:c r="M1001" s="12" t="n">
        <x:f>H1001*I1001</x:f>
        <x:v>52000</x:v>
      </x:c>
      <x:c r="N1001" s="12" t="n">
        <x:f>IF(L1001="Completed",ROUND(M1001*(1-K1001),2),0)</x:f>
        <x:v>49400</x:v>
      </x:c>
      <x:c r="O1001" s="12" t="n">
        <x:f>IF(L1001="Completed",H1001*J1001,0)</x:f>
        <x:v>34000</x:v>
      </x:c>
      <x:c r="P1001" s="12" t="n">
        <x:f>N1001-O1001</x:f>
        <x:v>15400</x:v>
      </x:c>
    </x:row>
    <x:row r="1002" ht="21" customHeight="1">
      <x:c r="A1002" s="7" t="n">
        <x:v>997</x:v>
      </x:c>
      <x:c r="B1002" s="2" t="str">
        <x:v>TXN-00997</x:v>
      </x:c>
      <x:c r="C1002" s="8" t="d">
        <x:v>2025-09-20T00:00:00.000Z</x:v>
      </x:c>
      <x:c r="D1002" s="2" t="str">
        <x:v>Kano</x:v>
      </x:c>
      <x:c r="E1002" s="2" t="str">
        <x:v>Fashion</x:v>
      </x:c>
      <x:c r="F1002" s="2" t="str">
        <x:v>Handbag</x:v>
      </x:c>
      <x:c r="G1002" s="2" t="str">
        <x:v>Online</x:v>
      </x:c>
      <x:c r="H1002" s="7" t="n">
        <x:v>1</x:v>
      </x:c>
      <x:c r="I1002" s="9" t="n">
        <x:v>22000</x:v>
      </x:c>
      <x:c r="J1002" s="9" t="n">
        <x:v>13500</x:v>
      </x:c>
      <x:c r="K1002" s="10" t="n">
        <x:v>0</x:v>
      </x:c>
      <x:c r="L1002" s="2" t="str">
        <x:v>Completed</x:v>
      </x:c>
      <x:c r="M1002" s="12" t="n">
        <x:f>H1002*I1002</x:f>
        <x:v>22000</x:v>
      </x:c>
      <x:c r="N1002" s="12" t="n">
        <x:f>IF(L1002="Completed",ROUND(M1002*(1-K1002),2),0)</x:f>
        <x:v>22000</x:v>
      </x:c>
      <x:c r="O1002" s="12" t="n">
        <x:f>IF(L1002="Completed",H1002*J1002,0)</x:f>
        <x:v>13500</x:v>
      </x:c>
      <x:c r="P1002" s="12" t="n">
        <x:f>N1002-O1002</x:f>
        <x:v>8500</x:v>
      </x:c>
    </x:row>
    <x:row r="1003" ht="21" customHeight="1">
      <x:c r="A1003" s="7" t="n">
        <x:v>998</x:v>
      </x:c>
      <x:c r="B1003" s="2" t="str">
        <x:v>TXN-00998</x:v>
      </x:c>
      <x:c r="C1003" s="8" t="d">
        <x:v>2025-09-01T00:00:00.000Z</x:v>
      </x:c>
      <x:c r="D1003" s="2" t="str">
        <x:v>Port Harcourt</x:v>
      </x:c>
      <x:c r="E1003" s="2" t="str">
        <x:v>Beauty</x:v>
      </x:c>
      <x:c r="F1003" s="2" t="str">
        <x:v>Perfume</x:v>
      </x:c>
      <x:c r="G1003" s="2" t="str">
        <x:v>In-store</x:v>
      </x:c>
      <x:c r="H1003" s="7" t="n">
        <x:v>1</x:v>
      </x:c>
      <x:c r="I1003" s="9" t="n">
        <x:v>17000</x:v>
      </x:c>
      <x:c r="J1003" s="9" t="n">
        <x:v>9000</x:v>
      </x:c>
      <x:c r="K1003" s="10" t="n">
        <x:v>0</x:v>
      </x:c>
      <x:c r="L1003" s="2" t="str">
        <x:v>Completed</x:v>
      </x:c>
      <x:c r="M1003" s="12" t="n">
        <x:f>H1003*I1003</x:f>
        <x:v>17000</x:v>
      </x:c>
      <x:c r="N1003" s="12" t="n">
        <x:f>IF(L1003="Completed",ROUND(M1003*(1-K1003),2),0)</x:f>
        <x:v>17000</x:v>
      </x:c>
      <x:c r="O1003" s="12" t="n">
        <x:f>IF(L1003="Completed",H1003*J1003,0)</x:f>
        <x:v>9000</x:v>
      </x:c>
      <x:c r="P1003" s="12" t="n">
        <x:f>N1003-O1003</x:f>
        <x:v>8000</x:v>
      </x:c>
    </x:row>
    <x:row r="1004" ht="21" customHeight="1">
      <x:c r="A1004" s="7" t="n">
        <x:v>999</x:v>
      </x:c>
      <x:c r="B1004" s="2" t="str">
        <x:v>TXN-00999</x:v>
      </x:c>
      <x:c r="C1004" s="8" t="d">
        <x:v>2025-09-09T00:00:00.000Z</x:v>
      </x:c>
      <x:c r="D1004" s="2" t="str">
        <x:v>Port Harcourt</x:v>
      </x:c>
      <x:c r="E1004" s="2" t="str">
        <x:v>Beauty</x:v>
      </x:c>
      <x:c r="F1004" s="2" t="str">
        <x:v>Perfume</x:v>
      </x:c>
      <x:c r="G1004" s="2" t="str">
        <x:v>Online</x:v>
      </x:c>
      <x:c r="H1004" s="7" t="n">
        <x:v>1</x:v>
      </x:c>
      <x:c r="I1004" s="9" t="n">
        <x:v>17000</x:v>
      </x:c>
      <x:c r="J1004" s="9" t="n">
        <x:v>9000</x:v>
      </x:c>
      <x:c r="K1004" s="10" t="n">
        <x:v>0.1</x:v>
      </x:c>
      <x:c r="L1004" s="2" t="str">
        <x:v>Completed</x:v>
      </x:c>
      <x:c r="M1004" s="12" t="n">
        <x:f>H1004*I1004</x:f>
        <x:v>17000</x:v>
      </x:c>
      <x:c r="N1004" s="12" t="n">
        <x:f>IF(L1004="Completed",ROUND(M1004*(1-K1004),2),0)</x:f>
        <x:v>15300</x:v>
      </x:c>
      <x:c r="O1004" s="12" t="n">
        <x:f>IF(L1004="Completed",H1004*J1004,0)</x:f>
        <x:v>9000</x:v>
      </x:c>
      <x:c r="P1004" s="12" t="n">
        <x:f>N1004-O1004</x:f>
        <x:v>6300</x:v>
      </x:c>
    </x:row>
    <x:row r="1005" ht="21" customHeight="1">
      <x:c r="A1005" s="7" t="n">
        <x:v>1000</x:v>
      </x:c>
      <x:c r="B1005" s="2" t="str">
        <x:v>TXN-01000</x:v>
      </x:c>
      <x:c r="C1005" s="8" t="d">
        <x:v>2025-09-16T00:00:00.000Z</x:v>
      </x:c>
      <x:c r="D1005" s="2" t="str">
        <x:v>Lagos</x:v>
      </x:c>
      <x:c r="E1005" s="2" t="str">
        <x:v>Home</x:v>
      </x:c>
      <x:c r="F1005" s="2" t="str">
        <x:v>Cookware set</x:v>
      </x:c>
      <x:c r="G1005" s="2" t="str">
        <x:v>In-store</x:v>
      </x:c>
      <x:c r="H1005" s="7" t="n">
        <x:v>1</x:v>
      </x:c>
      <x:c r="I1005" s="9" t="n">
        <x:v>35000</x:v>
      </x:c>
      <x:c r="J1005" s="9" t="n">
        <x:v>22500</x:v>
      </x:c>
      <x:c r="K1005" s="10" t="n">
        <x:v>0.1</x:v>
      </x:c>
      <x:c r="L1005" s="2" t="str">
        <x:v>Completed</x:v>
      </x:c>
      <x:c r="M1005" s="12" t="n">
        <x:f>H1005*I1005</x:f>
        <x:v>35000</x:v>
      </x:c>
      <x:c r="N1005" s="12" t="n">
        <x:f>IF(L1005="Completed",ROUND(M1005*(1-K1005),2),0)</x:f>
        <x:v>31500</x:v>
      </x:c>
      <x:c r="O1005" s="12" t="n">
        <x:f>IF(L1005="Completed",H1005*J1005,0)</x:f>
        <x:v>22500</x:v>
      </x:c>
      <x:c r="P1005" s="12" t="n">
        <x:f>N1005-O1005</x:f>
        <x:v>9000</x:v>
      </x:c>
    </x:row>
    <x:row r="1006" ht="21" customHeight="1">
      <x:c r="A1006" s="7" t="n">
        <x:v>1001</x:v>
      </x:c>
      <x:c r="B1006" s="2" t="str">
        <x:v>TXN-01001</x:v>
      </x:c>
      <x:c r="C1006" s="8" t="d">
        <x:v>2025-09-04T00:00:00.000Z</x:v>
      </x:c>
      <x:c r="D1006" s="2" t="str">
        <x:v>Kano</x:v>
      </x:c>
      <x:c r="E1006" s="2" t="str">
        <x:v>Fashion</x:v>
      </x:c>
      <x:c r="F1006" s="2" t="str">
        <x:v>Handbag</x:v>
      </x:c>
      <x:c r="G1006" s="2" t="str">
        <x:v>Online</x:v>
      </x:c>
      <x:c r="H1006" s="7" t="n">
        <x:v>3</x:v>
      </x:c>
      <x:c r="I1006" s="9" t="n">
        <x:v>22000</x:v>
      </x:c>
      <x:c r="J1006" s="9" t="n">
        <x:v>13500</x:v>
      </x:c>
      <x:c r="K1006" s="10" t="n">
        <x:v>0.1</x:v>
      </x:c>
      <x:c r="L1006" s="2" t="str">
        <x:v>Completed</x:v>
      </x:c>
      <x:c r="M1006" s="12" t="n">
        <x:f>H1006*I1006</x:f>
        <x:v>66000</x:v>
      </x:c>
      <x:c r="N1006" s="12" t="n">
        <x:f>IF(L1006="Completed",ROUND(M1006*(1-K1006),2),0)</x:f>
        <x:v>59400</x:v>
      </x:c>
      <x:c r="O1006" s="12" t="n">
        <x:f>IF(L1006="Completed",H1006*J1006,0)</x:f>
        <x:v>40500</x:v>
      </x:c>
      <x:c r="P1006" s="12" t="n">
        <x:f>N1006-O1006</x:f>
        <x:v>18900</x:v>
      </x:c>
    </x:row>
    <x:row r="1007" ht="21" customHeight="1">
      <x:c r="A1007" s="7" t="n">
        <x:v>1002</x:v>
      </x:c>
      <x:c r="B1007" s="2" t="str">
        <x:v>TXN-01002</x:v>
      </x:c>
      <x:c r="C1007" s="8" t="d">
        <x:v>2025-09-02T00:00:00.000Z</x:v>
      </x:c>
      <x:c r="D1007" s="2" t="str">
        <x:v>Lagos</x:v>
      </x:c>
      <x:c r="E1007" s="2" t="str">
        <x:v>Beauty</x:v>
      </x:c>
      <x:c r="F1007" s="2" t="str">
        <x:v>Moisturizer</x:v>
      </x:c>
      <x:c r="G1007" s="2" t="str">
        <x:v>In-store</x:v>
      </x:c>
      <x:c r="H1007" s="7" t="n">
        <x:v>2</x:v>
      </x:c>
      <x:c r="I1007" s="9" t="n">
        <x:v>6500</x:v>
      </x:c>
      <x:c r="J1007" s="9" t="n">
        <x:v>3500</x:v>
      </x:c>
      <x:c r="K1007" s="10" t="n">
        <x:v>0</x:v>
      </x:c>
      <x:c r="L1007" s="2" t="str">
        <x:v>Completed</x:v>
      </x:c>
      <x:c r="M1007" s="12" t="n">
        <x:f>H1007*I1007</x:f>
        <x:v>13000</x:v>
      </x:c>
      <x:c r="N1007" s="12" t="n">
        <x:f>IF(L1007="Completed",ROUND(M1007*(1-K1007),2),0)</x:f>
        <x:v>13000</x:v>
      </x:c>
      <x:c r="O1007" s="12" t="n">
        <x:f>IF(L1007="Completed",H1007*J1007,0)</x:f>
        <x:v>7000</x:v>
      </x:c>
      <x:c r="P1007" s="12" t="n">
        <x:f>N1007-O1007</x:f>
        <x:v>6000</x:v>
      </x:c>
    </x:row>
    <x:row r="1008" ht="21" customHeight="1">
      <x:c r="A1008" s="7" t="n">
        <x:v>1003</x:v>
      </x:c>
      <x:c r="B1008" s="2" t="str">
        <x:v>TXN-01003</x:v>
      </x:c>
      <x:c r="C1008" s="8" t="d">
        <x:v>2025-09-25T00:00:00.000Z</x:v>
      </x:c>
      <x:c r="D1008" s="2" t="str">
        <x:v>Lagos</x:v>
      </x:c>
      <x:c r="E1008" s="2" t="str">
        <x:v>Electronics</x:v>
      </x:c>
      <x:c r="F1008" s="2" t="str">
        <x:v>Bluetooth speaker</x:v>
      </x:c>
      <x:c r="G1008" s="2" t="str">
        <x:v>Online</x:v>
      </x:c>
      <x:c r="H1008" s="7" t="n">
        <x:v>1</x:v>
      </x:c>
      <x:c r="I1008" s="9" t="n">
        <x:v>26000</x:v>
      </x:c>
      <x:c r="J1008" s="9" t="n">
        <x:v>17000</x:v>
      </x:c>
      <x:c r="K1008" s="10" t="n">
        <x:v>0.1</x:v>
      </x:c>
      <x:c r="L1008" s="2" t="str">
        <x:v>Completed</x:v>
      </x:c>
      <x:c r="M1008" s="12" t="n">
        <x:f>H1008*I1008</x:f>
        <x:v>26000</x:v>
      </x:c>
      <x:c r="N1008" s="12" t="n">
        <x:f>IF(L1008="Completed",ROUND(M1008*(1-K1008),2),0)</x:f>
        <x:v>23400</x:v>
      </x:c>
      <x:c r="O1008" s="12" t="n">
        <x:f>IF(L1008="Completed",H1008*J1008,0)</x:f>
        <x:v>17000</x:v>
      </x:c>
      <x:c r="P1008" s="12" t="n">
        <x:f>N1008-O1008</x:f>
        <x:v>6400</x:v>
      </x:c>
    </x:row>
    <x:row r="1009" ht="21" customHeight="1">
      <x:c r="A1009" s="7" t="n">
        <x:v>1004</x:v>
      </x:c>
      <x:c r="B1009" s="2" t="str">
        <x:v>TXN-01004</x:v>
      </x:c>
      <x:c r="C1009" s="8" t="d">
        <x:v>2025-09-27T00:00:00.000Z</x:v>
      </x:c>
      <x:c r="D1009" s="2" t="str">
        <x:v>Abuja</x:v>
      </x:c>
      <x:c r="E1009" s="2" t="str">
        <x:v>Fashion</x:v>
      </x:c>
      <x:c r="F1009" s="2" t="str">
        <x:v>Sneakers</x:v>
      </x:c>
      <x:c r="G1009" s="2" t="str">
        <x:v>Online</x:v>
      </x:c>
      <x:c r="H1009" s="7" t="n">
        <x:v>2</x:v>
      </x:c>
      <x:c r="I1009" s="9" t="n">
        <x:v>28000</x:v>
      </x:c>
      <x:c r="J1009" s="9" t="n">
        <x:v>17500</x:v>
      </x:c>
      <x:c r="K1009" s="10" t="n">
        <x:v>0.05</x:v>
      </x:c>
      <x:c r="L1009" s="2" t="str">
        <x:v>Completed</x:v>
      </x:c>
      <x:c r="M1009" s="12" t="n">
        <x:f>H1009*I1009</x:f>
        <x:v>56000</x:v>
      </x:c>
      <x:c r="N1009" s="12" t="n">
        <x:f>IF(L1009="Completed",ROUND(M1009*(1-K1009),2),0)</x:f>
        <x:v>53200</x:v>
      </x:c>
      <x:c r="O1009" s="12" t="n">
        <x:f>IF(L1009="Completed",H1009*J1009,0)</x:f>
        <x:v>35000</x:v>
      </x:c>
      <x:c r="P1009" s="12" t="n">
        <x:f>N1009-O1009</x:f>
        <x:v>18200</x:v>
      </x:c>
    </x:row>
    <x:row r="1010" ht="21" customHeight="1">
      <x:c r="A1010" s="7" t="n">
        <x:v>1005</x:v>
      </x:c>
      <x:c r="B1010" s="2" t="str">
        <x:v>TXN-01005</x:v>
      </x:c>
      <x:c r="C1010" s="8" t="d">
        <x:v>2025-09-20T00:00:00.000Z</x:v>
      </x:c>
      <x:c r="D1010" s="2" t="str">
        <x:v>Kano</x:v>
      </x:c>
      <x:c r="E1010" s="2" t="str">
        <x:v>Beauty</x:v>
      </x:c>
      <x:c r="F1010" s="2" t="str">
        <x:v>Body wash</x:v>
      </x:c>
      <x:c r="G1010" s="2" t="str">
        <x:v>Online</x:v>
      </x:c>
      <x:c r="H1010" s="7" t="n">
        <x:v>1</x:v>
      </x:c>
      <x:c r="I1010" s="9" t="n">
        <x:v>4500</x:v>
      </x:c>
      <x:c r="J1010" s="9" t="n">
        <x:v>2300</x:v>
      </x:c>
      <x:c r="K1010" s="10" t="n">
        <x:v>0</x:v>
      </x:c>
      <x:c r="L1010" s="2" t="str">
        <x:v>Completed</x:v>
      </x:c>
      <x:c r="M1010" s="12" t="n">
        <x:f>H1010*I1010</x:f>
        <x:v>4500</x:v>
      </x:c>
      <x:c r="N1010" s="12" t="n">
        <x:f>IF(L1010="Completed",ROUND(M1010*(1-K1010),2),0)</x:f>
        <x:v>4500</x:v>
      </x:c>
      <x:c r="O1010" s="12" t="n">
        <x:f>IF(L1010="Completed",H1010*J1010,0)</x:f>
        <x:v>2300</x:v>
      </x:c>
      <x:c r="P1010" s="12" t="n">
        <x:f>N1010-O1010</x:f>
        <x:v>2200</x:v>
      </x:c>
    </x:row>
    <x:row r="1011" ht="21" customHeight="1">
      <x:c r="A1011" s="7" t="n">
        <x:v>1006</x:v>
      </x:c>
      <x:c r="B1011" s="2" t="str">
        <x:v>TXN-01006</x:v>
      </x:c>
      <x:c r="C1011" s="8" t="d">
        <x:v>2025-09-04T00:00:00.000Z</x:v>
      </x:c>
      <x:c r="D1011" s="2" t="str">
        <x:v>Kano</x:v>
      </x:c>
      <x:c r="E1011" s="2" t="str">
        <x:v>Electronics</x:v>
      </x:c>
      <x:c r="F1011" s="2" t="str">
        <x:v>Power bank</x:v>
      </x:c>
      <x:c r="G1011" s="2" t="str">
        <x:v>In-store</x:v>
      </x:c>
      <x:c r="H1011" s="7" t="n">
        <x:v>1</x:v>
      </x:c>
      <x:c r="I1011" s="9" t="n">
        <x:v>15000</x:v>
      </x:c>
      <x:c r="J1011" s="9" t="n">
        <x:v>9500</x:v>
      </x:c>
      <x:c r="K1011" s="10" t="n">
        <x:v>0</x:v>
      </x:c>
      <x:c r="L1011" s="2" t="str">
        <x:v>Completed</x:v>
      </x:c>
      <x:c r="M1011" s="12" t="n">
        <x:f>H1011*I1011</x:f>
        <x:v>15000</x:v>
      </x:c>
      <x:c r="N1011" s="12" t="n">
        <x:f>IF(L1011="Completed",ROUND(M1011*(1-K1011),2),0)</x:f>
        <x:v>15000</x:v>
      </x:c>
      <x:c r="O1011" s="12" t="n">
        <x:f>IF(L1011="Completed",H1011*J1011,0)</x:f>
        <x:v>9500</x:v>
      </x:c>
      <x:c r="P1011" s="12" t="n">
        <x:f>N1011-O1011</x:f>
        <x:v>5500</x:v>
      </x:c>
    </x:row>
    <x:row r="1012" ht="21" customHeight="1">
      <x:c r="A1012" s="7" t="n">
        <x:v>1007</x:v>
      </x:c>
      <x:c r="B1012" s="2" t="str">
        <x:v>TXN-01007</x:v>
      </x:c>
      <x:c r="C1012" s="8" t="d">
        <x:v>2025-09-30T00:00:00.000Z</x:v>
      </x:c>
      <x:c r="D1012" s="2" t="str">
        <x:v>Kano</x:v>
      </x:c>
      <x:c r="E1012" s="2" t="str">
        <x:v>Fashion</x:v>
      </x:c>
      <x:c r="F1012" s="2" t="str">
        <x:v>Sneakers</x:v>
      </x:c>
      <x:c r="G1012" s="2" t="str">
        <x:v>Online</x:v>
      </x:c>
      <x:c r="H1012" s="7" t="n">
        <x:v>3</x:v>
      </x:c>
      <x:c r="I1012" s="9" t="n">
        <x:v>28000</x:v>
      </x:c>
      <x:c r="J1012" s="9" t="n">
        <x:v>17500</x:v>
      </x:c>
      <x:c r="K1012" s="10" t="n">
        <x:v>0.05</x:v>
      </x:c>
      <x:c r="L1012" s="2" t="str">
        <x:v>Completed</x:v>
      </x:c>
      <x:c r="M1012" s="12" t="n">
        <x:f>H1012*I1012</x:f>
        <x:v>84000</x:v>
      </x:c>
      <x:c r="N1012" s="12" t="n">
        <x:f>IF(L1012="Completed",ROUND(M1012*(1-K1012),2),0)</x:f>
        <x:v>79800</x:v>
      </x:c>
      <x:c r="O1012" s="12" t="n">
        <x:f>IF(L1012="Completed",H1012*J1012,0)</x:f>
        <x:v>52500</x:v>
      </x:c>
      <x:c r="P1012" s="12" t="n">
        <x:f>N1012-O1012</x:f>
        <x:v>27300</x:v>
      </x:c>
    </x:row>
    <x:row r="1013" ht="21" customHeight="1">
      <x:c r="A1013" s="7" t="n">
        <x:v>1008</x:v>
      </x:c>
      <x:c r="B1013" s="2" t="str">
        <x:v>TXN-01008</x:v>
      </x:c>
      <x:c r="C1013" s="8" t="d">
        <x:v>2025-09-10T00:00:00.000Z</x:v>
      </x:c>
      <x:c r="D1013" s="2" t="str">
        <x:v>Lagos</x:v>
      </x:c>
      <x:c r="E1013" s="2" t="str">
        <x:v>Beauty</x:v>
      </x:c>
      <x:c r="F1013" s="2" t="str">
        <x:v>Body wash</x:v>
      </x:c>
      <x:c r="G1013" s="2" t="str">
        <x:v>In-store</x:v>
      </x:c>
      <x:c r="H1013" s="7" t="n">
        <x:v>1</x:v>
      </x:c>
      <x:c r="I1013" s="9" t="n">
        <x:v>4500</x:v>
      </x:c>
      <x:c r="J1013" s="9" t="n">
        <x:v>2300</x:v>
      </x:c>
      <x:c r="K1013" s="10" t="n">
        <x:v>0.05</x:v>
      </x:c>
      <x:c r="L1013" s="2" t="str">
        <x:v>Completed</x:v>
      </x:c>
      <x:c r="M1013" s="12" t="n">
        <x:f>H1013*I1013</x:f>
        <x:v>4500</x:v>
      </x:c>
      <x:c r="N1013" s="12" t="n">
        <x:f>IF(L1013="Completed",ROUND(M1013*(1-K1013),2),0)</x:f>
        <x:v>4275</x:v>
      </x:c>
      <x:c r="O1013" s="12" t="n">
        <x:f>IF(L1013="Completed",H1013*J1013,0)</x:f>
        <x:v>2300</x:v>
      </x:c>
      <x:c r="P1013" s="12" t="n">
        <x:f>N1013-O1013</x:f>
        <x:v>1975</x:v>
      </x:c>
    </x:row>
    <x:row r="1014" ht="21" customHeight="1">
      <x:c r="A1014" s="7" t="n">
        <x:v>1009</x:v>
      </x:c>
      <x:c r="B1014" s="2" t="str">
        <x:v>TXN-01009</x:v>
      </x:c>
      <x:c r="C1014" s="8" t="d">
        <x:v>2025-09-23T00:00:00.000Z</x:v>
      </x:c>
      <x:c r="D1014" s="2" t="str">
        <x:v>Port Harcourt</x:v>
      </x:c>
      <x:c r="E1014" s="2" t="str">
        <x:v>Beauty</x:v>
      </x:c>
      <x:c r="F1014" s="2" t="str">
        <x:v>Body wash</x:v>
      </x:c>
      <x:c r="G1014" s="2" t="str">
        <x:v>In-store</x:v>
      </x:c>
      <x:c r="H1014" s="7" t="n">
        <x:v>2</x:v>
      </x:c>
      <x:c r="I1014" s="9" t="n">
        <x:v>4500</x:v>
      </x:c>
      <x:c r="J1014" s="9" t="n">
        <x:v>2300</x:v>
      </x:c>
      <x:c r="K1014" s="10" t="n">
        <x:v>0</x:v>
      </x:c>
      <x:c r="L1014" s="2" t="str">
        <x:v>Completed</x:v>
      </x:c>
      <x:c r="M1014" s="12" t="n">
        <x:f>H1014*I1014</x:f>
        <x:v>9000</x:v>
      </x:c>
      <x:c r="N1014" s="12" t="n">
        <x:f>IF(L1014="Completed",ROUND(M1014*(1-K1014),2),0)</x:f>
        <x:v>9000</x:v>
      </x:c>
      <x:c r="O1014" s="12" t="n">
        <x:f>IF(L1014="Completed",H1014*J1014,0)</x:f>
        <x:v>4600</x:v>
      </x:c>
      <x:c r="P1014" s="12" t="n">
        <x:f>N1014-O1014</x:f>
        <x:v>4400</x:v>
      </x:c>
    </x:row>
    <x:row r="1015" ht="21" customHeight="1">
      <x:c r="A1015" s="7" t="n">
        <x:v>1010</x:v>
      </x:c>
      <x:c r="B1015" s="2" t="str">
        <x:v>TXN-01010</x:v>
      </x:c>
      <x:c r="C1015" s="8" t="d">
        <x:v>2025-09-17T00:00:00.000Z</x:v>
      </x:c>
      <x:c r="D1015" s="2" t="str">
        <x:v>Abuja</x:v>
      </x:c>
      <x:c r="E1015" s="2" t="str">
        <x:v>Fashion</x:v>
      </x:c>
      <x:c r="F1015" s="2" t="str">
        <x:v>T-shirt</x:v>
      </x:c>
      <x:c r="G1015" s="2" t="str">
        <x:v>Online</x:v>
      </x:c>
      <x:c r="H1015" s="7" t="n">
        <x:v>3</x:v>
      </x:c>
      <x:c r="I1015" s="9" t="n">
        <x:v>9000</x:v>
      </x:c>
      <x:c r="J1015" s="9" t="n">
        <x:v>5000</x:v>
      </x:c>
      <x:c r="K1015" s="10" t="n">
        <x:v>0.1</x:v>
      </x:c>
      <x:c r="L1015" s="2" t="str">
        <x:v>Completed</x:v>
      </x:c>
      <x:c r="M1015" s="12" t="n">
        <x:f>H1015*I1015</x:f>
        <x:v>27000</x:v>
      </x:c>
      <x:c r="N1015" s="12" t="n">
        <x:f>IF(L1015="Completed",ROUND(M1015*(1-K1015),2),0)</x:f>
        <x:v>24300</x:v>
      </x:c>
      <x:c r="O1015" s="12" t="n">
        <x:f>IF(L1015="Completed",H1015*J1015,0)</x:f>
        <x:v>15000</x:v>
      </x:c>
      <x:c r="P1015" s="12" t="n">
        <x:f>N1015-O1015</x:f>
        <x:v>9300</x:v>
      </x:c>
    </x:row>
    <x:row r="1016" ht="21" customHeight="1">
      <x:c r="A1016" s="7" t="n">
        <x:v>1011</x:v>
      </x:c>
      <x:c r="B1016" s="2" t="str">
        <x:v>TXN-01011</x:v>
      </x:c>
      <x:c r="C1016" s="8" t="d">
        <x:v>2025-09-26T00:00:00.000Z</x:v>
      </x:c>
      <x:c r="D1016" s="2" t="str">
        <x:v>Lagos</x:v>
      </x:c>
      <x:c r="E1016" s="2" t="str">
        <x:v>Fashion</x:v>
      </x:c>
      <x:c r="F1016" s="2" t="str">
        <x:v>T-shirt</x:v>
      </x:c>
      <x:c r="G1016" s="2" t="str">
        <x:v>Online</x:v>
      </x:c>
      <x:c r="H1016" s="7" t="n">
        <x:v>1</x:v>
      </x:c>
      <x:c r="I1016" s="9" t="n">
        <x:v>9000</x:v>
      </x:c>
      <x:c r="J1016" s="9" t="n">
        <x:v>5000</x:v>
      </x:c>
      <x:c r="K1016" s="10" t="n">
        <x:v>0.1</x:v>
      </x:c>
      <x:c r="L1016" s="2" t="str">
        <x:v>Completed</x:v>
      </x:c>
      <x:c r="M1016" s="12" t="n">
        <x:f>H1016*I1016</x:f>
        <x:v>9000</x:v>
      </x:c>
      <x:c r="N1016" s="12" t="n">
        <x:f>IF(L1016="Completed",ROUND(M1016*(1-K1016),2),0)</x:f>
        <x:v>8100</x:v>
      </x:c>
      <x:c r="O1016" s="12" t="n">
        <x:f>IF(L1016="Completed",H1016*J1016,0)</x:f>
        <x:v>5000</x:v>
      </x:c>
      <x:c r="P1016" s="12" t="n">
        <x:f>N1016-O1016</x:f>
        <x:v>3100</x:v>
      </x:c>
    </x:row>
    <x:row r="1017" ht="21" customHeight="1">
      <x:c r="A1017" s="7" t="n">
        <x:v>1012</x:v>
      </x:c>
      <x:c r="B1017" s="2" t="str">
        <x:v>TXN-01012</x:v>
      </x:c>
      <x:c r="C1017" s="8" t="d">
        <x:v>2025-09-27T00:00:00.000Z</x:v>
      </x:c>
      <x:c r="D1017" s="2" t="str">
        <x:v>Port Harcourt</x:v>
      </x:c>
      <x:c r="E1017" s="2" t="str">
        <x:v>Beauty</x:v>
      </x:c>
      <x:c r="F1017" s="2" t="str">
        <x:v>Body wash</x:v>
      </x:c>
      <x:c r="G1017" s="2" t="str">
        <x:v>Online</x:v>
      </x:c>
      <x:c r="H1017" s="7" t="n">
        <x:v>1</x:v>
      </x:c>
      <x:c r="I1017" s="9" t="n">
        <x:v>4500</x:v>
      </x:c>
      <x:c r="J1017" s="9" t="n">
        <x:v>2300</x:v>
      </x:c>
      <x:c r="K1017" s="10" t="n">
        <x:v>0.15</x:v>
      </x:c>
      <x:c r="L1017" s="2" t="str">
        <x:v>Completed</x:v>
      </x:c>
      <x:c r="M1017" s="12" t="n">
        <x:f>H1017*I1017</x:f>
        <x:v>4500</x:v>
      </x:c>
      <x:c r="N1017" s="12" t="n">
        <x:f>IF(L1017="Completed",ROUND(M1017*(1-K1017),2),0)</x:f>
        <x:v>3825</x:v>
      </x:c>
      <x:c r="O1017" s="12" t="n">
        <x:f>IF(L1017="Completed",H1017*J1017,0)</x:f>
        <x:v>2300</x:v>
      </x:c>
      <x:c r="P1017" s="12" t="n">
        <x:f>N1017-O1017</x:f>
        <x:v>1525</x:v>
      </x:c>
    </x:row>
    <x:row r="1018" ht="21" customHeight="1">
      <x:c r="A1018" s="7" t="n">
        <x:v>1013</x:v>
      </x:c>
      <x:c r="B1018" s="2" t="str">
        <x:v>TXN-01013</x:v>
      </x:c>
      <x:c r="C1018" s="8" t="d">
        <x:v>2025-09-19T00:00:00.000Z</x:v>
      </x:c>
      <x:c r="D1018" s="2" t="str">
        <x:v>Lagos</x:v>
      </x:c>
      <x:c r="E1018" s="2" t="str">
        <x:v>Electronics</x:v>
      </x:c>
      <x:c r="F1018" s="2" t="str">
        <x:v>Power bank</x:v>
      </x:c>
      <x:c r="G1018" s="2" t="str">
        <x:v>In-store</x:v>
      </x:c>
      <x:c r="H1018" s="7" t="n">
        <x:v>1</x:v>
      </x:c>
      <x:c r="I1018" s="9" t="n">
        <x:v>15000</x:v>
      </x:c>
      <x:c r="J1018" s="9" t="n">
        <x:v>9500</x:v>
      </x:c>
      <x:c r="K1018" s="10" t="n">
        <x:v>0</x:v>
      </x:c>
      <x:c r="L1018" s="2" t="str">
        <x:v>Completed</x:v>
      </x:c>
      <x:c r="M1018" s="12" t="n">
        <x:f>H1018*I1018</x:f>
        <x:v>15000</x:v>
      </x:c>
      <x:c r="N1018" s="12" t="n">
        <x:f>IF(L1018="Completed",ROUND(M1018*(1-K1018),2),0)</x:f>
        <x:v>15000</x:v>
      </x:c>
      <x:c r="O1018" s="12" t="n">
        <x:f>IF(L1018="Completed",H1018*J1018,0)</x:f>
        <x:v>9500</x:v>
      </x:c>
      <x:c r="P1018" s="12" t="n">
        <x:f>N1018-O1018</x:f>
        <x:v>5500</x:v>
      </x:c>
    </x:row>
    <x:row r="1019" ht="21" customHeight="1">
      <x:c r="A1019" s="7" t="n">
        <x:v>1014</x:v>
      </x:c>
      <x:c r="B1019" s="2" t="str">
        <x:v>TXN-01014</x:v>
      </x:c>
      <x:c r="C1019" s="8" t="d">
        <x:v>2025-09-11T00:00:00.000Z</x:v>
      </x:c>
      <x:c r="D1019" s="2" t="str">
        <x:v>Abuja</x:v>
      </x:c>
      <x:c r="E1019" s="2" t="str">
        <x:v>Fashion</x:v>
      </x:c>
      <x:c r="F1019" s="2" t="str">
        <x:v>T-shirt</x:v>
      </x:c>
      <x:c r="G1019" s="2" t="str">
        <x:v>In-store</x:v>
      </x:c>
      <x:c r="H1019" s="7" t="n">
        <x:v>1</x:v>
      </x:c>
      <x:c r="I1019" s="9" t="n">
        <x:v>9000</x:v>
      </x:c>
      <x:c r="J1019" s="9" t="n">
        <x:v>5000</x:v>
      </x:c>
      <x:c r="K1019" s="10" t="n">
        <x:v>0.05</x:v>
      </x:c>
      <x:c r="L1019" s="2" t="str">
        <x:v>Completed</x:v>
      </x:c>
      <x:c r="M1019" s="12" t="n">
        <x:f>H1019*I1019</x:f>
        <x:v>9000</x:v>
      </x:c>
      <x:c r="N1019" s="12" t="n">
        <x:f>IF(L1019="Completed",ROUND(M1019*(1-K1019),2),0)</x:f>
        <x:v>8550</x:v>
      </x:c>
      <x:c r="O1019" s="12" t="n">
        <x:f>IF(L1019="Completed",H1019*J1019,0)</x:f>
        <x:v>5000</x:v>
      </x:c>
      <x:c r="P1019" s="12" t="n">
        <x:f>N1019-O1019</x:f>
        <x:v>3550</x:v>
      </x:c>
    </x:row>
    <x:row r="1020" ht="21" customHeight="1">
      <x:c r="A1020" s="7" t="n">
        <x:v>1015</x:v>
      </x:c>
      <x:c r="B1020" s="2" t="str">
        <x:v>TXN-01015</x:v>
      </x:c>
      <x:c r="C1020" s="8" t="d">
        <x:v>2025-09-01T00:00:00.000Z</x:v>
      </x:c>
      <x:c r="D1020" s="2" t="str">
        <x:v>Kano</x:v>
      </x:c>
      <x:c r="E1020" s="2" t="str">
        <x:v>Beauty</x:v>
      </x:c>
      <x:c r="F1020" s="2" t="str">
        <x:v>Perfume</x:v>
      </x:c>
      <x:c r="G1020" s="2" t="str">
        <x:v>In-store</x:v>
      </x:c>
      <x:c r="H1020" s="7" t="n">
        <x:v>1</x:v>
      </x:c>
      <x:c r="I1020" s="9" t="n">
        <x:v>17000</x:v>
      </x:c>
      <x:c r="J1020" s="9" t="n">
        <x:v>9000</x:v>
      </x:c>
      <x:c r="K1020" s="10" t="n">
        <x:v>0</x:v>
      </x:c>
      <x:c r="L1020" s="2" t="str">
        <x:v>Completed</x:v>
      </x:c>
      <x:c r="M1020" s="12" t="n">
        <x:f>H1020*I1020</x:f>
        <x:v>17000</x:v>
      </x:c>
      <x:c r="N1020" s="12" t="n">
        <x:f>IF(L1020="Completed",ROUND(M1020*(1-K1020),2),0)</x:f>
        <x:v>17000</x:v>
      </x:c>
      <x:c r="O1020" s="12" t="n">
        <x:f>IF(L1020="Completed",H1020*J1020,0)</x:f>
        <x:v>9000</x:v>
      </x:c>
      <x:c r="P1020" s="12" t="n">
        <x:f>N1020-O1020</x:f>
        <x:v>8000</x:v>
      </x:c>
    </x:row>
    <x:row r="1021" ht="21" customHeight="1">
      <x:c r="A1021" s="7" t="n">
        <x:v>1016</x:v>
      </x:c>
      <x:c r="B1021" s="2" t="str">
        <x:v>TXN-01016</x:v>
      </x:c>
      <x:c r="C1021" s="8" t="d">
        <x:v>2025-09-20T00:00:00.000Z</x:v>
      </x:c>
      <x:c r="D1021" s="2" t="str">
        <x:v>Lagos</x:v>
      </x:c>
      <x:c r="E1021" s="2" t="str">
        <x:v>Electronics</x:v>
      </x:c>
      <x:c r="F1021" s="2" t="str">
        <x:v>Bluetooth speaker</x:v>
      </x:c>
      <x:c r="G1021" s="2" t="str">
        <x:v>Online</x:v>
      </x:c>
      <x:c r="H1021" s="7" t="n">
        <x:v>2</x:v>
      </x:c>
      <x:c r="I1021" s="9" t="n">
        <x:v>26000</x:v>
      </x:c>
      <x:c r="J1021" s="9" t="n">
        <x:v>17000</x:v>
      </x:c>
      <x:c r="K1021" s="10" t="n">
        <x:v>0.05</x:v>
      </x:c>
      <x:c r="L1021" s="2" t="str">
        <x:v>Completed</x:v>
      </x:c>
      <x:c r="M1021" s="12" t="n">
        <x:f>H1021*I1021</x:f>
        <x:v>52000</x:v>
      </x:c>
      <x:c r="N1021" s="12" t="n">
        <x:f>IF(L1021="Completed",ROUND(M1021*(1-K1021),2),0)</x:f>
        <x:v>49400</x:v>
      </x:c>
      <x:c r="O1021" s="12" t="n">
        <x:f>IF(L1021="Completed",H1021*J1021,0)</x:f>
        <x:v>34000</x:v>
      </x:c>
      <x:c r="P1021" s="12" t="n">
        <x:f>N1021-O1021</x:f>
        <x:v>15400</x:v>
      </x:c>
    </x:row>
    <x:row r="1022" ht="21" customHeight="1">
      <x:c r="A1022" s="7" t="n">
        <x:v>1017</x:v>
      </x:c>
      <x:c r="B1022" s="2" t="str">
        <x:v>TXN-01017</x:v>
      </x:c>
      <x:c r="C1022" s="8" t="d">
        <x:v>2025-09-13T00:00:00.000Z</x:v>
      </x:c>
      <x:c r="D1022" s="2" t="str">
        <x:v>Port Harcourt</x:v>
      </x:c>
      <x:c r="E1022" s="2" t="str">
        <x:v>Beauty</x:v>
      </x:c>
      <x:c r="F1022" s="2" t="str">
        <x:v>Perfume</x:v>
      </x:c>
      <x:c r="G1022" s="2" t="str">
        <x:v>Online</x:v>
      </x:c>
      <x:c r="H1022" s="7" t="n">
        <x:v>1</x:v>
      </x:c>
      <x:c r="I1022" s="9" t="n">
        <x:v>17000</x:v>
      </x:c>
      <x:c r="J1022" s="9" t="n">
        <x:v>9000</x:v>
      </x:c>
      <x:c r="K1022" s="10" t="n">
        <x:v>0.1</x:v>
      </x:c>
      <x:c r="L1022" s="2" t="str">
        <x:v>Completed</x:v>
      </x:c>
      <x:c r="M1022" s="12" t="n">
        <x:f>H1022*I1022</x:f>
        <x:v>17000</x:v>
      </x:c>
      <x:c r="N1022" s="12" t="n">
        <x:f>IF(L1022="Completed",ROUND(M1022*(1-K1022),2),0)</x:f>
        <x:v>15300</x:v>
      </x:c>
      <x:c r="O1022" s="12" t="n">
        <x:f>IF(L1022="Completed",H1022*J1022,0)</x:f>
        <x:v>9000</x:v>
      </x:c>
      <x:c r="P1022" s="12" t="n">
        <x:f>N1022-O1022</x:f>
        <x:v>6300</x:v>
      </x:c>
    </x:row>
    <x:row r="1023" ht="21" customHeight="1">
      <x:c r="A1023" s="7" t="n">
        <x:v>1018</x:v>
      </x:c>
      <x:c r="B1023" s="2" t="str">
        <x:v>TXN-01018</x:v>
      </x:c>
      <x:c r="C1023" s="8" t="d">
        <x:v>2025-09-18T00:00:00.000Z</x:v>
      </x:c>
      <x:c r="D1023" s="2" t="str">
        <x:v>Lagos</x:v>
      </x:c>
      <x:c r="E1023" s="2" t="str">
        <x:v>Electronics</x:v>
      </x:c>
      <x:c r="F1023" s="2" t="str">
        <x:v>Bluetooth speaker</x:v>
      </x:c>
      <x:c r="G1023" s="2" t="str">
        <x:v>In-store</x:v>
      </x:c>
      <x:c r="H1023" s="7" t="n">
        <x:v>2</x:v>
      </x:c>
      <x:c r="I1023" s="9" t="n">
        <x:v>26000</x:v>
      </x:c>
      <x:c r="J1023" s="9" t="n">
        <x:v>17000</x:v>
      </x:c>
      <x:c r="K1023" s="10" t="n">
        <x:v>0.1</x:v>
      </x:c>
      <x:c r="L1023" s="2" t="str">
        <x:v>Completed</x:v>
      </x:c>
      <x:c r="M1023" s="12" t="n">
        <x:f>H1023*I1023</x:f>
        <x:v>52000</x:v>
      </x:c>
      <x:c r="N1023" s="12" t="n">
        <x:f>IF(L1023="Completed",ROUND(M1023*(1-K1023),2),0)</x:f>
        <x:v>46800</x:v>
      </x:c>
      <x:c r="O1023" s="12" t="n">
        <x:f>IF(L1023="Completed",H1023*J1023,0)</x:f>
        <x:v>34000</x:v>
      </x:c>
      <x:c r="P1023" s="12" t="n">
        <x:f>N1023-O1023</x:f>
        <x:v>12800</x:v>
      </x:c>
    </x:row>
    <x:row r="1024" ht="21" customHeight="1">
      <x:c r="A1024" s="7" t="n">
        <x:v>1019</x:v>
      </x:c>
      <x:c r="B1024" s="2" t="str">
        <x:v>TXN-01019</x:v>
      </x:c>
      <x:c r="C1024" s="8" t="d">
        <x:v>2025-09-07T00:00:00.000Z</x:v>
      </x:c>
      <x:c r="D1024" s="2" t="str">
        <x:v>Kano</x:v>
      </x:c>
      <x:c r="E1024" s="2" t="str">
        <x:v>Fashion</x:v>
      </x:c>
      <x:c r="F1024" s="2" t="str">
        <x:v>Handbag</x:v>
      </x:c>
      <x:c r="G1024" s="2" t="str">
        <x:v>In-store</x:v>
      </x:c>
      <x:c r="H1024" s="7" t="n">
        <x:v>4</x:v>
      </x:c>
      <x:c r="I1024" s="9" t="n">
        <x:v>22000</x:v>
      </x:c>
      <x:c r="J1024" s="9" t="n">
        <x:v>13500</x:v>
      </x:c>
      <x:c r="K1024" s="10" t="n">
        <x:v>0</x:v>
      </x:c>
      <x:c r="L1024" s="2" t="str">
        <x:v>Completed</x:v>
      </x:c>
      <x:c r="M1024" s="12" t="n">
        <x:f>H1024*I1024</x:f>
        <x:v>88000</x:v>
      </x:c>
      <x:c r="N1024" s="12" t="n">
        <x:f>IF(L1024="Completed",ROUND(M1024*(1-K1024),2),0)</x:f>
        <x:v>88000</x:v>
      </x:c>
      <x:c r="O1024" s="12" t="n">
        <x:f>IF(L1024="Completed",H1024*J1024,0)</x:f>
        <x:v>54000</x:v>
      </x:c>
      <x:c r="P1024" s="12" t="n">
        <x:f>N1024-O1024</x:f>
        <x:v>34000</x:v>
      </x:c>
    </x:row>
    <x:row r="1025" ht="21" customHeight="1">
      <x:c r="A1025" s="7" t="n">
        <x:v>1020</x:v>
      </x:c>
      <x:c r="B1025" s="2" t="str">
        <x:v>TXN-01020</x:v>
      </x:c>
      <x:c r="C1025" s="8" t="d">
        <x:v>2025-09-05T00:00:00.000Z</x:v>
      </x:c>
      <x:c r="D1025" s="2" t="str">
        <x:v>Lagos</x:v>
      </x:c>
      <x:c r="E1025" s="2" t="str">
        <x:v>Fashion</x:v>
      </x:c>
      <x:c r="F1025" s="2" t="str">
        <x:v>Sneakers</x:v>
      </x:c>
      <x:c r="G1025" s="2" t="str">
        <x:v>Online</x:v>
      </x:c>
      <x:c r="H1025" s="7" t="n">
        <x:v>1</x:v>
      </x:c>
      <x:c r="I1025" s="9" t="n">
        <x:v>28000</x:v>
      </x:c>
      <x:c r="J1025" s="9" t="n">
        <x:v>17500</x:v>
      </x:c>
      <x:c r="K1025" s="10" t="n">
        <x:v>0.05</x:v>
      </x:c>
      <x:c r="L1025" s="2" t="str">
        <x:v>Completed</x:v>
      </x:c>
      <x:c r="M1025" s="12" t="n">
        <x:f>H1025*I1025</x:f>
        <x:v>28000</x:v>
      </x:c>
      <x:c r="N1025" s="12" t="n">
        <x:f>IF(L1025="Completed",ROUND(M1025*(1-K1025),2),0)</x:f>
        <x:v>26600</x:v>
      </x:c>
      <x:c r="O1025" s="12" t="n">
        <x:f>IF(L1025="Completed",H1025*J1025,0)</x:f>
        <x:v>17500</x:v>
      </x:c>
      <x:c r="P1025" s="12" t="n">
        <x:f>N1025-O1025</x:f>
        <x:v>9100</x:v>
      </x:c>
    </x:row>
    <x:row r="1026" ht="21" customHeight="1">
      <x:c r="A1026" s="7" t="n">
        <x:v>1021</x:v>
      </x:c>
      <x:c r="B1026" s="2" t="str">
        <x:v>TXN-01021</x:v>
      </x:c>
      <x:c r="C1026" s="8" t="d">
        <x:v>2025-09-24T00:00:00.000Z</x:v>
      </x:c>
      <x:c r="D1026" s="2" t="str">
        <x:v>Kano</x:v>
      </x:c>
      <x:c r="E1026" s="2" t="str">
        <x:v>Electronics</x:v>
      </x:c>
      <x:c r="F1026" s="2" t="str">
        <x:v>Headphones</x:v>
      </x:c>
      <x:c r="G1026" s="2" t="str">
        <x:v>In-store</x:v>
      </x:c>
      <x:c r="H1026" s="7" t="n">
        <x:v>1</x:v>
      </x:c>
      <x:c r="I1026" s="9" t="n">
        <x:v>18000</x:v>
      </x:c>
      <x:c r="J1026" s="9" t="n">
        <x:v>10500</x:v>
      </x:c>
      <x:c r="K1026" s="10" t="n">
        <x:v>0</x:v>
      </x:c>
      <x:c r="L1026" s="2" t="str">
        <x:v>Completed</x:v>
      </x:c>
      <x:c r="M1026" s="12" t="n">
        <x:f>H1026*I1026</x:f>
        <x:v>18000</x:v>
      </x:c>
      <x:c r="N1026" s="12" t="n">
        <x:f>IF(L1026="Completed",ROUND(M1026*(1-K1026),2),0)</x:f>
        <x:v>18000</x:v>
      </x:c>
      <x:c r="O1026" s="12" t="n">
        <x:f>IF(L1026="Completed",H1026*J1026,0)</x:f>
        <x:v>10500</x:v>
      </x:c>
      <x:c r="P1026" s="12" t="n">
        <x:f>N1026-O1026</x:f>
        <x:v>7500</x:v>
      </x:c>
    </x:row>
    <x:row r="1027" ht="21" customHeight="1">
      <x:c r="A1027" s="7" t="n">
        <x:v>1022</x:v>
      </x:c>
      <x:c r="B1027" s="2" t="str">
        <x:v>TXN-01022</x:v>
      </x:c>
      <x:c r="C1027" s="8" t="d">
        <x:v>2025-09-05T00:00:00.000Z</x:v>
      </x:c>
      <x:c r="D1027" s="2" t="str">
        <x:v>Kano</x:v>
      </x:c>
      <x:c r="E1027" s="2" t="str">
        <x:v>Fashion</x:v>
      </x:c>
      <x:c r="F1027" s="2" t="str">
        <x:v>Handbag</x:v>
      </x:c>
      <x:c r="G1027" s="2" t="str">
        <x:v>Online</x:v>
      </x:c>
      <x:c r="H1027" s="7" t="n">
        <x:v>1</x:v>
      </x:c>
      <x:c r="I1027" s="9" t="n">
        <x:v>22000</x:v>
      </x:c>
      <x:c r="J1027" s="9" t="n">
        <x:v>13500</x:v>
      </x:c>
      <x:c r="K1027" s="10" t="n">
        <x:v>0.1</x:v>
      </x:c>
      <x:c r="L1027" s="2" t="str">
        <x:v>Completed</x:v>
      </x:c>
      <x:c r="M1027" s="12" t="n">
        <x:f>H1027*I1027</x:f>
        <x:v>22000</x:v>
      </x:c>
      <x:c r="N1027" s="12" t="n">
        <x:f>IF(L1027="Completed",ROUND(M1027*(1-K1027),2),0)</x:f>
        <x:v>19800</x:v>
      </x:c>
      <x:c r="O1027" s="12" t="n">
        <x:f>IF(L1027="Completed",H1027*J1027,0)</x:f>
        <x:v>13500</x:v>
      </x:c>
      <x:c r="P1027" s="12" t="n">
        <x:f>N1027-O1027</x:f>
        <x:v>6300</x:v>
      </x:c>
    </x:row>
    <x:row r="1028" ht="21" customHeight="1">
      <x:c r="A1028" s="7" t="n">
        <x:v>1023</x:v>
      </x:c>
      <x:c r="B1028" s="2" t="str">
        <x:v>TXN-01023</x:v>
      </x:c>
      <x:c r="C1028" s="8" t="d">
        <x:v>2025-09-30T00:00:00.000Z</x:v>
      </x:c>
      <x:c r="D1028" s="2" t="str">
        <x:v>Lagos</x:v>
      </x:c>
      <x:c r="E1028" s="2" t="str">
        <x:v>Fashion</x:v>
      </x:c>
      <x:c r="F1028" s="2" t="str">
        <x:v>Handbag</x:v>
      </x:c>
      <x:c r="G1028" s="2" t="str">
        <x:v>Online</x:v>
      </x:c>
      <x:c r="H1028" s="7" t="n">
        <x:v>1</x:v>
      </x:c>
      <x:c r="I1028" s="9" t="n">
        <x:v>22000</x:v>
      </x:c>
      <x:c r="J1028" s="9" t="n">
        <x:v>13500</x:v>
      </x:c>
      <x:c r="K1028" s="10" t="n">
        <x:v>0</x:v>
      </x:c>
      <x:c r="L1028" s="2" t="str">
        <x:v>Completed</x:v>
      </x:c>
      <x:c r="M1028" s="12" t="n">
        <x:f>H1028*I1028</x:f>
        <x:v>22000</x:v>
      </x:c>
      <x:c r="N1028" s="12" t="n">
        <x:f>IF(L1028="Completed",ROUND(M1028*(1-K1028),2),0)</x:f>
        <x:v>22000</x:v>
      </x:c>
      <x:c r="O1028" s="12" t="n">
        <x:f>IF(L1028="Completed",H1028*J1028,0)</x:f>
        <x:v>13500</x:v>
      </x:c>
      <x:c r="P1028" s="12" t="n">
        <x:f>N1028-O1028</x:f>
        <x:v>8500</x:v>
      </x:c>
    </x:row>
    <x:row r="1029" ht="21" customHeight="1">
      <x:c r="A1029" s="7" t="n">
        <x:v>1024</x:v>
      </x:c>
      <x:c r="B1029" s="2" t="str">
        <x:v>TXN-01024</x:v>
      </x:c>
      <x:c r="C1029" s="8" t="d">
        <x:v>2025-09-08T00:00:00.000Z</x:v>
      </x:c>
      <x:c r="D1029" s="2" t="str">
        <x:v>Abuja</x:v>
      </x:c>
      <x:c r="E1029" s="2" t="str">
        <x:v>Home</x:v>
      </x:c>
      <x:c r="F1029" s="2" t="str">
        <x:v>Cookware set</x:v>
      </x:c>
      <x:c r="G1029" s="2" t="str">
        <x:v>Online</x:v>
      </x:c>
      <x:c r="H1029" s="7" t="n">
        <x:v>1</x:v>
      </x:c>
      <x:c r="I1029" s="9" t="n">
        <x:v>35000</x:v>
      </x:c>
      <x:c r="J1029" s="9" t="n">
        <x:v>22500</x:v>
      </x:c>
      <x:c r="K1029" s="10" t="n">
        <x:v>0</x:v>
      </x:c>
      <x:c r="L1029" s="2" t="str">
        <x:v>Completed</x:v>
      </x:c>
      <x:c r="M1029" s="12" t="n">
        <x:f>H1029*I1029</x:f>
        <x:v>35000</x:v>
      </x:c>
      <x:c r="N1029" s="12" t="n">
        <x:f>IF(L1029="Completed",ROUND(M1029*(1-K1029),2),0)</x:f>
        <x:v>35000</x:v>
      </x:c>
      <x:c r="O1029" s="12" t="n">
        <x:f>IF(L1029="Completed",H1029*J1029,0)</x:f>
        <x:v>22500</x:v>
      </x:c>
      <x:c r="P1029" s="12" t="n">
        <x:f>N1029-O1029</x:f>
        <x:v>12500</x:v>
      </x:c>
    </x:row>
    <x:row r="1030" ht="21" customHeight="1">
      <x:c r="A1030" s="7" t="n">
        <x:v>1025</x:v>
      </x:c>
      <x:c r="B1030" s="2" t="str">
        <x:v>TXN-01025</x:v>
      </x:c>
      <x:c r="C1030" s="8" t="d">
        <x:v>2025-09-19T00:00:00.000Z</x:v>
      </x:c>
      <x:c r="D1030" s="2" t="str">
        <x:v>Kano</x:v>
      </x:c>
      <x:c r="E1030" s="2" t="str">
        <x:v>Beauty</x:v>
      </x:c>
      <x:c r="F1030" s="2" t="str">
        <x:v>Moisturizer</x:v>
      </x:c>
      <x:c r="G1030" s="2" t="str">
        <x:v>In-store</x:v>
      </x:c>
      <x:c r="H1030" s="7" t="n">
        <x:v>1</x:v>
      </x:c>
      <x:c r="I1030" s="9" t="n">
        <x:v>6500</x:v>
      </x:c>
      <x:c r="J1030" s="9" t="n">
        <x:v>3500</x:v>
      </x:c>
      <x:c r="K1030" s="10" t="n">
        <x:v>0</x:v>
      </x:c>
      <x:c r="L1030" s="2" t="str">
        <x:v>Completed</x:v>
      </x:c>
      <x:c r="M1030" s="12" t="n">
        <x:f>H1030*I1030</x:f>
        <x:v>6500</x:v>
      </x:c>
      <x:c r="N1030" s="12" t="n">
        <x:f>IF(L1030="Completed",ROUND(M1030*(1-K1030),2),0)</x:f>
        <x:v>6500</x:v>
      </x:c>
      <x:c r="O1030" s="12" t="n">
        <x:f>IF(L1030="Completed",H1030*J1030,0)</x:f>
        <x:v>3500</x:v>
      </x:c>
      <x:c r="P1030" s="12" t="n">
        <x:f>N1030-O1030</x:f>
        <x:v>3000</x:v>
      </x:c>
    </x:row>
    <x:row r="1031" ht="21" customHeight="1">
      <x:c r="A1031" s="7" t="n">
        <x:v>1026</x:v>
      </x:c>
      <x:c r="B1031" s="2" t="str">
        <x:v>TXN-01026</x:v>
      </x:c>
      <x:c r="C1031" s="8" t="d">
        <x:v>2025-09-14T00:00:00.000Z</x:v>
      </x:c>
      <x:c r="D1031" s="2" t="str">
        <x:v>Lagos</x:v>
      </x:c>
      <x:c r="E1031" s="2" t="str">
        <x:v>Fashion</x:v>
      </x:c>
      <x:c r="F1031" s="2" t="str">
        <x:v>T-shirt</x:v>
      </x:c>
      <x:c r="G1031" s="2" t="str">
        <x:v>Online</x:v>
      </x:c>
      <x:c r="H1031" s="7" t="n">
        <x:v>1</x:v>
      </x:c>
      <x:c r="I1031" s="9" t="n">
        <x:v>9000</x:v>
      </x:c>
      <x:c r="J1031" s="9" t="n">
        <x:v>5000</x:v>
      </x:c>
      <x:c r="K1031" s="10" t="n">
        <x:v>0</x:v>
      </x:c>
      <x:c r="L1031" s="2" t="str">
        <x:v>Completed</x:v>
      </x:c>
      <x:c r="M1031" s="12" t="n">
        <x:f>H1031*I1031</x:f>
        <x:v>9000</x:v>
      </x:c>
      <x:c r="N1031" s="12" t="n">
        <x:f>IF(L1031="Completed",ROUND(M1031*(1-K1031),2),0)</x:f>
        <x:v>9000</x:v>
      </x:c>
      <x:c r="O1031" s="12" t="n">
        <x:f>IF(L1031="Completed",H1031*J1031,0)</x:f>
        <x:v>5000</x:v>
      </x:c>
      <x:c r="P1031" s="12" t="n">
        <x:f>N1031-O1031</x:f>
        <x:v>4000</x:v>
      </x:c>
    </x:row>
    <x:row r="1032" ht="21" customHeight="1">
      <x:c r="A1032" s="7" t="n">
        <x:v>1027</x:v>
      </x:c>
      <x:c r="B1032" s="2" t="str">
        <x:v>TXN-01027</x:v>
      </x:c>
      <x:c r="C1032" s="8" t="d">
        <x:v>2025-09-24T00:00:00.000Z</x:v>
      </x:c>
      <x:c r="D1032" s="2" t="str">
        <x:v>Lagos</x:v>
      </x:c>
      <x:c r="E1032" s="2" t="str">
        <x:v>Electronics</x:v>
      </x:c>
      <x:c r="F1032" s="2" t="str">
        <x:v>Headphones</x:v>
      </x:c>
      <x:c r="G1032" s="2" t="str">
        <x:v>Online</x:v>
      </x:c>
      <x:c r="H1032" s="7" t="n">
        <x:v>1</x:v>
      </x:c>
      <x:c r="I1032" s="9" t="n">
        <x:v>18000</x:v>
      </x:c>
      <x:c r="J1032" s="9" t="n">
        <x:v>10500</x:v>
      </x:c>
      <x:c r="K1032" s="10" t="n">
        <x:v>0.05</x:v>
      </x:c>
      <x:c r="L1032" s="2" t="str">
        <x:v>Completed</x:v>
      </x:c>
      <x:c r="M1032" s="12" t="n">
        <x:f>H1032*I1032</x:f>
        <x:v>18000</x:v>
      </x:c>
      <x:c r="N1032" s="12" t="n">
        <x:f>IF(L1032="Completed",ROUND(M1032*(1-K1032),2),0)</x:f>
        <x:v>17100</x:v>
      </x:c>
      <x:c r="O1032" s="12" t="n">
        <x:f>IF(L1032="Completed",H1032*J1032,0)</x:f>
        <x:v>10500</x:v>
      </x:c>
      <x:c r="P1032" s="12" t="n">
        <x:f>N1032-O1032</x:f>
        <x:v>6600</x:v>
      </x:c>
    </x:row>
    <x:row r="1033" ht="21" customHeight="1">
      <x:c r="A1033" s="7" t="n">
        <x:v>1028</x:v>
      </x:c>
      <x:c r="B1033" s="2" t="str">
        <x:v>TXN-01028</x:v>
      </x:c>
      <x:c r="C1033" s="8" t="d">
        <x:v>2025-09-11T00:00:00.000Z</x:v>
      </x:c>
      <x:c r="D1033" s="2" t="str">
        <x:v>Lagos</x:v>
      </x:c>
      <x:c r="E1033" s="2" t="str">
        <x:v>Home</x:v>
      </x:c>
      <x:c r="F1033" s="2" t="str">
        <x:v>Bedsheet</x:v>
      </x:c>
      <x:c r="G1033" s="2" t="str">
        <x:v>In-store</x:v>
      </x:c>
      <x:c r="H1033" s="7" t="n">
        <x:v>1</x:v>
      </x:c>
      <x:c r="I1033" s="9" t="n">
        <x:v>14000</x:v>
      </x:c>
      <x:c r="J1033" s="9" t="n">
        <x:v>8500</x:v>
      </x:c>
      <x:c r="K1033" s="10" t="n">
        <x:v>0.1</x:v>
      </x:c>
      <x:c r="L1033" s="2" t="str">
        <x:v>Completed</x:v>
      </x:c>
      <x:c r="M1033" s="12" t="n">
        <x:f>H1033*I1033</x:f>
        <x:v>14000</x:v>
      </x:c>
      <x:c r="N1033" s="12" t="n">
        <x:f>IF(L1033="Completed",ROUND(M1033*(1-K1033),2),0)</x:f>
        <x:v>12600</x:v>
      </x:c>
      <x:c r="O1033" s="12" t="n">
        <x:f>IF(L1033="Completed",H1033*J1033,0)</x:f>
        <x:v>8500</x:v>
      </x:c>
      <x:c r="P1033" s="12" t="n">
        <x:f>N1033-O1033</x:f>
        <x:v>4100</x:v>
      </x:c>
    </x:row>
    <x:row r="1034" ht="21" customHeight="1">
      <x:c r="A1034" s="7" t="n">
        <x:v>1029</x:v>
      </x:c>
      <x:c r="B1034" s="2" t="str">
        <x:v>TXN-01029</x:v>
      </x:c>
      <x:c r="C1034" s="8" t="d">
        <x:v>2025-09-14T00:00:00.000Z</x:v>
      </x:c>
      <x:c r="D1034" s="2" t="str">
        <x:v>Port Harcourt</x:v>
      </x:c>
      <x:c r="E1034" s="2" t="str">
        <x:v>Fashion</x:v>
      </x:c>
      <x:c r="F1034" s="2" t="str">
        <x:v>Handbag</x:v>
      </x:c>
      <x:c r="G1034" s="2" t="str">
        <x:v>Online</x:v>
      </x:c>
      <x:c r="H1034" s="7" t="n">
        <x:v>1</x:v>
      </x:c>
      <x:c r="I1034" s="9" t="n">
        <x:v>22000</x:v>
      </x:c>
      <x:c r="J1034" s="9" t="n">
        <x:v>13500</x:v>
      </x:c>
      <x:c r="K1034" s="10" t="n">
        <x:v>0</x:v>
      </x:c>
      <x:c r="L1034" s="2" t="str">
        <x:v>Completed</x:v>
      </x:c>
      <x:c r="M1034" s="12" t="n">
        <x:f>H1034*I1034</x:f>
        <x:v>22000</x:v>
      </x:c>
      <x:c r="N1034" s="12" t="n">
        <x:f>IF(L1034="Completed",ROUND(M1034*(1-K1034),2),0)</x:f>
        <x:v>22000</x:v>
      </x:c>
      <x:c r="O1034" s="12" t="n">
        <x:f>IF(L1034="Completed",H1034*J1034,0)</x:f>
        <x:v>13500</x:v>
      </x:c>
      <x:c r="P1034" s="12" t="n">
        <x:f>N1034-O1034</x:f>
        <x:v>8500</x:v>
      </x:c>
    </x:row>
    <x:row r="1035" ht="21" customHeight="1">
      <x:c r="A1035" s="7" t="n">
        <x:v>1030</x:v>
      </x:c>
      <x:c r="B1035" s="2" t="str">
        <x:v>TXN-01030</x:v>
      </x:c>
      <x:c r="C1035" s="8" t="d">
        <x:v>2025-09-05T00:00:00.000Z</x:v>
      </x:c>
      <x:c r="D1035" s="2" t="str">
        <x:v>Abuja</x:v>
      </x:c>
      <x:c r="E1035" s="2" t="str">
        <x:v>Fashion</x:v>
      </x:c>
      <x:c r="F1035" s="2" t="str">
        <x:v>Handbag</x:v>
      </x:c>
      <x:c r="G1035" s="2" t="str">
        <x:v>Online</x:v>
      </x:c>
      <x:c r="H1035" s="7" t="n">
        <x:v>1</x:v>
      </x:c>
      <x:c r="I1035" s="9" t="n">
        <x:v>22000</x:v>
      </x:c>
      <x:c r="J1035" s="9" t="n">
        <x:v>13500</x:v>
      </x:c>
      <x:c r="K1035" s="10" t="n">
        <x:v>0</x:v>
      </x:c>
      <x:c r="L1035" s="2" t="str">
        <x:v>Returned</x:v>
      </x:c>
      <x:c r="M1035" s="12" t="n">
        <x:f>H1035*I1035</x:f>
        <x:v>22000</x:v>
      </x:c>
      <x:c r="N1035" s="12" t="n">
        <x:f>IF(L1035="Completed",ROUND(M1035*(1-K1035),2),0)</x:f>
        <x:v>0</x:v>
      </x:c>
      <x:c r="O1035" s="12" t="n">
        <x:f>IF(L1035="Completed",H1035*J1035,0)</x:f>
        <x:v>0</x:v>
      </x:c>
      <x:c r="P1035" s="12" t="n">
        <x:f>N1035-O1035</x:f>
        <x:v>0</x:v>
      </x:c>
    </x:row>
    <x:row r="1036" ht="21" customHeight="1">
      <x:c r="A1036" s="7" t="n">
        <x:v>1031</x:v>
      </x:c>
      <x:c r="B1036" s="2" t="str">
        <x:v>TXN-01031</x:v>
      </x:c>
      <x:c r="C1036" s="8" t="d">
        <x:v>2025-09-30T00:00:00.000Z</x:v>
      </x:c>
      <x:c r="D1036" s="2" t="str">
        <x:v>Lagos</x:v>
      </x:c>
      <x:c r="E1036" s="2" t="str">
        <x:v>Beauty</x:v>
      </x:c>
      <x:c r="F1036" s="2" t="str">
        <x:v>Perfume</x:v>
      </x:c>
      <x:c r="G1036" s="2" t="str">
        <x:v>Online</x:v>
      </x:c>
      <x:c r="H1036" s="7" t="n">
        <x:v>1</x:v>
      </x:c>
      <x:c r="I1036" s="9" t="n">
        <x:v>17000</x:v>
      </x:c>
      <x:c r="J1036" s="9" t="n">
        <x:v>9000</x:v>
      </x:c>
      <x:c r="K1036" s="10" t="n">
        <x:v>0.1</x:v>
      </x:c>
      <x:c r="L1036" s="2" t="str">
        <x:v>Completed</x:v>
      </x:c>
      <x:c r="M1036" s="12" t="n">
        <x:f>H1036*I1036</x:f>
        <x:v>17000</x:v>
      </x:c>
      <x:c r="N1036" s="12" t="n">
        <x:f>IF(L1036="Completed",ROUND(M1036*(1-K1036),2),0)</x:f>
        <x:v>15300</x:v>
      </x:c>
      <x:c r="O1036" s="12" t="n">
        <x:f>IF(L1036="Completed",H1036*J1036,0)</x:f>
        <x:v>9000</x:v>
      </x:c>
      <x:c r="P1036" s="12" t="n">
        <x:f>N1036-O1036</x:f>
        <x:v>6300</x:v>
      </x:c>
    </x:row>
    <x:row r="1037" ht="21" customHeight="1">
      <x:c r="A1037" s="7" t="n">
        <x:v>1032</x:v>
      </x:c>
      <x:c r="B1037" s="2" t="str">
        <x:v>TXN-01032</x:v>
      </x:c>
      <x:c r="C1037" s="8" t="d">
        <x:v>2025-09-11T00:00:00.000Z</x:v>
      </x:c>
      <x:c r="D1037" s="2" t="str">
        <x:v>Lagos</x:v>
      </x:c>
      <x:c r="E1037" s="2" t="str">
        <x:v>Electronics</x:v>
      </x:c>
      <x:c r="F1037" s="2" t="str">
        <x:v>Bluetooth speaker</x:v>
      </x:c>
      <x:c r="G1037" s="2" t="str">
        <x:v>In-store</x:v>
      </x:c>
      <x:c r="H1037" s="7" t="n">
        <x:v>4</x:v>
      </x:c>
      <x:c r="I1037" s="9" t="n">
        <x:v>26000</x:v>
      </x:c>
      <x:c r="J1037" s="9" t="n">
        <x:v>17000</x:v>
      </x:c>
      <x:c r="K1037" s="10" t="n">
        <x:v>0</x:v>
      </x:c>
      <x:c r="L1037" s="2" t="str">
        <x:v>Completed</x:v>
      </x:c>
      <x:c r="M1037" s="12" t="n">
        <x:f>H1037*I1037</x:f>
        <x:v>104000</x:v>
      </x:c>
      <x:c r="N1037" s="12" t="n">
        <x:f>IF(L1037="Completed",ROUND(M1037*(1-K1037),2),0)</x:f>
        <x:v>104000</x:v>
      </x:c>
      <x:c r="O1037" s="12" t="n">
        <x:f>IF(L1037="Completed",H1037*J1037,0)</x:f>
        <x:v>68000</x:v>
      </x:c>
      <x:c r="P1037" s="12" t="n">
        <x:f>N1037-O1037</x:f>
        <x:v>36000</x:v>
      </x:c>
    </x:row>
    <x:row r="1038" ht="21" customHeight="1">
      <x:c r="A1038" s="7" t="n">
        <x:v>1033</x:v>
      </x:c>
      <x:c r="B1038" s="2" t="str">
        <x:v>TXN-01033</x:v>
      </x:c>
      <x:c r="C1038" s="8" t="d">
        <x:v>2025-09-30T00:00:00.000Z</x:v>
      </x:c>
      <x:c r="D1038" s="2" t="str">
        <x:v>Unknown</x:v>
      </x:c>
      <x:c r="E1038" s="2" t="str">
        <x:v>Fashion</x:v>
      </x:c>
      <x:c r="F1038" s="2" t="str">
        <x:v>Handbag</x:v>
      </x:c>
      <x:c r="G1038" s="2" t="str">
        <x:v>Online</x:v>
      </x:c>
      <x:c r="H1038" s="7" t="n">
        <x:v>1</x:v>
      </x:c>
      <x:c r="I1038" s="9" t="n">
        <x:v>22000</x:v>
      </x:c>
      <x:c r="J1038" s="9" t="n">
        <x:v>13500</x:v>
      </x:c>
      <x:c r="K1038" s="10" t="n">
        <x:v>0.05</x:v>
      </x:c>
      <x:c r="L1038" s="2" t="str">
        <x:v>Returned</x:v>
      </x:c>
      <x:c r="M1038" s="12" t="n">
        <x:f>H1038*I1038</x:f>
        <x:v>22000</x:v>
      </x:c>
      <x:c r="N1038" s="12" t="n">
        <x:f>IF(L1038="Completed",ROUND(M1038*(1-K1038),2),0)</x:f>
        <x:v>0</x:v>
      </x:c>
      <x:c r="O1038" s="12" t="n">
        <x:f>IF(L1038="Completed",H1038*J1038,0)</x:f>
        <x:v>0</x:v>
      </x:c>
      <x:c r="P1038" s="12" t="n">
        <x:f>N1038-O1038</x:f>
        <x:v>0</x:v>
      </x:c>
    </x:row>
    <x:row r="1039" ht="21" customHeight="1">
      <x:c r="A1039" s="7" t="n">
        <x:v>1034</x:v>
      </x:c>
      <x:c r="B1039" s="2" t="str">
        <x:v>TXN-01034</x:v>
      </x:c>
      <x:c r="C1039" s="8" t="d">
        <x:v>2025-09-28T00:00:00.000Z</x:v>
      </x:c>
      <x:c r="D1039" s="2" t="str">
        <x:v>Abuja</x:v>
      </x:c>
      <x:c r="E1039" s="2" t="str">
        <x:v>Fashion</x:v>
      </x:c>
      <x:c r="F1039" s="2" t="str">
        <x:v>Sneakers</x:v>
      </x:c>
      <x:c r="G1039" s="2" t="str">
        <x:v>In-store</x:v>
      </x:c>
      <x:c r="H1039" s="7" t="n">
        <x:v>1</x:v>
      </x:c>
      <x:c r="I1039" s="9" t="n">
        <x:v>28000</x:v>
      </x:c>
      <x:c r="J1039" s="9" t="n">
        <x:v>17500</x:v>
      </x:c>
      <x:c r="K1039" s="10" t="n">
        <x:v>0</x:v>
      </x:c>
      <x:c r="L1039" s="2" t="str">
        <x:v>Returned</x:v>
      </x:c>
      <x:c r="M1039" s="12" t="n">
        <x:f>H1039*I1039</x:f>
        <x:v>28000</x:v>
      </x:c>
      <x:c r="N1039" s="12" t="n">
        <x:f>IF(L1039="Completed",ROUND(M1039*(1-K1039),2),0)</x:f>
        <x:v>0</x:v>
      </x:c>
      <x:c r="O1039" s="12" t="n">
        <x:f>IF(L1039="Completed",H1039*J1039,0)</x:f>
        <x:v>0</x:v>
      </x:c>
      <x:c r="P1039" s="12" t="n">
        <x:f>N1039-O1039</x:f>
        <x:v>0</x:v>
      </x:c>
    </x:row>
    <x:row r="1040" ht="21" customHeight="1">
      <x:c r="A1040" s="7" t="n">
        <x:v>1035</x:v>
      </x:c>
      <x:c r="B1040" s="2" t="str">
        <x:v>TXN-01035</x:v>
      </x:c>
      <x:c r="C1040" s="8" t="d">
        <x:v>2025-09-23T00:00:00.000Z</x:v>
      </x:c>
      <x:c r="D1040" s="2" t="str">
        <x:v>Lagos</x:v>
      </x:c>
      <x:c r="E1040" s="2" t="str">
        <x:v>Electronics</x:v>
      </x:c>
      <x:c r="F1040" s="2" t="str">
        <x:v>Bluetooth speaker</x:v>
      </x:c>
      <x:c r="G1040" s="2" t="str">
        <x:v>Online</x:v>
      </x:c>
      <x:c r="H1040" s="7" t="n">
        <x:v>1</x:v>
      </x:c>
      <x:c r="I1040" s="9" t="n">
        <x:v>26000</x:v>
      </x:c>
      <x:c r="J1040" s="9" t="n">
        <x:v>17000</x:v>
      </x:c>
      <x:c r="K1040" s="10" t="n">
        <x:v>0</x:v>
      </x:c>
      <x:c r="L1040" s="2" t="str">
        <x:v>Completed</x:v>
      </x:c>
      <x:c r="M1040" s="12" t="n">
        <x:f>H1040*I1040</x:f>
        <x:v>26000</x:v>
      </x:c>
      <x:c r="N1040" s="12" t="n">
        <x:f>IF(L1040="Completed",ROUND(M1040*(1-K1040),2),0)</x:f>
        <x:v>26000</x:v>
      </x:c>
      <x:c r="O1040" s="12" t="n">
        <x:f>IF(L1040="Completed",H1040*J1040,0)</x:f>
        <x:v>17000</x:v>
      </x:c>
      <x:c r="P1040" s="12" t="n">
        <x:f>N1040-O1040</x:f>
        <x:v>9000</x:v>
      </x:c>
    </x:row>
    <x:row r="1041" ht="21" customHeight="1">
      <x:c r="A1041" s="7" t="n">
        <x:v>1036</x:v>
      </x:c>
      <x:c r="B1041" s="2" t="str">
        <x:v>TXN-01036</x:v>
      </x:c>
      <x:c r="C1041" s="8" t="d">
        <x:v>2025-09-21T00:00:00.000Z</x:v>
      </x:c>
      <x:c r="D1041" s="2" t="str">
        <x:v>Port Harcourt</x:v>
      </x:c>
      <x:c r="E1041" s="2" t="str">
        <x:v>Fashion</x:v>
      </x:c>
      <x:c r="F1041" s="2" t="str">
        <x:v>Handbag</x:v>
      </x:c>
      <x:c r="G1041" s="2" t="str">
        <x:v>In-store</x:v>
      </x:c>
      <x:c r="H1041" s="7" t="n">
        <x:v>1</x:v>
      </x:c>
      <x:c r="I1041" s="9" t="n">
        <x:v>22000</x:v>
      </x:c>
      <x:c r="J1041" s="9" t="n">
        <x:v>13500</x:v>
      </x:c>
      <x:c r="K1041" s="10" t="n">
        <x:v>0</x:v>
      </x:c>
      <x:c r="L1041" s="2" t="str">
        <x:v>Completed</x:v>
      </x:c>
      <x:c r="M1041" s="12" t="n">
        <x:f>H1041*I1041</x:f>
        <x:v>22000</x:v>
      </x:c>
      <x:c r="N1041" s="12" t="n">
        <x:f>IF(L1041="Completed",ROUND(M1041*(1-K1041),2),0)</x:f>
        <x:v>22000</x:v>
      </x:c>
      <x:c r="O1041" s="12" t="n">
        <x:f>IF(L1041="Completed",H1041*J1041,0)</x:f>
        <x:v>13500</x:v>
      </x:c>
      <x:c r="P1041" s="12" t="n">
        <x:f>N1041-O1041</x:f>
        <x:v>8500</x:v>
      </x:c>
    </x:row>
    <x:row r="1042" ht="21" customHeight="1">
      <x:c r="A1042" s="7" t="n">
        <x:v>1037</x:v>
      </x:c>
      <x:c r="B1042" s="2" t="str">
        <x:v>TXN-01037</x:v>
      </x:c>
      <x:c r="C1042" s="8" t="d">
        <x:v>2025-09-29T00:00:00.000Z</x:v>
      </x:c>
      <x:c r="D1042" s="2" t="str">
        <x:v>Lagos</x:v>
      </x:c>
      <x:c r="E1042" s="2" t="str">
        <x:v>Fashion</x:v>
      </x:c>
      <x:c r="F1042" s="2" t="str">
        <x:v>T-shirt</x:v>
      </x:c>
      <x:c r="G1042" s="2" t="str">
        <x:v>Online</x:v>
      </x:c>
      <x:c r="H1042" s="7" t="n">
        <x:v>4</x:v>
      </x:c>
      <x:c r="I1042" s="9" t="n">
        <x:v>9000</x:v>
      </x:c>
      <x:c r="J1042" s="9" t="n">
        <x:v>5000</x:v>
      </x:c>
      <x:c r="K1042" s="10" t="n">
        <x:v>0</x:v>
      </x:c>
      <x:c r="L1042" s="2" t="str">
        <x:v>Completed</x:v>
      </x:c>
      <x:c r="M1042" s="12" t="n">
        <x:f>H1042*I1042</x:f>
        <x:v>36000</x:v>
      </x:c>
      <x:c r="N1042" s="12" t="n">
        <x:f>IF(L1042="Completed",ROUND(M1042*(1-K1042),2),0)</x:f>
        <x:v>36000</x:v>
      </x:c>
      <x:c r="O1042" s="12" t="n">
        <x:f>IF(L1042="Completed",H1042*J1042,0)</x:f>
        <x:v>20000</x:v>
      </x:c>
      <x:c r="P1042" s="12" t="n">
        <x:f>N1042-O1042</x:f>
        <x:v>16000</x:v>
      </x:c>
    </x:row>
    <x:row r="1043" ht="21" customHeight="1">
      <x:c r="A1043" s="7" t="n">
        <x:v>1038</x:v>
      </x:c>
      <x:c r="B1043" s="2" t="str">
        <x:v>TXN-01038</x:v>
      </x:c>
      <x:c r="C1043" s="8" t="d">
        <x:v>2025-09-30T00:00:00.000Z</x:v>
      </x:c>
      <x:c r="D1043" s="2" t="str">
        <x:v>Abuja</x:v>
      </x:c>
      <x:c r="E1043" s="2" t="str">
        <x:v>Beauty</x:v>
      </x:c>
      <x:c r="F1043" s="2" t="str">
        <x:v>Perfume</x:v>
      </x:c>
      <x:c r="G1043" s="2" t="str">
        <x:v>Online</x:v>
      </x:c>
      <x:c r="H1043" s="7" t="n">
        <x:v>1</x:v>
      </x:c>
      <x:c r="I1043" s="9" t="n">
        <x:v>17000</x:v>
      </x:c>
      <x:c r="J1043" s="9" t="n">
        <x:v>9000</x:v>
      </x:c>
      <x:c r="K1043" s="10" t="n">
        <x:v>0</x:v>
      </x:c>
      <x:c r="L1043" s="2" t="str">
        <x:v>Completed</x:v>
      </x:c>
      <x:c r="M1043" s="12" t="n">
        <x:f>H1043*I1043</x:f>
        <x:v>17000</x:v>
      </x:c>
      <x:c r="N1043" s="12" t="n">
        <x:f>IF(L1043="Completed",ROUND(M1043*(1-K1043),2),0)</x:f>
        <x:v>17000</x:v>
      </x:c>
      <x:c r="O1043" s="12" t="n">
        <x:f>IF(L1043="Completed",H1043*J1043,0)</x:f>
        <x:v>9000</x:v>
      </x:c>
      <x:c r="P1043" s="12" t="n">
        <x:f>N1043-O1043</x:f>
        <x:v>8000</x:v>
      </x:c>
    </x:row>
    <x:row r="1044" ht="21" customHeight="1">
      <x:c r="A1044" s="7" t="n">
        <x:v>1039</x:v>
      </x:c>
      <x:c r="B1044" s="2" t="str">
        <x:v>TXN-01039</x:v>
      </x:c>
      <x:c r="C1044" s="8" t="d">
        <x:v>2025-09-08T00:00:00.000Z</x:v>
      </x:c>
      <x:c r="D1044" s="2" t="str">
        <x:v>Lagos</x:v>
      </x:c>
      <x:c r="E1044" s="2" t="str">
        <x:v>Home</x:v>
      </x:c>
      <x:c r="F1044" s="2" t="str">
        <x:v>Bedsheet</x:v>
      </x:c>
      <x:c r="G1044" s="2" t="str">
        <x:v>Online</x:v>
      </x:c>
      <x:c r="H1044" s="7" t="n">
        <x:v>2</x:v>
      </x:c>
      <x:c r="I1044" s="9" t="n">
        <x:v>14000</x:v>
      </x:c>
      <x:c r="J1044" s="9" t="n">
        <x:v>8500</x:v>
      </x:c>
      <x:c r="K1044" s="10" t="n">
        <x:v>0.05</x:v>
      </x:c>
      <x:c r="L1044" s="2" t="str">
        <x:v>Completed</x:v>
      </x:c>
      <x:c r="M1044" s="12" t="n">
        <x:f>H1044*I1044</x:f>
        <x:v>28000</x:v>
      </x:c>
      <x:c r="N1044" s="12" t="n">
        <x:f>IF(L1044="Completed",ROUND(M1044*(1-K1044),2),0)</x:f>
        <x:v>26600</x:v>
      </x:c>
      <x:c r="O1044" s="12" t="n">
        <x:f>IF(L1044="Completed",H1044*J1044,0)</x:f>
        <x:v>17000</x:v>
      </x:c>
      <x:c r="P1044" s="12" t="n">
        <x:f>N1044-O1044</x:f>
        <x:v>9600</x:v>
      </x:c>
    </x:row>
    <x:row r="1045" ht="21" customHeight="1">
      <x:c r="A1045" s="7" t="n">
        <x:v>1040</x:v>
      </x:c>
      <x:c r="B1045" s="2" t="str">
        <x:v>TXN-01040</x:v>
      </x:c>
      <x:c r="C1045" s="8" t="d">
        <x:v>2025-09-26T00:00:00.000Z</x:v>
      </x:c>
      <x:c r="D1045" s="2" t="str">
        <x:v>Abuja</x:v>
      </x:c>
      <x:c r="E1045" s="2" t="str">
        <x:v>Electronics</x:v>
      </x:c>
      <x:c r="F1045" s="2" t="str">
        <x:v>Power bank</x:v>
      </x:c>
      <x:c r="G1045" s="2" t="str">
        <x:v>In-store</x:v>
      </x:c>
      <x:c r="H1045" s="7" t="n">
        <x:v>4</x:v>
      </x:c>
      <x:c r="I1045" s="9" t="n">
        <x:v>15000</x:v>
      </x:c>
      <x:c r="J1045" s="9" t="n">
        <x:v>9500</x:v>
      </x:c>
      <x:c r="K1045" s="10" t="n">
        <x:v>0.15</x:v>
      </x:c>
      <x:c r="L1045" s="2" t="str">
        <x:v>Completed</x:v>
      </x:c>
      <x:c r="M1045" s="12" t="n">
        <x:f>H1045*I1045</x:f>
        <x:v>60000</x:v>
      </x:c>
      <x:c r="N1045" s="12" t="n">
        <x:f>IF(L1045="Completed",ROUND(M1045*(1-K1045),2),0)</x:f>
        <x:v>51000</x:v>
      </x:c>
      <x:c r="O1045" s="12" t="n">
        <x:f>IF(L1045="Completed",H1045*J1045,0)</x:f>
        <x:v>38000</x:v>
      </x:c>
      <x:c r="P1045" s="12" t="n">
        <x:f>N1045-O1045</x:f>
        <x:v>13000</x:v>
      </x:c>
    </x:row>
    <x:row r="1046" ht="21" customHeight="1">
      <x:c r="A1046" s="7" t="n">
        <x:v>1041</x:v>
      </x:c>
      <x:c r="B1046" s="2" t="str">
        <x:v>TXN-01041</x:v>
      </x:c>
      <x:c r="C1046" s="8" t="d">
        <x:v>2025-09-25T00:00:00.000Z</x:v>
      </x:c>
      <x:c r="D1046" s="2" t="str">
        <x:v>Port Harcourt</x:v>
      </x:c>
      <x:c r="E1046" s="2" t="str">
        <x:v>Fashion</x:v>
      </x:c>
      <x:c r="F1046" s="2" t="str">
        <x:v>T-shirt</x:v>
      </x:c>
      <x:c r="G1046" s="2" t="str">
        <x:v>Online</x:v>
      </x:c>
      <x:c r="H1046" s="7" t="n">
        <x:v>2</x:v>
      </x:c>
      <x:c r="I1046" s="9" t="n">
        <x:v>9000</x:v>
      </x:c>
      <x:c r="J1046" s="9" t="n">
        <x:v>5000</x:v>
      </x:c>
      <x:c r="K1046" s="10" t="n">
        <x:v>0</x:v>
      </x:c>
      <x:c r="L1046" s="2" t="str">
        <x:v>Completed</x:v>
      </x:c>
      <x:c r="M1046" s="12" t="n">
        <x:f>H1046*I1046</x:f>
        <x:v>18000</x:v>
      </x:c>
      <x:c r="N1046" s="12" t="n">
        <x:f>IF(L1046="Completed",ROUND(M1046*(1-K1046),2),0)</x:f>
        <x:v>18000</x:v>
      </x:c>
      <x:c r="O1046" s="12" t="n">
        <x:f>IF(L1046="Completed",H1046*J1046,0)</x:f>
        <x:v>10000</x:v>
      </x:c>
      <x:c r="P1046" s="12" t="n">
        <x:f>N1046-O1046</x:f>
        <x:v>8000</x:v>
      </x:c>
    </x:row>
    <x:row r="1047" ht="21" customHeight="1">
      <x:c r="A1047" s="7" t="n">
        <x:v>1042</x:v>
      </x:c>
      <x:c r="B1047" s="2" t="str">
        <x:v>TXN-01042</x:v>
      </x:c>
      <x:c r="C1047" s="8" t="d">
        <x:v>2025-10-02T00:00:00.000Z</x:v>
      </x:c>
      <x:c r="D1047" s="2" t="str">
        <x:v>Lagos</x:v>
      </x:c>
      <x:c r="E1047" s="2" t="str">
        <x:v>Electronics</x:v>
      </x:c>
      <x:c r="F1047" s="2" t="str">
        <x:v>Bluetooth speaker</x:v>
      </x:c>
      <x:c r="G1047" s="2" t="str">
        <x:v>Online</x:v>
      </x:c>
      <x:c r="H1047" s="7" t="n">
        <x:v>1</x:v>
      </x:c>
      <x:c r="I1047" s="9" t="n">
        <x:v>26000</x:v>
      </x:c>
      <x:c r="J1047" s="9" t="n">
        <x:v>17000</x:v>
      </x:c>
      <x:c r="K1047" s="10" t="n">
        <x:v>0</x:v>
      </x:c>
      <x:c r="L1047" s="2" t="str">
        <x:v>Completed</x:v>
      </x:c>
      <x:c r="M1047" s="12" t="n">
        <x:f>H1047*I1047</x:f>
        <x:v>26000</x:v>
      </x:c>
      <x:c r="N1047" s="12" t="n">
        <x:f>IF(L1047="Completed",ROUND(M1047*(1-K1047),2),0)</x:f>
        <x:v>26000</x:v>
      </x:c>
      <x:c r="O1047" s="12" t="n">
        <x:f>IF(L1047="Completed",H1047*J1047,0)</x:f>
        <x:v>17000</x:v>
      </x:c>
      <x:c r="P1047" s="12" t="n">
        <x:f>N1047-O1047</x:f>
        <x:v>9000</x:v>
      </x:c>
    </x:row>
    <x:row r="1048" ht="21" customHeight="1">
      <x:c r="A1048" s="7" t="n">
        <x:v>1043</x:v>
      </x:c>
      <x:c r="B1048" s="2" t="str">
        <x:v>TXN-01043</x:v>
      </x:c>
      <x:c r="C1048" s="8" t="d">
        <x:v>2025-10-16T00:00:00.000Z</x:v>
      </x:c>
      <x:c r="D1048" s="2" t="str">
        <x:v>Port Harcourt</x:v>
      </x:c>
      <x:c r="E1048" s="2" t="str">
        <x:v>Beauty</x:v>
      </x:c>
      <x:c r="F1048" s="2" t="str">
        <x:v>Body wash</x:v>
      </x:c>
      <x:c r="G1048" s="2" t="str">
        <x:v>Online</x:v>
      </x:c>
      <x:c r="H1048" s="7" t="n">
        <x:v>1</x:v>
      </x:c>
      <x:c r="I1048" s="9" t="n">
        <x:v>4500</x:v>
      </x:c>
      <x:c r="J1048" s="9" t="n">
        <x:v>2300</x:v>
      </x:c>
      <x:c r="K1048" s="10" t="n">
        <x:v>0</x:v>
      </x:c>
      <x:c r="L1048" s="2" t="str">
        <x:v>Completed</x:v>
      </x:c>
      <x:c r="M1048" s="12" t="n">
        <x:f>H1048*I1048</x:f>
        <x:v>4500</x:v>
      </x:c>
      <x:c r="N1048" s="12" t="n">
        <x:f>IF(L1048="Completed",ROUND(M1048*(1-K1048),2),0)</x:f>
        <x:v>4500</x:v>
      </x:c>
      <x:c r="O1048" s="12" t="n">
        <x:f>IF(L1048="Completed",H1048*J1048,0)</x:f>
        <x:v>2300</x:v>
      </x:c>
      <x:c r="P1048" s="12" t="n">
        <x:f>N1048-O1048</x:f>
        <x:v>2200</x:v>
      </x:c>
    </x:row>
    <x:row r="1049" ht="21" customHeight="1">
      <x:c r="A1049" s="7" t="n">
        <x:v>1044</x:v>
      </x:c>
      <x:c r="B1049" s="2" t="str">
        <x:v>TXN-01044</x:v>
      </x:c>
      <x:c r="C1049" s="8" t="d">
        <x:v>2025-10-30T00:00:00.000Z</x:v>
      </x:c>
      <x:c r="D1049" s="2" t="str">
        <x:v>Abuja</x:v>
      </x:c>
      <x:c r="E1049" s="2" t="str">
        <x:v>Electronics</x:v>
      </x:c>
      <x:c r="F1049" s="2" t="str">
        <x:v>Bluetooth speaker</x:v>
      </x:c>
      <x:c r="G1049" s="2" t="str">
        <x:v>Online</x:v>
      </x:c>
      <x:c r="H1049" s="7" t="n">
        <x:v>1</x:v>
      </x:c>
      <x:c r="I1049" s="9" t="n">
        <x:v>26000</x:v>
      </x:c>
      <x:c r="J1049" s="9" t="n">
        <x:v>17000</x:v>
      </x:c>
      <x:c r="K1049" s="10" t="n">
        <x:v>0.05</x:v>
      </x:c>
      <x:c r="L1049" s="2" t="str">
        <x:v>Returned</x:v>
      </x:c>
      <x:c r="M1049" s="12" t="n">
        <x:f>H1049*I1049</x:f>
        <x:v>26000</x:v>
      </x:c>
      <x:c r="N1049" s="12" t="n">
        <x:f>IF(L1049="Completed",ROUND(M1049*(1-K1049),2),0)</x:f>
        <x:v>0</x:v>
      </x:c>
      <x:c r="O1049" s="12" t="n">
        <x:f>IF(L1049="Completed",H1049*J1049,0)</x:f>
        <x:v>0</x:v>
      </x:c>
      <x:c r="P1049" s="12" t="n">
        <x:f>N1049-O1049</x:f>
        <x:v>0</x:v>
      </x:c>
    </x:row>
    <x:row r="1050" ht="21" customHeight="1">
      <x:c r="A1050" s="7" t="n">
        <x:v>1045</x:v>
      </x:c>
      <x:c r="B1050" s="2" t="str">
        <x:v>TXN-01045</x:v>
      </x:c>
      <x:c r="C1050" s="8" t="d">
        <x:v>2025-10-25T00:00:00.000Z</x:v>
      </x:c>
      <x:c r="D1050" s="2" t="str">
        <x:v>Port Harcourt</x:v>
      </x:c>
      <x:c r="E1050" s="2" t="str">
        <x:v>Fashion</x:v>
      </x:c>
      <x:c r="F1050" s="2" t="str">
        <x:v>Handbag</x:v>
      </x:c>
      <x:c r="G1050" s="2" t="str">
        <x:v>In-store</x:v>
      </x:c>
      <x:c r="H1050" s="7" t="n">
        <x:v>1</x:v>
      </x:c>
      <x:c r="I1050" s="9" t="n">
        <x:v>22000</x:v>
      </x:c>
      <x:c r="J1050" s="9" t="n">
        <x:v>13500</x:v>
      </x:c>
      <x:c r="K1050" s="10" t="n">
        <x:v>0</x:v>
      </x:c>
      <x:c r="L1050" s="2" t="str">
        <x:v>Completed</x:v>
      </x:c>
      <x:c r="M1050" s="12" t="n">
        <x:f>H1050*I1050</x:f>
        <x:v>22000</x:v>
      </x:c>
      <x:c r="N1050" s="12" t="n">
        <x:f>IF(L1050="Completed",ROUND(M1050*(1-K1050),2),0)</x:f>
        <x:v>22000</x:v>
      </x:c>
      <x:c r="O1050" s="12" t="n">
        <x:f>IF(L1050="Completed",H1050*J1050,0)</x:f>
        <x:v>13500</x:v>
      </x:c>
      <x:c r="P1050" s="12" t="n">
        <x:f>N1050-O1050</x:f>
        <x:v>8500</x:v>
      </x:c>
    </x:row>
    <x:row r="1051" ht="21" customHeight="1">
      <x:c r="A1051" s="7" t="n">
        <x:v>1046</x:v>
      </x:c>
      <x:c r="B1051" s="2" t="str">
        <x:v>TXN-01046</x:v>
      </x:c>
      <x:c r="C1051" s="8" t="d">
        <x:v>2025-10-03T00:00:00.000Z</x:v>
      </x:c>
      <x:c r="D1051" s="2" t="str">
        <x:v>Lagos</x:v>
      </x:c>
      <x:c r="E1051" s="2" t="str">
        <x:v>Beauty</x:v>
      </x:c>
      <x:c r="F1051" s="2" t="str">
        <x:v>Body wash</x:v>
      </x:c>
      <x:c r="G1051" s="2" t="str">
        <x:v>In-store</x:v>
      </x:c>
      <x:c r="H1051" s="7" t="n">
        <x:v>1</x:v>
      </x:c>
      <x:c r="I1051" s="9" t="n">
        <x:v>4500</x:v>
      </x:c>
      <x:c r="J1051" s="9" t="n">
        <x:v>2300</x:v>
      </x:c>
      <x:c r="K1051" s="10" t="n">
        <x:v>0</x:v>
      </x:c>
      <x:c r="L1051" s="2" t="str">
        <x:v>Completed</x:v>
      </x:c>
      <x:c r="M1051" s="12" t="n">
        <x:f>H1051*I1051</x:f>
        <x:v>4500</x:v>
      </x:c>
      <x:c r="N1051" s="12" t="n">
        <x:f>IF(L1051="Completed",ROUND(M1051*(1-K1051),2),0)</x:f>
        <x:v>4500</x:v>
      </x:c>
      <x:c r="O1051" s="12" t="n">
        <x:f>IF(L1051="Completed",H1051*J1051,0)</x:f>
        <x:v>2300</x:v>
      </x:c>
      <x:c r="P1051" s="12" t="n">
        <x:f>N1051-O1051</x:f>
        <x:v>2200</x:v>
      </x:c>
    </x:row>
    <x:row r="1052" ht="21" customHeight="1">
      <x:c r="A1052" s="7" t="n">
        <x:v>1047</x:v>
      </x:c>
      <x:c r="B1052" s="2" t="str">
        <x:v>TXN-01047</x:v>
      </x:c>
      <x:c r="C1052" s="8" t="d">
        <x:v>2025-10-03T00:00:00.000Z</x:v>
      </x:c>
      <x:c r="D1052" s="2" t="str">
        <x:v>Port Harcourt</x:v>
      </x:c>
      <x:c r="E1052" s="2" t="str">
        <x:v>Electronics</x:v>
      </x:c>
      <x:c r="F1052" s="2" t="str">
        <x:v>Headphones</x:v>
      </x:c>
      <x:c r="G1052" s="2" t="str">
        <x:v>Online</x:v>
      </x:c>
      <x:c r="H1052" s="7" t="n">
        <x:v>1</x:v>
      </x:c>
      <x:c r="I1052" s="9" t="n">
        <x:v>18000</x:v>
      </x:c>
      <x:c r="J1052" s="9" t="n">
        <x:v>10500</x:v>
      </x:c>
      <x:c r="K1052" s="10" t="n">
        <x:v>0</x:v>
      </x:c>
      <x:c r="L1052" s="2" t="str">
        <x:v>Completed</x:v>
      </x:c>
      <x:c r="M1052" s="12" t="n">
        <x:f>H1052*I1052</x:f>
        <x:v>18000</x:v>
      </x:c>
      <x:c r="N1052" s="12" t="n">
        <x:f>IF(L1052="Completed",ROUND(M1052*(1-K1052),2),0)</x:f>
        <x:v>18000</x:v>
      </x:c>
      <x:c r="O1052" s="12" t="n">
        <x:f>IF(L1052="Completed",H1052*J1052,0)</x:f>
        <x:v>10500</x:v>
      </x:c>
      <x:c r="P1052" s="12" t="n">
        <x:f>N1052-O1052</x:f>
        <x:v>7500</x:v>
      </x:c>
    </x:row>
    <x:row r="1053" ht="21" customHeight="1">
      <x:c r="A1053" s="7" t="n">
        <x:v>1048</x:v>
      </x:c>
      <x:c r="B1053" s="2" t="str">
        <x:v>TXN-01048</x:v>
      </x:c>
      <x:c r="C1053" s="8" t="d">
        <x:v>2025-10-17T00:00:00.000Z</x:v>
      </x:c>
      <x:c r="D1053" s="2" t="str">
        <x:v>Lagos</x:v>
      </x:c>
      <x:c r="E1053" s="2" t="str">
        <x:v>Beauty</x:v>
      </x:c>
      <x:c r="F1053" s="2" t="str">
        <x:v>Body wash</x:v>
      </x:c>
      <x:c r="G1053" s="2" t="str">
        <x:v>In-store</x:v>
      </x:c>
      <x:c r="H1053" s="7" t="n">
        <x:v>1</x:v>
      </x:c>
      <x:c r="I1053" s="9" t="n">
        <x:v>4500</x:v>
      </x:c>
      <x:c r="J1053" s="9" t="n">
        <x:v>2300</x:v>
      </x:c>
      <x:c r="K1053" s="10" t="n">
        <x:v>0.05</x:v>
      </x:c>
      <x:c r="L1053" s="2" t="str">
        <x:v>Completed</x:v>
      </x:c>
      <x:c r="M1053" s="12" t="n">
        <x:f>H1053*I1053</x:f>
        <x:v>4500</x:v>
      </x:c>
      <x:c r="N1053" s="12" t="n">
        <x:f>IF(L1053="Completed",ROUND(M1053*(1-K1053),2),0)</x:f>
        <x:v>4275</x:v>
      </x:c>
      <x:c r="O1053" s="12" t="n">
        <x:f>IF(L1053="Completed",H1053*J1053,0)</x:f>
        <x:v>2300</x:v>
      </x:c>
      <x:c r="P1053" s="12" t="n">
        <x:f>N1053-O1053</x:f>
        <x:v>1975</x:v>
      </x:c>
    </x:row>
    <x:row r="1054" ht="21" customHeight="1">
      <x:c r="A1054" s="7" t="n">
        <x:v>1049</x:v>
      </x:c>
      <x:c r="B1054" s="2" t="str">
        <x:v>TXN-01049</x:v>
      </x:c>
      <x:c r="C1054" s="8" t="d">
        <x:v>2025-10-01T00:00:00.000Z</x:v>
      </x:c>
      <x:c r="D1054" s="2" t="str">
        <x:v>Abuja</x:v>
      </x:c>
      <x:c r="E1054" s="2" t="str">
        <x:v>Home</x:v>
      </x:c>
      <x:c r="F1054" s="2" t="str">
        <x:v>Cookware set</x:v>
      </x:c>
      <x:c r="G1054" s="2" t="str">
        <x:v>In-store</x:v>
      </x:c>
      <x:c r="H1054" s="7" t="n">
        <x:v>1</x:v>
      </x:c>
      <x:c r="I1054" s="9" t="n">
        <x:v>35000</x:v>
      </x:c>
      <x:c r="J1054" s="9" t="n">
        <x:v>22500</x:v>
      </x:c>
      <x:c r="K1054" s="10" t="n">
        <x:v>0.1</x:v>
      </x:c>
      <x:c r="L1054" s="2" t="str">
        <x:v>Completed</x:v>
      </x:c>
      <x:c r="M1054" s="12" t="n">
        <x:f>H1054*I1054</x:f>
        <x:v>35000</x:v>
      </x:c>
      <x:c r="N1054" s="12" t="n">
        <x:f>IF(L1054="Completed",ROUND(M1054*(1-K1054),2),0)</x:f>
        <x:v>31500</x:v>
      </x:c>
      <x:c r="O1054" s="12" t="n">
        <x:f>IF(L1054="Completed",H1054*J1054,0)</x:f>
        <x:v>22500</x:v>
      </x:c>
      <x:c r="P1054" s="12" t="n">
        <x:f>N1054-O1054</x:f>
        <x:v>9000</x:v>
      </x:c>
    </x:row>
    <x:row r="1055" ht="21" customHeight="1">
      <x:c r="A1055" s="7" t="n">
        <x:v>1050</x:v>
      </x:c>
      <x:c r="B1055" s="2" t="str">
        <x:v>TXN-01050</x:v>
      </x:c>
      <x:c r="C1055" s="8" t="d">
        <x:v>2025-10-08T00:00:00.000Z</x:v>
      </x:c>
      <x:c r="D1055" s="2" t="str">
        <x:v>Abuja</x:v>
      </x:c>
      <x:c r="E1055" s="2" t="str">
        <x:v>Beauty</x:v>
      </x:c>
      <x:c r="F1055" s="2" t="str">
        <x:v>Body wash</x:v>
      </x:c>
      <x:c r="G1055" s="2" t="str">
        <x:v>In-store</x:v>
      </x:c>
      <x:c r="H1055" s="7" t="n">
        <x:v>1</x:v>
      </x:c>
      <x:c r="I1055" s="9" t="n">
        <x:v>4500</x:v>
      </x:c>
      <x:c r="J1055" s="9" t="n">
        <x:v>2300</x:v>
      </x:c>
      <x:c r="K1055" s="10" t="n">
        <x:v>0</x:v>
      </x:c>
      <x:c r="L1055" s="2" t="str">
        <x:v>Completed</x:v>
      </x:c>
      <x:c r="M1055" s="12" t="n">
        <x:f>H1055*I1055</x:f>
        <x:v>4500</x:v>
      </x:c>
      <x:c r="N1055" s="12" t="n">
        <x:f>IF(L1055="Completed",ROUND(M1055*(1-K1055),2),0)</x:f>
        <x:v>4500</x:v>
      </x:c>
      <x:c r="O1055" s="12" t="n">
        <x:f>IF(L1055="Completed",H1055*J1055,0)</x:f>
        <x:v>2300</x:v>
      </x:c>
      <x:c r="P1055" s="12" t="n">
        <x:f>N1055-O1055</x:f>
        <x:v>2200</x:v>
      </x:c>
    </x:row>
    <x:row r="1056" ht="21" customHeight="1">
      <x:c r="A1056" s="7" t="n">
        <x:v>1051</x:v>
      </x:c>
      <x:c r="B1056" s="2" t="str">
        <x:v>TXN-01051</x:v>
      </x:c>
      <x:c r="C1056" s="8" t="d">
        <x:v>2025-10-13T00:00:00.000Z</x:v>
      </x:c>
      <x:c r="D1056" s="2" t="str">
        <x:v>Lagos</x:v>
      </x:c>
      <x:c r="E1056" s="2" t="str">
        <x:v>Fashion</x:v>
      </x:c>
      <x:c r="F1056" s="2" t="str">
        <x:v>T-shirt</x:v>
      </x:c>
      <x:c r="G1056" s="2" t="str">
        <x:v>In-store</x:v>
      </x:c>
      <x:c r="H1056" s="7" t="n">
        <x:v>2</x:v>
      </x:c>
      <x:c r="I1056" s="9" t="n">
        <x:v>9000</x:v>
      </x:c>
      <x:c r="J1056" s="9" t="n">
        <x:v>5000</x:v>
      </x:c>
      <x:c r="K1056" s="10" t="n">
        <x:v>0</x:v>
      </x:c>
      <x:c r="L1056" s="2" t="str">
        <x:v>Completed</x:v>
      </x:c>
      <x:c r="M1056" s="12" t="n">
        <x:f>H1056*I1056</x:f>
        <x:v>18000</x:v>
      </x:c>
      <x:c r="N1056" s="12" t="n">
        <x:f>IF(L1056="Completed",ROUND(M1056*(1-K1056),2),0)</x:f>
        <x:v>18000</x:v>
      </x:c>
      <x:c r="O1056" s="12" t="n">
        <x:f>IF(L1056="Completed",H1056*J1056,0)</x:f>
        <x:v>10000</x:v>
      </x:c>
      <x:c r="P1056" s="12" t="n">
        <x:f>N1056-O1056</x:f>
        <x:v>8000</x:v>
      </x:c>
    </x:row>
    <x:row r="1057" ht="21" customHeight="1">
      <x:c r="A1057" s="7" t="n">
        <x:v>1052</x:v>
      </x:c>
      <x:c r="B1057" s="2" t="str">
        <x:v>TXN-01052</x:v>
      </x:c>
      <x:c r="C1057" s="8" t="d">
        <x:v>2025-10-07T00:00:00.000Z</x:v>
      </x:c>
      <x:c r="D1057" s="2" t="str">
        <x:v>Lagos</x:v>
      </x:c>
      <x:c r="E1057" s="2" t="str">
        <x:v>Beauty</x:v>
      </x:c>
      <x:c r="F1057" s="2" t="str">
        <x:v>Moisturizer</x:v>
      </x:c>
      <x:c r="G1057" s="2" t="str">
        <x:v>In-store</x:v>
      </x:c>
      <x:c r="H1057" s="7" t="n">
        <x:v>2</x:v>
      </x:c>
      <x:c r="I1057" s="9" t="n">
        <x:v>6500</x:v>
      </x:c>
      <x:c r="J1057" s="9" t="n">
        <x:v>3500</x:v>
      </x:c>
      <x:c r="K1057" s="10" t="n">
        <x:v>0.1</x:v>
      </x:c>
      <x:c r="L1057" s="2" t="str">
        <x:v>Completed</x:v>
      </x:c>
      <x:c r="M1057" s="12" t="n">
        <x:f>H1057*I1057</x:f>
        <x:v>13000</x:v>
      </x:c>
      <x:c r="N1057" s="12" t="n">
        <x:f>IF(L1057="Completed",ROUND(M1057*(1-K1057),2),0)</x:f>
        <x:v>11700</x:v>
      </x:c>
      <x:c r="O1057" s="12" t="n">
        <x:f>IF(L1057="Completed",H1057*J1057,0)</x:f>
        <x:v>7000</x:v>
      </x:c>
      <x:c r="P1057" s="12" t="n">
        <x:f>N1057-O1057</x:f>
        <x:v>4700</x:v>
      </x:c>
    </x:row>
    <x:row r="1058" ht="21" customHeight="1">
      <x:c r="A1058" s="7" t="n">
        <x:v>1053</x:v>
      </x:c>
      <x:c r="B1058" s="2" t="str">
        <x:v>TXN-01053</x:v>
      </x:c>
      <x:c r="C1058" s="8" t="d">
        <x:v>2025-10-17T00:00:00.000Z</x:v>
      </x:c>
      <x:c r="D1058" s="2" t="str">
        <x:v>Abuja</x:v>
      </x:c>
      <x:c r="E1058" s="2" t="str">
        <x:v>Fashion</x:v>
      </x:c>
      <x:c r="F1058" s="2" t="str">
        <x:v>T-shirt</x:v>
      </x:c>
      <x:c r="G1058" s="2" t="str">
        <x:v>In-store</x:v>
      </x:c>
      <x:c r="H1058" s="7" t="n">
        <x:v>1</x:v>
      </x:c>
      <x:c r="I1058" s="9" t="n">
        <x:v>9000</x:v>
      </x:c>
      <x:c r="J1058" s="9" t="n">
        <x:v>5000</x:v>
      </x:c>
      <x:c r="K1058" s="10" t="n">
        <x:v>0</x:v>
      </x:c>
      <x:c r="L1058" s="2" t="str">
        <x:v>Completed</x:v>
      </x:c>
      <x:c r="M1058" s="12" t="n">
        <x:f>H1058*I1058</x:f>
        <x:v>9000</x:v>
      </x:c>
      <x:c r="N1058" s="12" t="n">
        <x:f>IF(L1058="Completed",ROUND(M1058*(1-K1058),2),0)</x:f>
        <x:v>9000</x:v>
      </x:c>
      <x:c r="O1058" s="12" t="n">
        <x:f>IF(L1058="Completed",H1058*J1058,0)</x:f>
        <x:v>5000</x:v>
      </x:c>
      <x:c r="P1058" s="12" t="n">
        <x:f>N1058-O1058</x:f>
        <x:v>4000</x:v>
      </x:c>
    </x:row>
    <x:row r="1059" ht="21" customHeight="1">
      <x:c r="A1059" s="7" t="n">
        <x:v>1054</x:v>
      </x:c>
      <x:c r="B1059" s="2" t="str">
        <x:v>TXN-01054</x:v>
      </x:c>
      <x:c r="C1059" s="8" t="d">
        <x:v>2025-10-14T00:00:00.000Z</x:v>
      </x:c>
      <x:c r="D1059" s="2" t="str">
        <x:v>Abuja</x:v>
      </x:c>
      <x:c r="E1059" s="2" t="str">
        <x:v>Home</x:v>
      </x:c>
      <x:c r="F1059" s="2" t="str">
        <x:v>Bedsheet</x:v>
      </x:c>
      <x:c r="G1059" s="2" t="str">
        <x:v>In-store</x:v>
      </x:c>
      <x:c r="H1059" s="7" t="n">
        <x:v>2</x:v>
      </x:c>
      <x:c r="I1059" s="9" t="n">
        <x:v>14000</x:v>
      </x:c>
      <x:c r="J1059" s="9" t="n">
        <x:v>8500</x:v>
      </x:c>
      <x:c r="K1059" s="10" t="n">
        <x:v>0</x:v>
      </x:c>
      <x:c r="L1059" s="2" t="str">
        <x:v>Returned</x:v>
      </x:c>
      <x:c r="M1059" s="12" t="n">
        <x:f>H1059*I1059</x:f>
        <x:v>28000</x:v>
      </x:c>
      <x:c r="N1059" s="12" t="n">
        <x:f>IF(L1059="Completed",ROUND(M1059*(1-K1059),2),0)</x:f>
        <x:v>0</x:v>
      </x:c>
      <x:c r="O1059" s="12" t="n">
        <x:f>IF(L1059="Completed",H1059*J1059,0)</x:f>
        <x:v>0</x:v>
      </x:c>
      <x:c r="P1059" s="12" t="n">
        <x:f>N1059-O1059</x:f>
        <x:v>0</x:v>
      </x:c>
    </x:row>
    <x:row r="1060" ht="21" customHeight="1">
      <x:c r="A1060" s="7" t="n">
        <x:v>1055</x:v>
      </x:c>
      <x:c r="B1060" s="2" t="str">
        <x:v>TXN-01055</x:v>
      </x:c>
      <x:c r="C1060" s="8" t="d">
        <x:v>2025-10-22T00:00:00.000Z</x:v>
      </x:c>
      <x:c r="D1060" s="2" t="str">
        <x:v>Lagos</x:v>
      </x:c>
      <x:c r="E1060" s="2" t="str">
        <x:v>Beauty</x:v>
      </x:c>
      <x:c r="F1060" s="2" t="str">
        <x:v>Body wash</x:v>
      </x:c>
      <x:c r="G1060" s="2" t="str">
        <x:v>Online</x:v>
      </x:c>
      <x:c r="H1060" s="7" t="n">
        <x:v>1</x:v>
      </x:c>
      <x:c r="I1060" s="9" t="n">
        <x:v>4500</x:v>
      </x:c>
      <x:c r="J1060" s="9" t="n">
        <x:v>2300</x:v>
      </x:c>
      <x:c r="K1060" s="10" t="n">
        <x:v>0.05</x:v>
      </x:c>
      <x:c r="L1060" s="2" t="str">
        <x:v>Completed</x:v>
      </x:c>
      <x:c r="M1060" s="12" t="n">
        <x:f>H1060*I1060</x:f>
        <x:v>4500</x:v>
      </x:c>
      <x:c r="N1060" s="12" t="n">
        <x:f>IF(L1060="Completed",ROUND(M1060*(1-K1060),2),0)</x:f>
        <x:v>4275</x:v>
      </x:c>
      <x:c r="O1060" s="12" t="n">
        <x:f>IF(L1060="Completed",H1060*J1060,0)</x:f>
        <x:v>2300</x:v>
      </x:c>
      <x:c r="P1060" s="12" t="n">
        <x:f>N1060-O1060</x:f>
        <x:v>1975</x:v>
      </x:c>
    </x:row>
    <x:row r="1061" ht="21" customHeight="1">
      <x:c r="A1061" s="7" t="n">
        <x:v>1056</x:v>
      </x:c>
      <x:c r="B1061" s="2" t="str">
        <x:v>TXN-01056</x:v>
      </x:c>
      <x:c r="C1061" s="8" t="d">
        <x:v>2025-10-07T00:00:00.000Z</x:v>
      </x:c>
      <x:c r="D1061" s="2" t="str">
        <x:v>Lagos</x:v>
      </x:c>
      <x:c r="E1061" s="2" t="str">
        <x:v>Home</x:v>
      </x:c>
      <x:c r="F1061" s="2" t="str">
        <x:v>Bedsheet</x:v>
      </x:c>
      <x:c r="G1061" s="2" t="str">
        <x:v>In-store</x:v>
      </x:c>
      <x:c r="H1061" s="7" t="n">
        <x:v>1</x:v>
      </x:c>
      <x:c r="I1061" s="9" t="n">
        <x:v>14000</x:v>
      </x:c>
      <x:c r="J1061" s="9" t="n">
        <x:v>8500</x:v>
      </x:c>
      <x:c r="K1061" s="10" t="n">
        <x:v>0.05</x:v>
      </x:c>
      <x:c r="L1061" s="2" t="str">
        <x:v>Completed</x:v>
      </x:c>
      <x:c r="M1061" s="12" t="n">
        <x:f>H1061*I1061</x:f>
        <x:v>14000</x:v>
      </x:c>
      <x:c r="N1061" s="12" t="n">
        <x:f>IF(L1061="Completed",ROUND(M1061*(1-K1061),2),0)</x:f>
        <x:v>13300</x:v>
      </x:c>
      <x:c r="O1061" s="12" t="n">
        <x:f>IF(L1061="Completed",H1061*J1061,0)</x:f>
        <x:v>8500</x:v>
      </x:c>
      <x:c r="P1061" s="12" t="n">
        <x:f>N1061-O1061</x:f>
        <x:v>4800</x:v>
      </x:c>
    </x:row>
    <x:row r="1062" ht="21" customHeight="1">
      <x:c r="A1062" s="7" t="n">
        <x:v>1057</x:v>
      </x:c>
      <x:c r="B1062" s="2" t="str">
        <x:v>TXN-01057</x:v>
      </x:c>
      <x:c r="C1062" s="8" t="d">
        <x:v>2025-10-24T00:00:00.000Z</x:v>
      </x:c>
      <x:c r="D1062" s="2" t="str">
        <x:v>Abuja</x:v>
      </x:c>
      <x:c r="E1062" s="2" t="str">
        <x:v>Fashion</x:v>
      </x:c>
      <x:c r="F1062" s="2" t="str">
        <x:v>Sneakers</x:v>
      </x:c>
      <x:c r="G1062" s="2" t="str">
        <x:v>In-store</x:v>
      </x:c>
      <x:c r="H1062" s="7" t="n">
        <x:v>1</x:v>
      </x:c>
      <x:c r="I1062" s="9" t="n">
        <x:v>28000</x:v>
      </x:c>
      <x:c r="J1062" s="9" t="n">
        <x:v>17500</x:v>
      </x:c>
      <x:c r="K1062" s="10" t="n">
        <x:v>0.05</x:v>
      </x:c>
      <x:c r="L1062" s="2" t="str">
        <x:v>Returned</x:v>
      </x:c>
      <x:c r="M1062" s="12" t="n">
        <x:f>H1062*I1062</x:f>
        <x:v>28000</x:v>
      </x:c>
      <x:c r="N1062" s="12" t="n">
        <x:f>IF(L1062="Completed",ROUND(M1062*(1-K1062),2),0)</x:f>
        <x:v>0</x:v>
      </x:c>
      <x:c r="O1062" s="12" t="n">
        <x:f>IF(L1062="Completed",H1062*J1062,0)</x:f>
        <x:v>0</x:v>
      </x:c>
      <x:c r="P1062" s="12" t="n">
        <x:f>N1062-O1062</x:f>
        <x:v>0</x:v>
      </x:c>
    </x:row>
    <x:row r="1063" ht="21" customHeight="1">
      <x:c r="A1063" s="7" t="n">
        <x:v>1058</x:v>
      </x:c>
      <x:c r="B1063" s="2" t="str">
        <x:v>TXN-01058</x:v>
      </x:c>
      <x:c r="C1063" s="8" t="d">
        <x:v>2025-10-28T00:00:00.000Z</x:v>
      </x:c>
      <x:c r="D1063" s="2" t="str">
        <x:v>Lagos</x:v>
      </x:c>
      <x:c r="E1063" s="2" t="str">
        <x:v>Home</x:v>
      </x:c>
      <x:c r="F1063" s="2" t="str">
        <x:v>Desk lamp</x:v>
      </x:c>
      <x:c r="G1063" s="2" t="str">
        <x:v>In-store</x:v>
      </x:c>
      <x:c r="H1063" s="7" t="n">
        <x:v>1</x:v>
      </x:c>
      <x:c r="I1063" s="9" t="n">
        <x:v>12000</x:v>
      </x:c>
      <x:c r="J1063" s="9" t="n">
        <x:v>7200</x:v>
      </x:c>
      <x:c r="K1063" s="10" t="n">
        <x:v>0.05</x:v>
      </x:c>
      <x:c r="L1063" s="2" t="str">
        <x:v>Completed</x:v>
      </x:c>
      <x:c r="M1063" s="12" t="n">
        <x:f>H1063*I1063</x:f>
        <x:v>12000</x:v>
      </x:c>
      <x:c r="N1063" s="12" t="n">
        <x:f>IF(L1063="Completed",ROUND(M1063*(1-K1063),2),0)</x:f>
        <x:v>11400</x:v>
      </x:c>
      <x:c r="O1063" s="12" t="n">
        <x:f>IF(L1063="Completed",H1063*J1063,0)</x:f>
        <x:v>7200</x:v>
      </x:c>
      <x:c r="P1063" s="12" t="n">
        <x:f>N1063-O1063</x:f>
        <x:v>4200</x:v>
      </x:c>
    </x:row>
    <x:row r="1064" ht="21" customHeight="1">
      <x:c r="A1064" s="7" t="n">
        <x:v>1059</x:v>
      </x:c>
      <x:c r="B1064" s="2" t="str">
        <x:v>TXN-01059</x:v>
      </x:c>
      <x:c r="C1064" s="8" t="d">
        <x:v>2025-10-29T00:00:00.000Z</x:v>
      </x:c>
      <x:c r="D1064" s="2" t="str">
        <x:v>Port Harcourt</x:v>
      </x:c>
      <x:c r="E1064" s="2" t="str">
        <x:v>Home</x:v>
      </x:c>
      <x:c r="F1064" s="2" t="str">
        <x:v>Cookware set</x:v>
      </x:c>
      <x:c r="G1064" s="2" t="str">
        <x:v>In-store</x:v>
      </x:c>
      <x:c r="H1064" s="7" t="n">
        <x:v>1</x:v>
      </x:c>
      <x:c r="I1064" s="9" t="n">
        <x:v>35000</x:v>
      </x:c>
      <x:c r="J1064" s="9" t="n">
        <x:v>22500</x:v>
      </x:c>
      <x:c r="K1064" s="10" t="n">
        <x:v>0</x:v>
      </x:c>
      <x:c r="L1064" s="2" t="str">
        <x:v>Completed</x:v>
      </x:c>
      <x:c r="M1064" s="12" t="n">
        <x:f>H1064*I1064</x:f>
        <x:v>35000</x:v>
      </x:c>
      <x:c r="N1064" s="12" t="n">
        <x:f>IF(L1064="Completed",ROUND(M1064*(1-K1064),2),0)</x:f>
        <x:v>35000</x:v>
      </x:c>
      <x:c r="O1064" s="12" t="n">
        <x:f>IF(L1064="Completed",H1064*J1064,0)</x:f>
        <x:v>22500</x:v>
      </x:c>
      <x:c r="P1064" s="12" t="n">
        <x:f>N1064-O1064</x:f>
        <x:v>12500</x:v>
      </x:c>
    </x:row>
    <x:row r="1065" ht="21" customHeight="1">
      <x:c r="A1065" s="7" t="n">
        <x:v>1060</x:v>
      </x:c>
      <x:c r="B1065" s="2" t="str">
        <x:v>TXN-01060</x:v>
      </x:c>
      <x:c r="C1065" s="8" t="d">
        <x:v>2025-10-15T00:00:00.000Z</x:v>
      </x:c>
      <x:c r="D1065" s="2" t="str">
        <x:v>Abuja</x:v>
      </x:c>
      <x:c r="E1065" s="2" t="str">
        <x:v>Fashion</x:v>
      </x:c>
      <x:c r="F1065" s="2" t="str">
        <x:v>Handbag</x:v>
      </x:c>
      <x:c r="G1065" s="2" t="str">
        <x:v>Online</x:v>
      </x:c>
      <x:c r="H1065" s="7" t="n">
        <x:v>1</x:v>
      </x:c>
      <x:c r="I1065" s="9" t="n">
        <x:v>22000</x:v>
      </x:c>
      <x:c r="J1065" s="9" t="n">
        <x:v>13500</x:v>
      </x:c>
      <x:c r="K1065" s="10" t="n">
        <x:v>0.05</x:v>
      </x:c>
      <x:c r="L1065" s="2" t="str">
        <x:v>Completed</x:v>
      </x:c>
      <x:c r="M1065" s="12" t="n">
        <x:f>H1065*I1065</x:f>
        <x:v>22000</x:v>
      </x:c>
      <x:c r="N1065" s="12" t="n">
        <x:f>IF(L1065="Completed",ROUND(M1065*(1-K1065),2),0)</x:f>
        <x:v>20900</x:v>
      </x:c>
      <x:c r="O1065" s="12" t="n">
        <x:f>IF(L1065="Completed",H1065*J1065,0)</x:f>
        <x:v>13500</x:v>
      </x:c>
      <x:c r="P1065" s="12" t="n">
        <x:f>N1065-O1065</x:f>
        <x:v>7400</x:v>
      </x:c>
    </x:row>
    <x:row r="1066" ht="21" customHeight="1">
      <x:c r="A1066" s="7" t="n">
        <x:v>1061</x:v>
      </x:c>
      <x:c r="B1066" s="2" t="str">
        <x:v>TXN-01061</x:v>
      </x:c>
      <x:c r="C1066" s="8" t="d">
        <x:v>2025-10-04T00:00:00.000Z</x:v>
      </x:c>
      <x:c r="D1066" s="2" t="str">
        <x:v>Abuja</x:v>
      </x:c>
      <x:c r="E1066" s="2" t="str">
        <x:v>Home</x:v>
      </x:c>
      <x:c r="F1066" s="2" t="str">
        <x:v>Cookware set</x:v>
      </x:c>
      <x:c r="G1066" s="2" t="str">
        <x:v>Online</x:v>
      </x:c>
      <x:c r="H1066" s="7" t="n">
        <x:v>1</x:v>
      </x:c>
      <x:c r="I1066" s="9" t="n">
        <x:v>35000</x:v>
      </x:c>
      <x:c r="J1066" s="9" t="n">
        <x:v>22500</x:v>
      </x:c>
      <x:c r="K1066" s="10" t="n">
        <x:v>0.15</x:v>
      </x:c>
      <x:c r="L1066" s="2" t="str">
        <x:v>Returned</x:v>
      </x:c>
      <x:c r="M1066" s="12" t="n">
        <x:f>H1066*I1066</x:f>
        <x:v>35000</x:v>
      </x:c>
      <x:c r="N1066" s="12" t="n">
        <x:f>IF(L1066="Completed",ROUND(M1066*(1-K1066),2),0)</x:f>
        <x:v>0</x:v>
      </x:c>
      <x:c r="O1066" s="12" t="n">
        <x:f>IF(L1066="Completed",H1066*J1066,0)</x:f>
        <x:v>0</x:v>
      </x:c>
      <x:c r="P1066" s="12" t="n">
        <x:f>N1066-O1066</x:f>
        <x:v>0</x:v>
      </x:c>
    </x:row>
    <x:row r="1067" ht="21" customHeight="1">
      <x:c r="A1067" s="7" t="n">
        <x:v>1062</x:v>
      </x:c>
      <x:c r="B1067" s="2" t="str">
        <x:v>TXN-01062</x:v>
      </x:c>
      <x:c r="C1067" s="8" t="d">
        <x:v>2025-10-26T00:00:00.000Z</x:v>
      </x:c>
      <x:c r="D1067" s="2" t="str">
        <x:v>Kano</x:v>
      </x:c>
      <x:c r="E1067" s="2" t="str">
        <x:v>Beauty</x:v>
      </x:c>
      <x:c r="F1067" s="2" t="str">
        <x:v>Body wash</x:v>
      </x:c>
      <x:c r="G1067" s="2" t="str">
        <x:v>Online</x:v>
      </x:c>
      <x:c r="H1067" s="7" t="n">
        <x:v>2</x:v>
      </x:c>
      <x:c r="I1067" s="9" t="n">
        <x:v>4500</x:v>
      </x:c>
      <x:c r="J1067" s="9" t="n">
        <x:v>2300</x:v>
      </x:c>
      <x:c r="K1067" s="10" t="n">
        <x:v>0.1</x:v>
      </x:c>
      <x:c r="L1067" s="2" t="str">
        <x:v>Completed</x:v>
      </x:c>
      <x:c r="M1067" s="12" t="n">
        <x:f>H1067*I1067</x:f>
        <x:v>9000</x:v>
      </x:c>
      <x:c r="N1067" s="12" t="n">
        <x:f>IF(L1067="Completed",ROUND(M1067*(1-K1067),2),0)</x:f>
        <x:v>8100</x:v>
      </x:c>
      <x:c r="O1067" s="12" t="n">
        <x:f>IF(L1067="Completed",H1067*J1067,0)</x:f>
        <x:v>4600</x:v>
      </x:c>
      <x:c r="P1067" s="12" t="n">
        <x:f>N1067-O1067</x:f>
        <x:v>3500</x:v>
      </x:c>
    </x:row>
    <x:row r="1068" ht="21" customHeight="1">
      <x:c r="A1068" s="7" t="n">
        <x:v>1063</x:v>
      </x:c>
      <x:c r="B1068" s="2" t="str">
        <x:v>TXN-01063</x:v>
      </x:c>
      <x:c r="C1068" s="8" t="d">
        <x:v>2025-10-02T00:00:00.000Z</x:v>
      </x:c>
      <x:c r="D1068" s="2" t="str">
        <x:v>Lagos</x:v>
      </x:c>
      <x:c r="E1068" s="2" t="str">
        <x:v>Electronics</x:v>
      </x:c>
      <x:c r="F1068" s="2" t="str">
        <x:v>Power bank</x:v>
      </x:c>
      <x:c r="G1068" s="2" t="str">
        <x:v>Online</x:v>
      </x:c>
      <x:c r="H1068" s="7" t="n">
        <x:v>2</x:v>
      </x:c>
      <x:c r="I1068" s="9" t="n">
        <x:v>15000</x:v>
      </x:c>
      <x:c r="J1068" s="9" t="n">
        <x:v>9500</x:v>
      </x:c>
      <x:c r="K1068" s="10" t="n">
        <x:v>0.1</x:v>
      </x:c>
      <x:c r="L1068" s="2" t="str">
        <x:v>Completed</x:v>
      </x:c>
      <x:c r="M1068" s="12" t="n">
        <x:f>H1068*I1068</x:f>
        <x:v>30000</x:v>
      </x:c>
      <x:c r="N1068" s="12" t="n">
        <x:f>IF(L1068="Completed",ROUND(M1068*(1-K1068),2),0)</x:f>
        <x:v>27000</x:v>
      </x:c>
      <x:c r="O1068" s="12" t="n">
        <x:f>IF(L1068="Completed",H1068*J1068,0)</x:f>
        <x:v>19000</x:v>
      </x:c>
      <x:c r="P1068" s="12" t="n">
        <x:f>N1068-O1068</x:f>
        <x:v>8000</x:v>
      </x:c>
    </x:row>
    <x:row r="1069" ht="21" customHeight="1">
      <x:c r="A1069" s="7" t="n">
        <x:v>1064</x:v>
      </x:c>
      <x:c r="B1069" s="2" t="str">
        <x:v>TXN-01064</x:v>
      </x:c>
      <x:c r="C1069" s="8" t="d">
        <x:v>2025-10-03T00:00:00.000Z</x:v>
      </x:c>
      <x:c r="D1069" s="2" t="str">
        <x:v>Lagos</x:v>
      </x:c>
      <x:c r="E1069" s="2" t="str">
        <x:v>Beauty</x:v>
      </x:c>
      <x:c r="F1069" s="2" t="str">
        <x:v>Perfume</x:v>
      </x:c>
      <x:c r="G1069" s="2" t="str">
        <x:v>Online</x:v>
      </x:c>
      <x:c r="H1069" s="7" t="n">
        <x:v>2</x:v>
      </x:c>
      <x:c r="I1069" s="9" t="n">
        <x:v>17000</x:v>
      </x:c>
      <x:c r="J1069" s="9" t="n">
        <x:v>9000</x:v>
      </x:c>
      <x:c r="K1069" s="10" t="n">
        <x:v>0</x:v>
      </x:c>
      <x:c r="L1069" s="2" t="str">
        <x:v>Completed</x:v>
      </x:c>
      <x:c r="M1069" s="12" t="n">
        <x:f>H1069*I1069</x:f>
        <x:v>34000</x:v>
      </x:c>
      <x:c r="N1069" s="12" t="n">
        <x:f>IF(L1069="Completed",ROUND(M1069*(1-K1069),2),0)</x:f>
        <x:v>34000</x:v>
      </x:c>
      <x:c r="O1069" s="12" t="n">
        <x:f>IF(L1069="Completed",H1069*J1069,0)</x:f>
        <x:v>18000</x:v>
      </x:c>
      <x:c r="P1069" s="12" t="n">
        <x:f>N1069-O1069</x:f>
        <x:v>16000</x:v>
      </x:c>
    </x:row>
    <x:row r="1070" ht="21" customHeight="1">
      <x:c r="A1070" s="7" t="n">
        <x:v>1065</x:v>
      </x:c>
      <x:c r="B1070" s="2" t="str">
        <x:v>TXN-01065</x:v>
      </x:c>
      <x:c r="C1070" s="8" t="d">
        <x:v>2025-10-17T00:00:00.000Z</x:v>
      </x:c>
      <x:c r="D1070" s="2" t="str">
        <x:v>Lagos</x:v>
      </x:c>
      <x:c r="E1070" s="2" t="str">
        <x:v>Beauty</x:v>
      </x:c>
      <x:c r="F1070" s="2" t="str">
        <x:v>Moisturizer</x:v>
      </x:c>
      <x:c r="G1070" s="2" t="str">
        <x:v>In-store</x:v>
      </x:c>
      <x:c r="H1070" s="7" t="n">
        <x:v>1</x:v>
      </x:c>
      <x:c r="I1070" s="9" t="n">
        <x:v>6500</x:v>
      </x:c>
      <x:c r="J1070" s="9" t="n">
        <x:v>3500</x:v>
      </x:c>
      <x:c r="K1070" s="10" t="n">
        <x:v>0</x:v>
      </x:c>
      <x:c r="L1070" s="2" t="str">
        <x:v>Completed</x:v>
      </x:c>
      <x:c r="M1070" s="12" t="n">
        <x:f>H1070*I1070</x:f>
        <x:v>6500</x:v>
      </x:c>
      <x:c r="N1070" s="12" t="n">
        <x:f>IF(L1070="Completed",ROUND(M1070*(1-K1070),2),0)</x:f>
        <x:v>6500</x:v>
      </x:c>
      <x:c r="O1070" s="12" t="n">
        <x:f>IF(L1070="Completed",H1070*J1070,0)</x:f>
        <x:v>3500</x:v>
      </x:c>
      <x:c r="P1070" s="12" t="n">
        <x:f>N1070-O1070</x:f>
        <x:v>3000</x:v>
      </x:c>
    </x:row>
    <x:row r="1071" ht="21" customHeight="1">
      <x:c r="A1071" s="7" t="n">
        <x:v>1066</x:v>
      </x:c>
      <x:c r="B1071" s="2" t="str">
        <x:v>TXN-01066</x:v>
      </x:c>
      <x:c r="C1071" s="8" t="d">
        <x:v>2025-10-24T00:00:00.000Z</x:v>
      </x:c>
      <x:c r="D1071" s="2" t="str">
        <x:v>Lagos</x:v>
      </x:c>
      <x:c r="E1071" s="2" t="str">
        <x:v>Electronics</x:v>
      </x:c>
      <x:c r="F1071" s="2" t="str">
        <x:v>Bluetooth speaker</x:v>
      </x:c>
      <x:c r="G1071" s="2" t="str">
        <x:v>Online</x:v>
      </x:c>
      <x:c r="H1071" s="7" t="n">
        <x:v>3</x:v>
      </x:c>
      <x:c r="I1071" s="9" t="n">
        <x:v>26000</x:v>
      </x:c>
      <x:c r="J1071" s="9" t="n">
        <x:v>17000</x:v>
      </x:c>
      <x:c r="K1071" s="10" t="n">
        <x:v>0</x:v>
      </x:c>
      <x:c r="L1071" s="2" t="str">
        <x:v>Completed</x:v>
      </x:c>
      <x:c r="M1071" s="12" t="n">
        <x:f>H1071*I1071</x:f>
        <x:v>78000</x:v>
      </x:c>
      <x:c r="N1071" s="12" t="n">
        <x:f>IF(L1071="Completed",ROUND(M1071*(1-K1071),2),0)</x:f>
        <x:v>78000</x:v>
      </x:c>
      <x:c r="O1071" s="12" t="n">
        <x:f>IF(L1071="Completed",H1071*J1071,0)</x:f>
        <x:v>51000</x:v>
      </x:c>
      <x:c r="P1071" s="12" t="n">
        <x:f>N1071-O1071</x:f>
        <x:v>27000</x:v>
      </x:c>
    </x:row>
    <x:row r="1072" ht="21" customHeight="1">
      <x:c r="A1072" s="7" t="n">
        <x:v>1067</x:v>
      </x:c>
      <x:c r="B1072" s="2" t="str">
        <x:v>TXN-01067</x:v>
      </x:c>
      <x:c r="C1072" s="8" t="d">
        <x:v>2025-10-07T00:00:00.000Z</x:v>
      </x:c>
      <x:c r="D1072" s="2" t="str">
        <x:v>Lagos</x:v>
      </x:c>
      <x:c r="E1072" s="2" t="str">
        <x:v>Beauty</x:v>
      </x:c>
      <x:c r="F1072" s="2" t="str">
        <x:v>Body wash</x:v>
      </x:c>
      <x:c r="G1072" s="2" t="str">
        <x:v>In-store</x:v>
      </x:c>
      <x:c r="H1072" s="7" t="n">
        <x:v>3</x:v>
      </x:c>
      <x:c r="I1072" s="9" t="n">
        <x:v>4500</x:v>
      </x:c>
      <x:c r="J1072" s="9" t="n">
        <x:v>2300</x:v>
      </x:c>
      <x:c r="K1072" s="10" t="n">
        <x:v>0</x:v>
      </x:c>
      <x:c r="L1072" s="2" t="str">
        <x:v>Returned</x:v>
      </x:c>
      <x:c r="M1072" s="12" t="n">
        <x:f>H1072*I1072</x:f>
        <x:v>13500</x:v>
      </x:c>
      <x:c r="N1072" s="12" t="n">
        <x:f>IF(L1072="Completed",ROUND(M1072*(1-K1072),2),0)</x:f>
        <x:v>0</x:v>
      </x:c>
      <x:c r="O1072" s="12" t="n">
        <x:f>IF(L1072="Completed",H1072*J1072,0)</x:f>
        <x:v>0</x:v>
      </x:c>
      <x:c r="P1072" s="12" t="n">
        <x:f>N1072-O1072</x:f>
        <x:v>0</x:v>
      </x:c>
    </x:row>
    <x:row r="1073" ht="21" customHeight="1">
      <x:c r="A1073" s="7" t="n">
        <x:v>1068</x:v>
      </x:c>
      <x:c r="B1073" s="2" t="str">
        <x:v>TXN-01068</x:v>
      </x:c>
      <x:c r="C1073" s="8" t="d">
        <x:v>2025-10-19T00:00:00.000Z</x:v>
      </x:c>
      <x:c r="D1073" s="2" t="str">
        <x:v>Lagos</x:v>
      </x:c>
      <x:c r="E1073" s="2" t="str">
        <x:v>Home</x:v>
      </x:c>
      <x:c r="F1073" s="2" t="str">
        <x:v>Desk lamp</x:v>
      </x:c>
      <x:c r="G1073" s="2" t="str">
        <x:v>Online</x:v>
      </x:c>
      <x:c r="H1073" s="7" t="n">
        <x:v>2</x:v>
      </x:c>
      <x:c r="I1073" s="9" t="n">
        <x:v>12000</x:v>
      </x:c>
      <x:c r="J1073" s="9" t="n">
        <x:v>7200</x:v>
      </x:c>
      <x:c r="K1073" s="10" t="n">
        <x:v>0</x:v>
      </x:c>
      <x:c r="L1073" s="2" t="str">
        <x:v>Completed</x:v>
      </x:c>
      <x:c r="M1073" s="12" t="n">
        <x:f>H1073*I1073</x:f>
        <x:v>24000</x:v>
      </x:c>
      <x:c r="N1073" s="12" t="n">
        <x:f>IF(L1073="Completed",ROUND(M1073*(1-K1073),2),0)</x:f>
        <x:v>24000</x:v>
      </x:c>
      <x:c r="O1073" s="12" t="n">
        <x:f>IF(L1073="Completed",H1073*J1073,0)</x:f>
        <x:v>14400</x:v>
      </x:c>
      <x:c r="P1073" s="12" t="n">
        <x:f>N1073-O1073</x:f>
        <x:v>9600</x:v>
      </x:c>
    </x:row>
    <x:row r="1074" ht="21" customHeight="1">
      <x:c r="A1074" s="7" t="n">
        <x:v>1069</x:v>
      </x:c>
      <x:c r="B1074" s="2" t="str">
        <x:v>TXN-01069</x:v>
      </x:c>
      <x:c r="C1074" s="8" t="d">
        <x:v>2025-10-20T00:00:00.000Z</x:v>
      </x:c>
      <x:c r="D1074" s="2" t="str">
        <x:v>Port Harcourt</x:v>
      </x:c>
      <x:c r="E1074" s="2" t="str">
        <x:v>Electronics</x:v>
      </x:c>
      <x:c r="F1074" s="2" t="str">
        <x:v>Power bank</x:v>
      </x:c>
      <x:c r="G1074" s="2" t="str">
        <x:v>In-store</x:v>
      </x:c>
      <x:c r="H1074" s="7" t="n">
        <x:v>2</x:v>
      </x:c>
      <x:c r="I1074" s="9" t="n">
        <x:v>15000</x:v>
      </x:c>
      <x:c r="J1074" s="9" t="n">
        <x:v>9500</x:v>
      </x:c>
      <x:c r="K1074" s="10" t="n">
        <x:v>0.15</x:v>
      </x:c>
      <x:c r="L1074" s="2" t="str">
        <x:v>Completed</x:v>
      </x:c>
      <x:c r="M1074" s="12" t="n">
        <x:f>H1074*I1074</x:f>
        <x:v>30000</x:v>
      </x:c>
      <x:c r="N1074" s="12" t="n">
        <x:f>IF(L1074="Completed",ROUND(M1074*(1-K1074),2),0)</x:f>
        <x:v>25500</x:v>
      </x:c>
      <x:c r="O1074" s="12" t="n">
        <x:f>IF(L1074="Completed",H1074*J1074,0)</x:f>
        <x:v>19000</x:v>
      </x:c>
      <x:c r="P1074" s="12" t="n">
        <x:f>N1074-O1074</x:f>
        <x:v>6500</x:v>
      </x:c>
    </x:row>
    <x:row r="1075" ht="21" customHeight="1">
      <x:c r="A1075" s="7" t="n">
        <x:v>1070</x:v>
      </x:c>
      <x:c r="B1075" s="2" t="str">
        <x:v>TXN-01070</x:v>
      </x:c>
      <x:c r="C1075" s="8" t="d">
        <x:v>2025-10-16T00:00:00.000Z</x:v>
      </x:c>
      <x:c r="D1075" s="2" t="str">
        <x:v>Lagos</x:v>
      </x:c>
      <x:c r="E1075" s="2" t="str">
        <x:v>Electronics</x:v>
      </x:c>
      <x:c r="F1075" s="2" t="str">
        <x:v>Headphones</x:v>
      </x:c>
      <x:c r="G1075" s="2" t="str">
        <x:v>In-store</x:v>
      </x:c>
      <x:c r="H1075" s="7" t="n">
        <x:v>2</x:v>
      </x:c>
      <x:c r="I1075" s="9" t="n">
        <x:v>18000</x:v>
      </x:c>
      <x:c r="J1075" s="9" t="n">
        <x:v>10500</x:v>
      </x:c>
      <x:c r="K1075" s="10" t="n">
        <x:v>0</x:v>
      </x:c>
      <x:c r="L1075" s="2" t="str">
        <x:v>Completed</x:v>
      </x:c>
      <x:c r="M1075" s="12" t="n">
        <x:f>H1075*I1075</x:f>
        <x:v>36000</x:v>
      </x:c>
      <x:c r="N1075" s="12" t="n">
        <x:f>IF(L1075="Completed",ROUND(M1075*(1-K1075),2),0)</x:f>
        <x:v>36000</x:v>
      </x:c>
      <x:c r="O1075" s="12" t="n">
        <x:f>IF(L1075="Completed",H1075*J1075,0)</x:f>
        <x:v>21000</x:v>
      </x:c>
      <x:c r="P1075" s="12" t="n">
        <x:f>N1075-O1075</x:f>
        <x:v>15000</x:v>
      </x:c>
    </x:row>
    <x:row r="1076" ht="21" customHeight="1">
      <x:c r="A1076" s="7" t="n">
        <x:v>1071</x:v>
      </x:c>
      <x:c r="B1076" s="2" t="str">
        <x:v>TXN-01071</x:v>
      </x:c>
      <x:c r="C1076" s="8" t="d">
        <x:v>2025-10-16T00:00:00.000Z</x:v>
      </x:c>
      <x:c r="D1076" s="2" t="str">
        <x:v>Lagos</x:v>
      </x:c>
      <x:c r="E1076" s="2" t="str">
        <x:v>Beauty</x:v>
      </x:c>
      <x:c r="F1076" s="2" t="str">
        <x:v>Moisturizer</x:v>
      </x:c>
      <x:c r="G1076" s="2" t="str">
        <x:v>In-store</x:v>
      </x:c>
      <x:c r="H1076" s="7" t="n">
        <x:v>1</x:v>
      </x:c>
      <x:c r="I1076" s="9" t="n">
        <x:v>6500</x:v>
      </x:c>
      <x:c r="J1076" s="9" t="n">
        <x:v>3500</x:v>
      </x:c>
      <x:c r="K1076" s="10" t="n">
        <x:v>0</x:v>
      </x:c>
      <x:c r="L1076" s="2" t="str">
        <x:v>Completed</x:v>
      </x:c>
      <x:c r="M1076" s="12" t="n">
        <x:f>H1076*I1076</x:f>
        <x:v>6500</x:v>
      </x:c>
      <x:c r="N1076" s="12" t="n">
        <x:f>IF(L1076="Completed",ROUND(M1076*(1-K1076),2),0)</x:f>
        <x:v>6500</x:v>
      </x:c>
      <x:c r="O1076" s="12" t="n">
        <x:f>IF(L1076="Completed",H1076*J1076,0)</x:f>
        <x:v>3500</x:v>
      </x:c>
      <x:c r="P1076" s="12" t="n">
        <x:f>N1076-O1076</x:f>
        <x:v>3000</x:v>
      </x:c>
    </x:row>
    <x:row r="1077" ht="21" customHeight="1">
      <x:c r="A1077" s="7" t="n">
        <x:v>1072</x:v>
      </x:c>
      <x:c r="B1077" s="2" t="str">
        <x:v>TXN-01072</x:v>
      </x:c>
      <x:c r="C1077" s="8" t="d">
        <x:v>2025-10-30T00:00:00.000Z</x:v>
      </x:c>
      <x:c r="D1077" s="2" t="str">
        <x:v>Port Harcourt</x:v>
      </x:c>
      <x:c r="E1077" s="2" t="str">
        <x:v>Beauty</x:v>
      </x:c>
      <x:c r="F1077" s="2" t="str">
        <x:v>Moisturizer</x:v>
      </x:c>
      <x:c r="G1077" s="2" t="str">
        <x:v>In-store</x:v>
      </x:c>
      <x:c r="H1077" s="7" t="n">
        <x:v>2</x:v>
      </x:c>
      <x:c r="I1077" s="9" t="n">
        <x:v>6500</x:v>
      </x:c>
      <x:c r="J1077" s="9" t="n">
        <x:v>3500</x:v>
      </x:c>
      <x:c r="K1077" s="10" t="n">
        <x:v>0.1</x:v>
      </x:c>
      <x:c r="L1077" s="2" t="str">
        <x:v>Completed</x:v>
      </x:c>
      <x:c r="M1077" s="12" t="n">
        <x:f>H1077*I1077</x:f>
        <x:v>13000</x:v>
      </x:c>
      <x:c r="N1077" s="12" t="n">
        <x:f>IF(L1077="Completed",ROUND(M1077*(1-K1077),2),0)</x:f>
        <x:v>11700</x:v>
      </x:c>
      <x:c r="O1077" s="12" t="n">
        <x:f>IF(L1077="Completed",H1077*J1077,0)</x:f>
        <x:v>7000</x:v>
      </x:c>
      <x:c r="P1077" s="12" t="n">
        <x:f>N1077-O1077</x:f>
        <x:v>4700</x:v>
      </x:c>
    </x:row>
    <x:row r="1078" ht="21" customHeight="1">
      <x:c r="A1078" s="7" t="n">
        <x:v>1073</x:v>
      </x:c>
      <x:c r="B1078" s="2" t="str">
        <x:v>TXN-01073</x:v>
      </x:c>
      <x:c r="C1078" s="8" t="d">
        <x:v>2025-10-24T00:00:00.000Z</x:v>
      </x:c>
      <x:c r="D1078" s="2" t="str">
        <x:v>Kano</x:v>
      </x:c>
      <x:c r="E1078" s="2" t="str">
        <x:v>Fashion</x:v>
      </x:c>
      <x:c r="F1078" s="2" t="str">
        <x:v>T-shirt</x:v>
      </x:c>
      <x:c r="G1078" s="2" t="str">
        <x:v>In-store</x:v>
      </x:c>
      <x:c r="H1078" s="7" t="n">
        <x:v>2</x:v>
      </x:c>
      <x:c r="I1078" s="9" t="n">
        <x:v>9000</x:v>
      </x:c>
      <x:c r="J1078" s="9" t="n">
        <x:v>5000</x:v>
      </x:c>
      <x:c r="K1078" s="10" t="n">
        <x:v>0.05</x:v>
      </x:c>
      <x:c r="L1078" s="2" t="str">
        <x:v>Completed</x:v>
      </x:c>
      <x:c r="M1078" s="12" t="n">
        <x:f>H1078*I1078</x:f>
        <x:v>18000</x:v>
      </x:c>
      <x:c r="N1078" s="12" t="n">
        <x:f>IF(L1078="Completed",ROUND(M1078*(1-K1078),2),0)</x:f>
        <x:v>17100</x:v>
      </x:c>
      <x:c r="O1078" s="12" t="n">
        <x:f>IF(L1078="Completed",H1078*J1078,0)</x:f>
        <x:v>10000</x:v>
      </x:c>
      <x:c r="P1078" s="12" t="n">
        <x:f>N1078-O1078</x:f>
        <x:v>7100</x:v>
      </x:c>
    </x:row>
    <x:row r="1079" ht="21" customHeight="1">
      <x:c r="A1079" s="7" t="n">
        <x:v>1074</x:v>
      </x:c>
      <x:c r="B1079" s="2" t="str">
        <x:v>TXN-01074</x:v>
      </x:c>
      <x:c r="C1079" s="8" t="d">
        <x:v>2025-10-21T00:00:00.000Z</x:v>
      </x:c>
      <x:c r="D1079" s="2" t="str">
        <x:v>Lagos</x:v>
      </x:c>
      <x:c r="E1079" s="2" t="str">
        <x:v>Fashion</x:v>
      </x:c>
      <x:c r="F1079" s="2" t="str">
        <x:v>Sneakers</x:v>
      </x:c>
      <x:c r="G1079" s="2" t="str">
        <x:v>In-store</x:v>
      </x:c>
      <x:c r="H1079" s="7" t="n">
        <x:v>1</x:v>
      </x:c>
      <x:c r="I1079" s="9" t="n">
        <x:v>28000</x:v>
      </x:c>
      <x:c r="J1079" s="9" t="n">
        <x:v>17500</x:v>
      </x:c>
      <x:c r="K1079" s="10" t="n">
        <x:v>0</x:v>
      </x:c>
      <x:c r="L1079" s="2" t="str">
        <x:v>Returned</x:v>
      </x:c>
      <x:c r="M1079" s="12" t="n">
        <x:f>H1079*I1079</x:f>
        <x:v>28000</x:v>
      </x:c>
      <x:c r="N1079" s="12" t="n">
        <x:f>IF(L1079="Completed",ROUND(M1079*(1-K1079),2),0)</x:f>
        <x:v>0</x:v>
      </x:c>
      <x:c r="O1079" s="12" t="n">
        <x:f>IF(L1079="Completed",H1079*J1079,0)</x:f>
        <x:v>0</x:v>
      </x:c>
      <x:c r="P1079" s="12" t="n">
        <x:f>N1079-O1079</x:f>
        <x:v>0</x:v>
      </x:c>
    </x:row>
    <x:row r="1080" ht="21" customHeight="1">
      <x:c r="A1080" s="7" t="n">
        <x:v>1075</x:v>
      </x:c>
      <x:c r="B1080" s="2" t="str">
        <x:v>TXN-01075</x:v>
      </x:c>
      <x:c r="C1080" s="8" t="d">
        <x:v>2025-10-28T00:00:00.000Z</x:v>
      </x:c>
      <x:c r="D1080" s="2" t="str">
        <x:v>Abuja</x:v>
      </x:c>
      <x:c r="E1080" s="2" t="str">
        <x:v>Fashion</x:v>
      </x:c>
      <x:c r="F1080" s="2" t="str">
        <x:v>Sneakers</x:v>
      </x:c>
      <x:c r="G1080" s="2" t="str">
        <x:v>In-store</x:v>
      </x:c>
      <x:c r="H1080" s="7" t="n">
        <x:v>1</x:v>
      </x:c>
      <x:c r="I1080" s="9" t="n">
        <x:v>28000</x:v>
      </x:c>
      <x:c r="J1080" s="9" t="n">
        <x:v>17500</x:v>
      </x:c>
      <x:c r="K1080" s="10" t="n">
        <x:v>0</x:v>
      </x:c>
      <x:c r="L1080" s="2" t="str">
        <x:v>Completed</x:v>
      </x:c>
      <x:c r="M1080" s="12" t="n">
        <x:f>H1080*I1080</x:f>
        <x:v>28000</x:v>
      </x:c>
      <x:c r="N1080" s="12" t="n">
        <x:f>IF(L1080="Completed",ROUND(M1080*(1-K1080),2),0)</x:f>
        <x:v>28000</x:v>
      </x:c>
      <x:c r="O1080" s="12" t="n">
        <x:f>IF(L1080="Completed",H1080*J1080,0)</x:f>
        <x:v>17500</x:v>
      </x:c>
      <x:c r="P1080" s="12" t="n">
        <x:f>N1080-O1080</x:f>
        <x:v>10500</x:v>
      </x:c>
    </x:row>
    <x:row r="1081" ht="21" customHeight="1">
      <x:c r="A1081" s="7" t="n">
        <x:v>1076</x:v>
      </x:c>
      <x:c r="B1081" s="2" t="str">
        <x:v>TXN-01076</x:v>
      </x:c>
      <x:c r="C1081" s="8" t="d">
        <x:v>2025-10-16T00:00:00.000Z</x:v>
      </x:c>
      <x:c r="D1081" s="2" t="str">
        <x:v>Kano</x:v>
      </x:c>
      <x:c r="E1081" s="2" t="str">
        <x:v>Fashion</x:v>
      </x:c>
      <x:c r="F1081" s="2" t="str">
        <x:v>Sneakers</x:v>
      </x:c>
      <x:c r="G1081" s="2" t="str">
        <x:v>In-store</x:v>
      </x:c>
      <x:c r="H1081" s="7" t="n">
        <x:v>1</x:v>
      </x:c>
      <x:c r="I1081" s="9" t="n">
        <x:v>28000</x:v>
      </x:c>
      <x:c r="J1081" s="9" t="n">
        <x:v>17500</x:v>
      </x:c>
      <x:c r="K1081" s="10" t="n">
        <x:v>0</x:v>
      </x:c>
      <x:c r="L1081" s="2" t="str">
        <x:v>Completed</x:v>
      </x:c>
      <x:c r="M1081" s="12" t="n">
        <x:f>H1081*I1081</x:f>
        <x:v>28000</x:v>
      </x:c>
      <x:c r="N1081" s="12" t="n">
        <x:f>IF(L1081="Completed",ROUND(M1081*(1-K1081),2),0)</x:f>
        <x:v>28000</x:v>
      </x:c>
      <x:c r="O1081" s="12" t="n">
        <x:f>IF(L1081="Completed",H1081*J1081,0)</x:f>
        <x:v>17500</x:v>
      </x:c>
      <x:c r="P1081" s="12" t="n">
        <x:f>N1081-O1081</x:f>
        <x:v>10500</x:v>
      </x:c>
    </x:row>
    <x:row r="1082" ht="21" customHeight="1">
      <x:c r="A1082" s="7" t="n">
        <x:v>1077</x:v>
      </x:c>
      <x:c r="B1082" s="2" t="str">
        <x:v>TXN-01077</x:v>
      </x:c>
      <x:c r="C1082" s="8" t="d">
        <x:v>2025-10-05T00:00:00.000Z</x:v>
      </x:c>
      <x:c r="D1082" s="2" t="str">
        <x:v>Lagos</x:v>
      </x:c>
      <x:c r="E1082" s="2" t="str">
        <x:v>Electronics</x:v>
      </x:c>
      <x:c r="F1082" s="2" t="str">
        <x:v>Bluetooth speaker</x:v>
      </x:c>
      <x:c r="G1082" s="2" t="str">
        <x:v>In-store</x:v>
      </x:c>
      <x:c r="H1082" s="7" t="n">
        <x:v>1</x:v>
      </x:c>
      <x:c r="I1082" s="9" t="n">
        <x:v>26000</x:v>
      </x:c>
      <x:c r="J1082" s="9" t="n">
        <x:v>17000</x:v>
      </x:c>
      <x:c r="K1082" s="10" t="n">
        <x:v>0</x:v>
      </x:c>
      <x:c r="L1082" s="2" t="str">
        <x:v>Completed</x:v>
      </x:c>
      <x:c r="M1082" s="12" t="n">
        <x:f>H1082*I1082</x:f>
        <x:v>26000</x:v>
      </x:c>
      <x:c r="N1082" s="12" t="n">
        <x:f>IF(L1082="Completed",ROUND(M1082*(1-K1082),2),0)</x:f>
        <x:v>26000</x:v>
      </x:c>
      <x:c r="O1082" s="12" t="n">
        <x:f>IF(L1082="Completed",H1082*J1082,0)</x:f>
        <x:v>17000</x:v>
      </x:c>
      <x:c r="P1082" s="12" t="n">
        <x:f>N1082-O1082</x:f>
        <x:v>9000</x:v>
      </x:c>
    </x:row>
    <x:row r="1083" ht="21" customHeight="1">
      <x:c r="A1083" s="7" t="n">
        <x:v>1078</x:v>
      </x:c>
      <x:c r="B1083" s="2" t="str">
        <x:v>TXN-01078</x:v>
      </x:c>
      <x:c r="C1083" s="8" t="d">
        <x:v>2025-10-04T00:00:00.000Z</x:v>
      </x:c>
      <x:c r="D1083" s="2" t="str">
        <x:v>Lagos</x:v>
      </x:c>
      <x:c r="E1083" s="2" t="str">
        <x:v>Beauty</x:v>
      </x:c>
      <x:c r="F1083" s="2" t="str">
        <x:v>Moisturizer</x:v>
      </x:c>
      <x:c r="G1083" s="2" t="str">
        <x:v>Online</x:v>
      </x:c>
      <x:c r="H1083" s="7" t="n">
        <x:v>1</x:v>
      </x:c>
      <x:c r="I1083" s="9" t="n">
        <x:v>6500</x:v>
      </x:c>
      <x:c r="J1083" s="9" t="n">
        <x:v>3500</x:v>
      </x:c>
      <x:c r="K1083" s="10" t="n">
        <x:v>0.1</x:v>
      </x:c>
      <x:c r="L1083" s="2" t="str">
        <x:v>Completed</x:v>
      </x:c>
      <x:c r="M1083" s="12" t="n">
        <x:f>H1083*I1083</x:f>
        <x:v>6500</x:v>
      </x:c>
      <x:c r="N1083" s="12" t="n">
        <x:f>IF(L1083="Completed",ROUND(M1083*(1-K1083),2),0)</x:f>
        <x:v>5850</x:v>
      </x:c>
      <x:c r="O1083" s="12" t="n">
        <x:f>IF(L1083="Completed",H1083*J1083,0)</x:f>
        <x:v>3500</x:v>
      </x:c>
      <x:c r="P1083" s="12" t="n">
        <x:f>N1083-O1083</x:f>
        <x:v>2350</x:v>
      </x:c>
    </x:row>
    <x:row r="1084" ht="21" customHeight="1">
      <x:c r="A1084" s="7" t="n">
        <x:v>1079</x:v>
      </x:c>
      <x:c r="B1084" s="2" t="str">
        <x:v>TXN-01079</x:v>
      </x:c>
      <x:c r="C1084" s="8" t="d">
        <x:v>2025-10-10T00:00:00.000Z</x:v>
      </x:c>
      <x:c r="D1084" s="2" t="str">
        <x:v>Port Harcourt</x:v>
      </x:c>
      <x:c r="E1084" s="2" t="str">
        <x:v>Beauty</x:v>
      </x:c>
      <x:c r="F1084" s="2" t="str">
        <x:v>Perfume</x:v>
      </x:c>
      <x:c r="G1084" s="2" t="str">
        <x:v>In-store</x:v>
      </x:c>
      <x:c r="H1084" s="7" t="n">
        <x:v>3</x:v>
      </x:c>
      <x:c r="I1084" s="9" t="n">
        <x:v>17000</x:v>
      </x:c>
      <x:c r="J1084" s="9" t="n">
        <x:v>9000</x:v>
      </x:c>
      <x:c r="K1084" s="10" t="n">
        <x:v>0.15</x:v>
      </x:c>
      <x:c r="L1084" s="2" t="str">
        <x:v>Completed</x:v>
      </x:c>
      <x:c r="M1084" s="12" t="n">
        <x:f>H1084*I1084</x:f>
        <x:v>51000</x:v>
      </x:c>
      <x:c r="N1084" s="12" t="n">
        <x:f>IF(L1084="Completed",ROUND(M1084*(1-K1084),2),0)</x:f>
        <x:v>43350</x:v>
      </x:c>
      <x:c r="O1084" s="12" t="n">
        <x:f>IF(L1084="Completed",H1084*J1084,0)</x:f>
        <x:v>27000</x:v>
      </x:c>
      <x:c r="P1084" s="12" t="n">
        <x:f>N1084-O1084</x:f>
        <x:v>16350</x:v>
      </x:c>
    </x:row>
    <x:row r="1085" ht="21" customHeight="1">
      <x:c r="A1085" s="7" t="n">
        <x:v>1080</x:v>
      </x:c>
      <x:c r="B1085" s="2" t="str">
        <x:v>TXN-01080</x:v>
      </x:c>
      <x:c r="C1085" s="8" t="d">
        <x:v>2025-10-13T00:00:00.000Z</x:v>
      </x:c>
      <x:c r="D1085" s="2" t="str">
        <x:v>Lagos</x:v>
      </x:c>
      <x:c r="E1085" s="2" t="str">
        <x:v>Electronics</x:v>
      </x:c>
      <x:c r="F1085" s="2" t="str">
        <x:v>Power bank</x:v>
      </x:c>
      <x:c r="G1085" s="2" t="str">
        <x:v>In-store</x:v>
      </x:c>
      <x:c r="H1085" s="7" t="n">
        <x:v>1</x:v>
      </x:c>
      <x:c r="I1085" s="9" t="n">
        <x:v>15000</x:v>
      </x:c>
      <x:c r="J1085" s="9" t="n">
        <x:v>9500</x:v>
      </x:c>
      <x:c r="K1085" s="10" t="n">
        <x:v>0</x:v>
      </x:c>
      <x:c r="L1085" s="2" t="str">
        <x:v>Completed</x:v>
      </x:c>
      <x:c r="M1085" s="12" t="n">
        <x:f>H1085*I1085</x:f>
        <x:v>15000</x:v>
      </x:c>
      <x:c r="N1085" s="12" t="n">
        <x:f>IF(L1085="Completed",ROUND(M1085*(1-K1085),2),0)</x:f>
        <x:v>15000</x:v>
      </x:c>
      <x:c r="O1085" s="12" t="n">
        <x:f>IF(L1085="Completed",H1085*J1085,0)</x:f>
        <x:v>9500</x:v>
      </x:c>
      <x:c r="P1085" s="12" t="n">
        <x:f>N1085-O1085</x:f>
        <x:v>5500</x:v>
      </x:c>
    </x:row>
    <x:row r="1086" ht="21" customHeight="1">
      <x:c r="A1086" s="7" t="n">
        <x:v>1081</x:v>
      </x:c>
      <x:c r="B1086" s="2" t="str">
        <x:v>TXN-01081</x:v>
      </x:c>
      <x:c r="C1086" s="8" t="d">
        <x:v>2025-10-28T00:00:00.000Z</x:v>
      </x:c>
      <x:c r="D1086" s="2" t="str">
        <x:v>Lagos</x:v>
      </x:c>
      <x:c r="E1086" s="2" t="str">
        <x:v>Fashion</x:v>
      </x:c>
      <x:c r="F1086" s="2" t="str">
        <x:v>T-shirt</x:v>
      </x:c>
      <x:c r="G1086" s="2" t="str">
        <x:v>In-store</x:v>
      </x:c>
      <x:c r="H1086" s="7" t="n">
        <x:v>1</x:v>
      </x:c>
      <x:c r="I1086" s="9" t="n">
        <x:v>9000</x:v>
      </x:c>
      <x:c r="J1086" s="9" t="n">
        <x:v>5000</x:v>
      </x:c>
      <x:c r="K1086" s="10" t="n">
        <x:v>0</x:v>
      </x:c>
      <x:c r="L1086" s="2" t="str">
        <x:v>Completed</x:v>
      </x:c>
      <x:c r="M1086" s="12" t="n">
        <x:f>H1086*I1086</x:f>
        <x:v>9000</x:v>
      </x:c>
      <x:c r="N1086" s="12" t="n">
        <x:f>IF(L1086="Completed",ROUND(M1086*(1-K1086),2),0)</x:f>
        <x:v>9000</x:v>
      </x:c>
      <x:c r="O1086" s="12" t="n">
        <x:f>IF(L1086="Completed",H1086*J1086,0)</x:f>
        <x:v>5000</x:v>
      </x:c>
      <x:c r="P1086" s="12" t="n">
        <x:f>N1086-O1086</x:f>
        <x:v>4000</x:v>
      </x:c>
    </x:row>
    <x:row r="1087" ht="21" customHeight="1">
      <x:c r="A1087" s="7" t="n">
        <x:v>1082</x:v>
      </x:c>
      <x:c r="B1087" s="2" t="str">
        <x:v>TXN-01082</x:v>
      </x:c>
      <x:c r="C1087" s="8" t="d">
        <x:v>2025-10-16T00:00:00.000Z</x:v>
      </x:c>
      <x:c r="D1087" s="2" t="str">
        <x:v>Lagos</x:v>
      </x:c>
      <x:c r="E1087" s="2" t="str">
        <x:v>Beauty</x:v>
      </x:c>
      <x:c r="F1087" s="2" t="str">
        <x:v>Body wash</x:v>
      </x:c>
      <x:c r="G1087" s="2" t="str">
        <x:v>In-store</x:v>
      </x:c>
      <x:c r="H1087" s="7" t="n">
        <x:v>1</x:v>
      </x:c>
      <x:c r="I1087" s="9" t="n">
        <x:v>4500</x:v>
      </x:c>
      <x:c r="J1087" s="9" t="n">
        <x:v>2300</x:v>
      </x:c>
      <x:c r="K1087" s="10" t="n">
        <x:v>0.1</x:v>
      </x:c>
      <x:c r="L1087" s="2" t="str">
        <x:v>Completed</x:v>
      </x:c>
      <x:c r="M1087" s="12" t="n">
        <x:f>H1087*I1087</x:f>
        <x:v>4500</x:v>
      </x:c>
      <x:c r="N1087" s="12" t="n">
        <x:f>IF(L1087="Completed",ROUND(M1087*(1-K1087),2),0)</x:f>
        <x:v>4050</x:v>
      </x:c>
      <x:c r="O1087" s="12" t="n">
        <x:f>IF(L1087="Completed",H1087*J1087,0)</x:f>
        <x:v>2300</x:v>
      </x:c>
      <x:c r="P1087" s="12" t="n">
        <x:f>N1087-O1087</x:f>
        <x:v>1750</x:v>
      </x:c>
    </x:row>
    <x:row r="1088" ht="21" customHeight="1">
      <x:c r="A1088" s="7" t="n">
        <x:v>1083</x:v>
      </x:c>
      <x:c r="B1088" s="2" t="str">
        <x:v>TXN-01083</x:v>
      </x:c>
      <x:c r="C1088" s="8" t="d">
        <x:v>2025-10-20T00:00:00.000Z</x:v>
      </x:c>
      <x:c r="D1088" s="2" t="str">
        <x:v>Lagos</x:v>
      </x:c>
      <x:c r="E1088" s="2" t="str">
        <x:v>Beauty</x:v>
      </x:c>
      <x:c r="F1088" s="2" t="str">
        <x:v>Moisturizer</x:v>
      </x:c>
      <x:c r="G1088" s="2" t="str">
        <x:v>In-store</x:v>
      </x:c>
      <x:c r="H1088" s="7" t="n">
        <x:v>2</x:v>
      </x:c>
      <x:c r="I1088" s="9" t="n">
        <x:v>6500</x:v>
      </x:c>
      <x:c r="J1088" s="9" t="n">
        <x:v>3500</x:v>
      </x:c>
      <x:c r="K1088" s="10" t="n">
        <x:v>0</x:v>
      </x:c>
      <x:c r="L1088" s="2" t="str">
        <x:v>Completed</x:v>
      </x:c>
      <x:c r="M1088" s="12" t="n">
        <x:f>H1088*I1088</x:f>
        <x:v>13000</x:v>
      </x:c>
      <x:c r="N1088" s="12" t="n">
        <x:f>IF(L1088="Completed",ROUND(M1088*(1-K1088),2),0)</x:f>
        <x:v>13000</x:v>
      </x:c>
      <x:c r="O1088" s="12" t="n">
        <x:f>IF(L1088="Completed",H1088*J1088,0)</x:f>
        <x:v>7000</x:v>
      </x:c>
      <x:c r="P1088" s="12" t="n">
        <x:f>N1088-O1088</x:f>
        <x:v>6000</x:v>
      </x:c>
    </x:row>
    <x:row r="1089" ht="21" customHeight="1">
      <x:c r="A1089" s="7" t="n">
        <x:v>1084</x:v>
      </x:c>
      <x:c r="B1089" s="2" t="str">
        <x:v>TXN-01084</x:v>
      </x:c>
      <x:c r="C1089" s="8" t="d">
        <x:v>2025-10-27T00:00:00.000Z</x:v>
      </x:c>
      <x:c r="D1089" s="2" t="str">
        <x:v>Lagos</x:v>
      </x:c>
      <x:c r="E1089" s="2" t="str">
        <x:v>Electronics</x:v>
      </x:c>
      <x:c r="F1089" s="2" t="str">
        <x:v>Headphones</x:v>
      </x:c>
      <x:c r="G1089" s="2" t="str">
        <x:v>Online</x:v>
      </x:c>
      <x:c r="H1089" s="7" t="n">
        <x:v>2</x:v>
      </x:c>
      <x:c r="I1089" s="9" t="n">
        <x:v>18000</x:v>
      </x:c>
      <x:c r="J1089" s="9" t="n">
        <x:v>10500</x:v>
      </x:c>
      <x:c r="K1089" s="10" t="n">
        <x:v>0</x:v>
      </x:c>
      <x:c r="L1089" s="2" t="str">
        <x:v>Completed</x:v>
      </x:c>
      <x:c r="M1089" s="12" t="n">
        <x:f>H1089*I1089</x:f>
        <x:v>36000</x:v>
      </x:c>
      <x:c r="N1089" s="12" t="n">
        <x:f>IF(L1089="Completed",ROUND(M1089*(1-K1089),2),0)</x:f>
        <x:v>36000</x:v>
      </x:c>
      <x:c r="O1089" s="12" t="n">
        <x:f>IF(L1089="Completed",H1089*J1089,0)</x:f>
        <x:v>21000</x:v>
      </x:c>
      <x:c r="P1089" s="12" t="n">
        <x:f>N1089-O1089</x:f>
        <x:v>15000</x:v>
      </x:c>
    </x:row>
    <x:row r="1090" ht="21" customHeight="1">
      <x:c r="A1090" s="7" t="n">
        <x:v>1085</x:v>
      </x:c>
      <x:c r="B1090" s="2" t="str">
        <x:v>TXN-01085</x:v>
      </x:c>
      <x:c r="C1090" s="8" t="d">
        <x:v>2025-10-26T00:00:00.000Z</x:v>
      </x:c>
      <x:c r="D1090" s="2" t="str">
        <x:v>Abuja</x:v>
      </x:c>
      <x:c r="E1090" s="2" t="str">
        <x:v>Beauty</x:v>
      </x:c>
      <x:c r="F1090" s="2" t="str">
        <x:v>Body wash</x:v>
      </x:c>
      <x:c r="G1090" s="2" t="str">
        <x:v>Online</x:v>
      </x:c>
      <x:c r="H1090" s="7" t="n">
        <x:v>1</x:v>
      </x:c>
      <x:c r="I1090" s="9" t="n">
        <x:v>4500</x:v>
      </x:c>
      <x:c r="J1090" s="9" t="n">
        <x:v>2300</x:v>
      </x:c>
      <x:c r="K1090" s="10" t="n">
        <x:v>0.05</x:v>
      </x:c>
      <x:c r="L1090" s="2" t="str">
        <x:v>Completed</x:v>
      </x:c>
      <x:c r="M1090" s="12" t="n">
        <x:f>H1090*I1090</x:f>
        <x:v>4500</x:v>
      </x:c>
      <x:c r="N1090" s="12" t="n">
        <x:f>IF(L1090="Completed",ROUND(M1090*(1-K1090),2),0)</x:f>
        <x:v>4275</x:v>
      </x:c>
      <x:c r="O1090" s="12" t="n">
        <x:f>IF(L1090="Completed",H1090*J1090,0)</x:f>
        <x:v>2300</x:v>
      </x:c>
      <x:c r="P1090" s="12" t="n">
        <x:f>N1090-O1090</x:f>
        <x:v>1975</x:v>
      </x:c>
    </x:row>
    <x:row r="1091" ht="21" customHeight="1">
      <x:c r="A1091" s="7" t="n">
        <x:v>1086</x:v>
      </x:c>
      <x:c r="B1091" s="2" t="str">
        <x:v>TXN-01086</x:v>
      </x:c>
      <x:c r="C1091" s="8" t="d">
        <x:v>2025-10-27T00:00:00.000Z</x:v>
      </x:c>
      <x:c r="D1091" s="2" t="str">
        <x:v>Kano</x:v>
      </x:c>
      <x:c r="E1091" s="2" t="str">
        <x:v>Fashion</x:v>
      </x:c>
      <x:c r="F1091" s="2" t="str">
        <x:v>Sneakers</x:v>
      </x:c>
      <x:c r="G1091" s="2" t="str">
        <x:v>Online</x:v>
      </x:c>
      <x:c r="H1091" s="7" t="n">
        <x:v>3</x:v>
      </x:c>
      <x:c r="I1091" s="9" t="n">
        <x:v>28000</x:v>
      </x:c>
      <x:c r="J1091" s="9" t="n">
        <x:v>17500</x:v>
      </x:c>
      <x:c r="K1091" s="10" t="n">
        <x:v>0.05</x:v>
      </x:c>
      <x:c r="L1091" s="2" t="str">
        <x:v>Completed</x:v>
      </x:c>
      <x:c r="M1091" s="12" t="n">
        <x:f>H1091*I1091</x:f>
        <x:v>84000</x:v>
      </x:c>
      <x:c r="N1091" s="12" t="n">
        <x:f>IF(L1091="Completed",ROUND(M1091*(1-K1091),2),0)</x:f>
        <x:v>79800</x:v>
      </x:c>
      <x:c r="O1091" s="12" t="n">
        <x:f>IF(L1091="Completed",H1091*J1091,0)</x:f>
        <x:v>52500</x:v>
      </x:c>
      <x:c r="P1091" s="12" t="n">
        <x:f>N1091-O1091</x:f>
        <x:v>27300</x:v>
      </x:c>
    </x:row>
    <x:row r="1092" ht="21" customHeight="1">
      <x:c r="A1092" s="7" t="n">
        <x:v>1087</x:v>
      </x:c>
      <x:c r="B1092" s="2" t="str">
        <x:v>TXN-01087</x:v>
      </x:c>
      <x:c r="C1092" s="8" t="d">
        <x:v>2025-10-08T00:00:00.000Z</x:v>
      </x:c>
      <x:c r="D1092" s="2" t="str">
        <x:v>Lagos</x:v>
      </x:c>
      <x:c r="E1092" s="2" t="str">
        <x:v>Fashion</x:v>
      </x:c>
      <x:c r="F1092" s="2" t="str">
        <x:v>T-shirt</x:v>
      </x:c>
      <x:c r="G1092" s="2" t="str">
        <x:v>In-store</x:v>
      </x:c>
      <x:c r="H1092" s="7" t="n">
        <x:v>1</x:v>
      </x:c>
      <x:c r="I1092" s="9" t="n">
        <x:v>9000</x:v>
      </x:c>
      <x:c r="J1092" s="9" t="n">
        <x:v>5000</x:v>
      </x:c>
      <x:c r="K1092" s="10" t="n">
        <x:v>0.15</x:v>
      </x:c>
      <x:c r="L1092" s="2" t="str">
        <x:v>Returned</x:v>
      </x:c>
      <x:c r="M1092" s="12" t="n">
        <x:f>H1092*I1092</x:f>
        <x:v>9000</x:v>
      </x:c>
      <x:c r="N1092" s="12" t="n">
        <x:f>IF(L1092="Completed",ROUND(M1092*(1-K1092),2),0)</x:f>
        <x:v>0</x:v>
      </x:c>
      <x:c r="O1092" s="12" t="n">
        <x:f>IF(L1092="Completed",H1092*J1092,0)</x:f>
        <x:v>0</x:v>
      </x:c>
      <x:c r="P1092" s="12" t="n">
        <x:f>N1092-O1092</x:f>
        <x:v>0</x:v>
      </x:c>
    </x:row>
    <x:row r="1093" ht="21" customHeight="1">
      <x:c r="A1093" s="7" t="n">
        <x:v>1088</x:v>
      </x:c>
      <x:c r="B1093" s="2" t="str">
        <x:v>TXN-01088</x:v>
      </x:c>
      <x:c r="C1093" s="8" t="d">
        <x:v>2025-10-12T00:00:00.000Z</x:v>
      </x:c>
      <x:c r="D1093" s="2" t="str">
        <x:v>Lagos</x:v>
      </x:c>
      <x:c r="E1093" s="2" t="str">
        <x:v>Home</x:v>
      </x:c>
      <x:c r="F1093" s="2" t="str">
        <x:v>Desk lamp</x:v>
      </x:c>
      <x:c r="G1093" s="2" t="str">
        <x:v>Online</x:v>
      </x:c>
      <x:c r="H1093" s="7" t="n">
        <x:v>4</x:v>
      </x:c>
      <x:c r="I1093" s="9" t="n">
        <x:v>12000</x:v>
      </x:c>
      <x:c r="J1093" s="9" t="n">
        <x:v>7200</x:v>
      </x:c>
      <x:c r="K1093" s="10" t="n">
        <x:v>0.05</x:v>
      </x:c>
      <x:c r="L1093" s="2" t="str">
        <x:v>Completed</x:v>
      </x:c>
      <x:c r="M1093" s="12" t="n">
        <x:f>H1093*I1093</x:f>
        <x:v>48000</x:v>
      </x:c>
      <x:c r="N1093" s="12" t="n">
        <x:f>IF(L1093="Completed",ROUND(M1093*(1-K1093),2),0)</x:f>
        <x:v>45600</x:v>
      </x:c>
      <x:c r="O1093" s="12" t="n">
        <x:f>IF(L1093="Completed",H1093*J1093,0)</x:f>
        <x:v>28800</x:v>
      </x:c>
      <x:c r="P1093" s="12" t="n">
        <x:f>N1093-O1093</x:f>
        <x:v>16800</x:v>
      </x:c>
    </x:row>
    <x:row r="1094" ht="21" customHeight="1">
      <x:c r="A1094" s="7" t="n">
        <x:v>1089</x:v>
      </x:c>
      <x:c r="B1094" s="2" t="str">
        <x:v>TXN-01089</x:v>
      </x:c>
      <x:c r="C1094" s="8" t="d">
        <x:v>2025-10-05T00:00:00.000Z</x:v>
      </x:c>
      <x:c r="D1094" s="2" t="str">
        <x:v>Lagos</x:v>
      </x:c>
      <x:c r="E1094" s="2" t="str">
        <x:v>Beauty</x:v>
      </x:c>
      <x:c r="F1094" s="2" t="str">
        <x:v>Moisturizer</x:v>
      </x:c>
      <x:c r="G1094" s="2" t="str">
        <x:v>In-store</x:v>
      </x:c>
      <x:c r="H1094" s="7" t="n">
        <x:v>1</x:v>
      </x:c>
      <x:c r="I1094" s="9" t="n">
        <x:v>6500</x:v>
      </x:c>
      <x:c r="J1094" s="9" t="n">
        <x:v>3500</x:v>
      </x:c>
      <x:c r="K1094" s="10" t="n">
        <x:v>0</x:v>
      </x:c>
      <x:c r="L1094" s="2" t="str">
        <x:v>Completed</x:v>
      </x:c>
      <x:c r="M1094" s="12" t="n">
        <x:f>H1094*I1094</x:f>
        <x:v>6500</x:v>
      </x:c>
      <x:c r="N1094" s="12" t="n">
        <x:f>IF(L1094="Completed",ROUND(M1094*(1-K1094),2),0)</x:f>
        <x:v>6500</x:v>
      </x:c>
      <x:c r="O1094" s="12" t="n">
        <x:f>IF(L1094="Completed",H1094*J1094,0)</x:f>
        <x:v>3500</x:v>
      </x:c>
      <x:c r="P1094" s="12" t="n">
        <x:f>N1094-O1094</x:f>
        <x:v>3000</x:v>
      </x:c>
    </x:row>
    <x:row r="1095" ht="21" customHeight="1">
      <x:c r="A1095" s="7" t="n">
        <x:v>1090</x:v>
      </x:c>
      <x:c r="B1095" s="2" t="str">
        <x:v>TXN-01090</x:v>
      </x:c>
      <x:c r="C1095" s="8" t="d">
        <x:v>2025-10-11T00:00:00.000Z</x:v>
      </x:c>
      <x:c r="D1095" s="2" t="str">
        <x:v>Lagos</x:v>
      </x:c>
      <x:c r="E1095" s="2" t="str">
        <x:v>Beauty</x:v>
      </x:c>
      <x:c r="F1095" s="2" t="str">
        <x:v>Moisturizer</x:v>
      </x:c>
      <x:c r="G1095" s="2" t="str">
        <x:v>Online</x:v>
      </x:c>
      <x:c r="H1095" s="7" t="n">
        <x:v>3</x:v>
      </x:c>
      <x:c r="I1095" s="9" t="n">
        <x:v>6500</x:v>
      </x:c>
      <x:c r="J1095" s="9" t="n">
        <x:v>3500</x:v>
      </x:c>
      <x:c r="K1095" s="10" t="n">
        <x:v>0</x:v>
      </x:c>
      <x:c r="L1095" s="2" t="str">
        <x:v>Completed</x:v>
      </x:c>
      <x:c r="M1095" s="12" t="n">
        <x:f>H1095*I1095</x:f>
        <x:v>19500</x:v>
      </x:c>
      <x:c r="N1095" s="12" t="n">
        <x:f>IF(L1095="Completed",ROUND(M1095*(1-K1095),2),0)</x:f>
        <x:v>19500</x:v>
      </x:c>
      <x:c r="O1095" s="12" t="n">
        <x:f>IF(L1095="Completed",H1095*J1095,0)</x:f>
        <x:v>10500</x:v>
      </x:c>
      <x:c r="P1095" s="12" t="n">
        <x:f>N1095-O1095</x:f>
        <x:v>9000</x:v>
      </x:c>
    </x:row>
    <x:row r="1096" ht="21" customHeight="1">
      <x:c r="A1096" s="7" t="n">
        <x:v>1091</x:v>
      </x:c>
      <x:c r="B1096" s="2" t="str">
        <x:v>TXN-01091</x:v>
      </x:c>
      <x:c r="C1096" s="8" t="d">
        <x:v>2025-10-03T00:00:00.000Z</x:v>
      </x:c>
      <x:c r="D1096" s="2" t="str">
        <x:v>Lagos</x:v>
      </x:c>
      <x:c r="E1096" s="2" t="str">
        <x:v>Electronics</x:v>
      </x:c>
      <x:c r="F1096" s="2" t="str">
        <x:v>Power bank</x:v>
      </x:c>
      <x:c r="G1096" s="2" t="str">
        <x:v>Online</x:v>
      </x:c>
      <x:c r="H1096" s="7" t="n">
        <x:v>2</x:v>
      </x:c>
      <x:c r="I1096" s="9" t="n">
        <x:v>15000</x:v>
      </x:c>
      <x:c r="J1096" s="9" t="n">
        <x:v>9500</x:v>
      </x:c>
      <x:c r="K1096" s="10" t="n">
        <x:v>0.1</x:v>
      </x:c>
      <x:c r="L1096" s="2" t="str">
        <x:v>Returned</x:v>
      </x:c>
      <x:c r="M1096" s="12" t="n">
        <x:f>H1096*I1096</x:f>
        <x:v>30000</x:v>
      </x:c>
      <x:c r="N1096" s="12" t="n">
        <x:f>IF(L1096="Completed",ROUND(M1096*(1-K1096),2),0)</x:f>
        <x:v>0</x:v>
      </x:c>
      <x:c r="O1096" s="12" t="n">
        <x:f>IF(L1096="Completed",H1096*J1096,0)</x:f>
        <x:v>0</x:v>
      </x:c>
      <x:c r="P1096" s="12" t="n">
        <x:f>N1096-O1096</x:f>
        <x:v>0</x:v>
      </x:c>
    </x:row>
    <x:row r="1097" ht="21" customHeight="1">
      <x:c r="A1097" s="7" t="n">
        <x:v>1092</x:v>
      </x:c>
      <x:c r="B1097" s="2" t="str">
        <x:v>TXN-01092</x:v>
      </x:c>
      <x:c r="C1097" s="8" t="d">
        <x:v>2025-10-31T00:00:00.000Z</x:v>
      </x:c>
      <x:c r="D1097" s="2" t="str">
        <x:v>Kano</x:v>
      </x:c>
      <x:c r="E1097" s="2" t="str">
        <x:v>Fashion</x:v>
      </x:c>
      <x:c r="F1097" s="2" t="str">
        <x:v>Handbag</x:v>
      </x:c>
      <x:c r="G1097" s="2" t="str">
        <x:v>In-store</x:v>
      </x:c>
      <x:c r="H1097" s="7" t="n">
        <x:v>1</x:v>
      </x:c>
      <x:c r="I1097" s="9" t="n">
        <x:v>22000</x:v>
      </x:c>
      <x:c r="J1097" s="9" t="n">
        <x:v>13500</x:v>
      </x:c>
      <x:c r="K1097" s="10" t="n">
        <x:v>0.1</x:v>
      </x:c>
      <x:c r="L1097" s="2" t="str">
        <x:v>Completed</x:v>
      </x:c>
      <x:c r="M1097" s="12" t="n">
        <x:f>H1097*I1097</x:f>
        <x:v>22000</x:v>
      </x:c>
      <x:c r="N1097" s="12" t="n">
        <x:f>IF(L1097="Completed",ROUND(M1097*(1-K1097),2),0)</x:f>
        <x:v>19800</x:v>
      </x:c>
      <x:c r="O1097" s="12" t="n">
        <x:f>IF(L1097="Completed",H1097*J1097,0)</x:f>
        <x:v>13500</x:v>
      </x:c>
      <x:c r="P1097" s="12" t="n">
        <x:f>N1097-O1097</x:f>
        <x:v>6300</x:v>
      </x:c>
    </x:row>
    <x:row r="1098" ht="21" customHeight="1">
      <x:c r="A1098" s="7" t="n">
        <x:v>1093</x:v>
      </x:c>
      <x:c r="B1098" s="2" t="str">
        <x:v>TXN-01093</x:v>
      </x:c>
      <x:c r="C1098" s="8" t="d">
        <x:v>2025-10-31T00:00:00.000Z</x:v>
      </x:c>
      <x:c r="D1098" s="2" t="str">
        <x:v>Lagos</x:v>
      </x:c>
      <x:c r="E1098" s="2" t="str">
        <x:v>Electronics</x:v>
      </x:c>
      <x:c r="F1098" s="2" t="str">
        <x:v>Headphones</x:v>
      </x:c>
      <x:c r="G1098" s="2" t="str">
        <x:v>In-store</x:v>
      </x:c>
      <x:c r="H1098" s="7" t="n">
        <x:v>1</x:v>
      </x:c>
      <x:c r="I1098" s="9" t="n">
        <x:v>18000</x:v>
      </x:c>
      <x:c r="J1098" s="9" t="n">
        <x:v>10500</x:v>
      </x:c>
      <x:c r="K1098" s="10" t="n">
        <x:v>0</x:v>
      </x:c>
      <x:c r="L1098" s="2" t="str">
        <x:v>Completed</x:v>
      </x:c>
      <x:c r="M1098" s="12" t="n">
        <x:f>H1098*I1098</x:f>
        <x:v>18000</x:v>
      </x:c>
      <x:c r="N1098" s="12" t="n">
        <x:f>IF(L1098="Completed",ROUND(M1098*(1-K1098),2),0)</x:f>
        <x:v>18000</x:v>
      </x:c>
      <x:c r="O1098" s="12" t="n">
        <x:f>IF(L1098="Completed",H1098*J1098,0)</x:f>
        <x:v>10500</x:v>
      </x:c>
      <x:c r="P1098" s="12" t="n">
        <x:f>N1098-O1098</x:f>
        <x:v>7500</x:v>
      </x:c>
    </x:row>
    <x:row r="1099" ht="21" customHeight="1">
      <x:c r="A1099" s="7" t="n">
        <x:v>1094</x:v>
      </x:c>
      <x:c r="B1099" s="2" t="str">
        <x:v>TXN-01094</x:v>
      </x:c>
      <x:c r="C1099" s="8" t="d">
        <x:v>2025-10-23T00:00:00.000Z</x:v>
      </x:c>
      <x:c r="D1099" s="2" t="str">
        <x:v>Port Harcourt</x:v>
      </x:c>
      <x:c r="E1099" s="2" t="str">
        <x:v>Electronics</x:v>
      </x:c>
      <x:c r="F1099" s="2" t="str">
        <x:v>Bluetooth speaker</x:v>
      </x:c>
      <x:c r="G1099" s="2" t="str">
        <x:v>Online</x:v>
      </x:c>
      <x:c r="H1099" s="7" t="n">
        <x:v>1</x:v>
      </x:c>
      <x:c r="I1099" s="9" t="n">
        <x:v>26000</x:v>
      </x:c>
      <x:c r="J1099" s="9" t="n">
        <x:v>17000</x:v>
      </x:c>
      <x:c r="K1099" s="10" t="n">
        <x:v>0.1</x:v>
      </x:c>
      <x:c r="L1099" s="2" t="str">
        <x:v>Completed</x:v>
      </x:c>
      <x:c r="M1099" s="12" t="n">
        <x:f>H1099*I1099</x:f>
        <x:v>26000</x:v>
      </x:c>
      <x:c r="N1099" s="12" t="n">
        <x:f>IF(L1099="Completed",ROUND(M1099*(1-K1099),2),0)</x:f>
        <x:v>23400</x:v>
      </x:c>
      <x:c r="O1099" s="12" t="n">
        <x:f>IF(L1099="Completed",H1099*J1099,0)</x:f>
        <x:v>17000</x:v>
      </x:c>
      <x:c r="P1099" s="12" t="n">
        <x:f>N1099-O1099</x:f>
        <x:v>6400</x:v>
      </x:c>
    </x:row>
    <x:row r="1100" ht="21" customHeight="1">
      <x:c r="A1100" s="7" t="n">
        <x:v>1095</x:v>
      </x:c>
      <x:c r="B1100" s="2" t="str">
        <x:v>TXN-01095</x:v>
      </x:c>
      <x:c r="C1100" s="8" t="d">
        <x:v>2025-10-08T00:00:00.000Z</x:v>
      </x:c>
      <x:c r="D1100" s="2" t="str">
        <x:v>Kano</x:v>
      </x:c>
      <x:c r="E1100" s="2" t="str">
        <x:v>Beauty</x:v>
      </x:c>
      <x:c r="F1100" s="2" t="str">
        <x:v>Moisturizer</x:v>
      </x:c>
      <x:c r="G1100" s="2" t="str">
        <x:v>Online</x:v>
      </x:c>
      <x:c r="H1100" s="7" t="n">
        <x:v>1</x:v>
      </x:c>
      <x:c r="I1100" s="9" t="n">
        <x:v>6500</x:v>
      </x:c>
      <x:c r="J1100" s="9" t="n">
        <x:v>3500</x:v>
      </x:c>
      <x:c r="K1100" s="10" t="n">
        <x:v>0</x:v>
      </x:c>
      <x:c r="L1100" s="2" t="str">
        <x:v>Completed</x:v>
      </x:c>
      <x:c r="M1100" s="12" t="n">
        <x:f>H1100*I1100</x:f>
        <x:v>6500</x:v>
      </x:c>
      <x:c r="N1100" s="12" t="n">
        <x:f>IF(L1100="Completed",ROUND(M1100*(1-K1100),2),0)</x:f>
        <x:v>6500</x:v>
      </x:c>
      <x:c r="O1100" s="12" t="n">
        <x:f>IF(L1100="Completed",H1100*J1100,0)</x:f>
        <x:v>3500</x:v>
      </x:c>
      <x:c r="P1100" s="12" t="n">
        <x:f>N1100-O1100</x:f>
        <x:v>3000</x:v>
      </x:c>
    </x:row>
    <x:row r="1101" ht="21" customHeight="1">
      <x:c r="A1101" s="7" t="n">
        <x:v>1096</x:v>
      </x:c>
      <x:c r="B1101" s="2" t="str">
        <x:v>TXN-01096</x:v>
      </x:c>
      <x:c r="C1101" s="8" t="d">
        <x:v>2025-10-03T00:00:00.000Z</x:v>
      </x:c>
      <x:c r="D1101" s="2" t="str">
        <x:v>Lagos</x:v>
      </x:c>
      <x:c r="E1101" s="2" t="str">
        <x:v>Home</x:v>
      </x:c>
      <x:c r="F1101" s="2" t="str">
        <x:v>Cookware set</x:v>
      </x:c>
      <x:c r="G1101" s="2" t="str">
        <x:v>In-store</x:v>
      </x:c>
      <x:c r="H1101" s="7" t="n">
        <x:v>1</x:v>
      </x:c>
      <x:c r="I1101" s="9" t="n">
        <x:v>35000</x:v>
      </x:c>
      <x:c r="J1101" s="9" t="n">
        <x:v>22500</x:v>
      </x:c>
      <x:c r="K1101" s="10" t="n">
        <x:v>0</x:v>
      </x:c>
      <x:c r="L1101" s="2" t="str">
        <x:v>Completed</x:v>
      </x:c>
      <x:c r="M1101" s="12" t="n">
        <x:f>H1101*I1101</x:f>
        <x:v>35000</x:v>
      </x:c>
      <x:c r="N1101" s="12" t="n">
        <x:f>IF(L1101="Completed",ROUND(M1101*(1-K1101),2),0)</x:f>
        <x:v>35000</x:v>
      </x:c>
      <x:c r="O1101" s="12" t="n">
        <x:f>IF(L1101="Completed",H1101*J1101,0)</x:f>
        <x:v>22500</x:v>
      </x:c>
      <x:c r="P1101" s="12" t="n">
        <x:f>N1101-O1101</x:f>
        <x:v>12500</x:v>
      </x:c>
    </x:row>
    <x:row r="1102" ht="21" customHeight="1">
      <x:c r="A1102" s="7" t="n">
        <x:v>1097</x:v>
      </x:c>
      <x:c r="B1102" s="2" t="str">
        <x:v>TXN-01097</x:v>
      </x:c>
      <x:c r="C1102" s="8" t="d">
        <x:v>2025-10-18T00:00:00.000Z</x:v>
      </x:c>
      <x:c r="D1102" s="2" t="str">
        <x:v>Port Harcourt</x:v>
      </x:c>
      <x:c r="E1102" s="2" t="str">
        <x:v>Electronics</x:v>
      </x:c>
      <x:c r="F1102" s="2" t="str">
        <x:v>Headphones</x:v>
      </x:c>
      <x:c r="G1102" s="2" t="str">
        <x:v>Online</x:v>
      </x:c>
      <x:c r="H1102" s="7" t="n">
        <x:v>2</x:v>
      </x:c>
      <x:c r="I1102" s="9" t="n">
        <x:v>18000</x:v>
      </x:c>
      <x:c r="J1102" s="9" t="n">
        <x:v>10500</x:v>
      </x:c>
      <x:c r="K1102" s="10" t="n">
        <x:v>0.1</x:v>
      </x:c>
      <x:c r="L1102" s="2" t="str">
        <x:v>Completed</x:v>
      </x:c>
      <x:c r="M1102" s="12" t="n">
        <x:f>H1102*I1102</x:f>
        <x:v>36000</x:v>
      </x:c>
      <x:c r="N1102" s="12" t="n">
        <x:f>IF(L1102="Completed",ROUND(M1102*(1-K1102),2),0)</x:f>
        <x:v>32400</x:v>
      </x:c>
      <x:c r="O1102" s="12" t="n">
        <x:f>IF(L1102="Completed",H1102*J1102,0)</x:f>
        <x:v>21000</x:v>
      </x:c>
      <x:c r="P1102" s="12" t="n">
        <x:f>N1102-O1102</x:f>
        <x:v>11400</x:v>
      </x:c>
    </x:row>
    <x:row r="1103" ht="21" customHeight="1">
      <x:c r="A1103" s="7" t="n">
        <x:v>1098</x:v>
      </x:c>
      <x:c r="B1103" s="2" t="str">
        <x:v>TXN-01098</x:v>
      </x:c>
      <x:c r="C1103" s="8" t="d">
        <x:v>2025-10-10T00:00:00.000Z</x:v>
      </x:c>
      <x:c r="D1103" s="2" t="str">
        <x:v>Abuja</x:v>
      </x:c>
      <x:c r="E1103" s="2" t="str">
        <x:v>Electronics</x:v>
      </x:c>
      <x:c r="F1103" s="2" t="str">
        <x:v>Headphones</x:v>
      </x:c>
      <x:c r="G1103" s="2" t="str">
        <x:v>Online</x:v>
      </x:c>
      <x:c r="H1103" s="7" t="n">
        <x:v>1</x:v>
      </x:c>
      <x:c r="I1103" s="9" t="n">
        <x:v>18000</x:v>
      </x:c>
      <x:c r="J1103" s="9" t="n">
        <x:v>10500</x:v>
      </x:c>
      <x:c r="K1103" s="10" t="n">
        <x:v>0</x:v>
      </x:c>
      <x:c r="L1103" s="2" t="str">
        <x:v>Completed</x:v>
      </x:c>
      <x:c r="M1103" s="12" t="n">
        <x:f>H1103*I1103</x:f>
        <x:v>18000</x:v>
      </x:c>
      <x:c r="N1103" s="12" t="n">
        <x:f>IF(L1103="Completed",ROUND(M1103*(1-K1103),2),0)</x:f>
        <x:v>18000</x:v>
      </x:c>
      <x:c r="O1103" s="12" t="n">
        <x:f>IF(L1103="Completed",H1103*J1103,0)</x:f>
        <x:v>10500</x:v>
      </x:c>
      <x:c r="P1103" s="12" t="n">
        <x:f>N1103-O1103</x:f>
        <x:v>7500</x:v>
      </x:c>
    </x:row>
    <x:row r="1104" ht="21" customHeight="1">
      <x:c r="A1104" s="7" t="n">
        <x:v>1099</x:v>
      </x:c>
      <x:c r="B1104" s="2" t="str">
        <x:v>TXN-01099</x:v>
      </x:c>
      <x:c r="C1104" s="8" t="d">
        <x:v>2025-10-22T00:00:00.000Z</x:v>
      </x:c>
      <x:c r="D1104" s="2" t="str">
        <x:v>Lagos</x:v>
      </x:c>
      <x:c r="E1104" s="2" t="str">
        <x:v>Electronics</x:v>
      </x:c>
      <x:c r="F1104" s="2" t="str">
        <x:v>Bluetooth speaker</x:v>
      </x:c>
      <x:c r="G1104" s="2" t="str">
        <x:v>Online</x:v>
      </x:c>
      <x:c r="H1104" s="7" t="n">
        <x:v>1</x:v>
      </x:c>
      <x:c r="I1104" s="9" t="n">
        <x:v>26000</x:v>
      </x:c>
      <x:c r="J1104" s="9" t="n">
        <x:v>17000</x:v>
      </x:c>
      <x:c r="K1104" s="10" t="n">
        <x:v>0</x:v>
      </x:c>
      <x:c r="L1104" s="2" t="str">
        <x:v>Completed</x:v>
      </x:c>
      <x:c r="M1104" s="12" t="n">
        <x:f>H1104*I1104</x:f>
        <x:v>26000</x:v>
      </x:c>
      <x:c r="N1104" s="12" t="n">
        <x:f>IF(L1104="Completed",ROUND(M1104*(1-K1104),2),0)</x:f>
        <x:v>26000</x:v>
      </x:c>
      <x:c r="O1104" s="12" t="n">
        <x:f>IF(L1104="Completed",H1104*J1104,0)</x:f>
        <x:v>17000</x:v>
      </x:c>
      <x:c r="P1104" s="12" t="n">
        <x:f>N1104-O1104</x:f>
        <x:v>9000</x:v>
      </x:c>
    </x:row>
    <x:row r="1105" ht="21" customHeight="1">
      <x:c r="A1105" s="7" t="n">
        <x:v>1100</x:v>
      </x:c>
      <x:c r="B1105" s="2" t="str">
        <x:v>TXN-01100</x:v>
      </x:c>
      <x:c r="C1105" s="8" t="d">
        <x:v>2025-10-08T00:00:00.000Z</x:v>
      </x:c>
      <x:c r="D1105" s="2" t="str">
        <x:v>Port Harcourt</x:v>
      </x:c>
      <x:c r="E1105" s="2" t="str">
        <x:v>Fashion</x:v>
      </x:c>
      <x:c r="F1105" s="2" t="str">
        <x:v>Handbag</x:v>
      </x:c>
      <x:c r="G1105" s="2" t="str">
        <x:v>In-store</x:v>
      </x:c>
      <x:c r="H1105" s="7" t="n">
        <x:v>2</x:v>
      </x:c>
      <x:c r="I1105" s="9" t="n">
        <x:v>22000</x:v>
      </x:c>
      <x:c r="J1105" s="9" t="n">
        <x:v>13500</x:v>
      </x:c>
      <x:c r="K1105" s="10" t="n">
        <x:v>0</x:v>
      </x:c>
      <x:c r="L1105" s="2" t="str">
        <x:v>Completed</x:v>
      </x:c>
      <x:c r="M1105" s="12" t="n">
        <x:f>H1105*I1105</x:f>
        <x:v>44000</x:v>
      </x:c>
      <x:c r="N1105" s="12" t="n">
        <x:f>IF(L1105="Completed",ROUND(M1105*(1-K1105),2),0)</x:f>
        <x:v>44000</x:v>
      </x:c>
      <x:c r="O1105" s="12" t="n">
        <x:f>IF(L1105="Completed",H1105*J1105,0)</x:f>
        <x:v>27000</x:v>
      </x:c>
      <x:c r="P1105" s="12" t="n">
        <x:f>N1105-O1105</x:f>
        <x:v>17000</x:v>
      </x:c>
    </x:row>
    <x:row r="1106" ht="21" customHeight="1">
      <x:c r="A1106" s="7" t="n">
        <x:v>1101</x:v>
      </x:c>
      <x:c r="B1106" s="2" t="str">
        <x:v>TXN-01101</x:v>
      </x:c>
      <x:c r="C1106" s="8" t="d">
        <x:v>2025-10-21T00:00:00.000Z</x:v>
      </x:c>
      <x:c r="D1106" s="2" t="str">
        <x:v>Abuja</x:v>
      </x:c>
      <x:c r="E1106" s="2" t="str">
        <x:v>Electronics</x:v>
      </x:c>
      <x:c r="F1106" s="2" t="str">
        <x:v>Bluetooth speaker</x:v>
      </x:c>
      <x:c r="G1106" s="2" t="str">
        <x:v>Online</x:v>
      </x:c>
      <x:c r="H1106" s="7" t="n">
        <x:v>1</x:v>
      </x:c>
      <x:c r="I1106" s="9" t="n">
        <x:v>26000</x:v>
      </x:c>
      <x:c r="J1106" s="9" t="n">
        <x:v>17000</x:v>
      </x:c>
      <x:c r="K1106" s="10" t="n">
        <x:v>0</x:v>
      </x:c>
      <x:c r="L1106" s="2" t="str">
        <x:v>Completed</x:v>
      </x:c>
      <x:c r="M1106" s="12" t="n">
        <x:f>H1106*I1106</x:f>
        <x:v>26000</x:v>
      </x:c>
      <x:c r="N1106" s="12" t="n">
        <x:f>IF(L1106="Completed",ROUND(M1106*(1-K1106),2),0)</x:f>
        <x:v>26000</x:v>
      </x:c>
      <x:c r="O1106" s="12" t="n">
        <x:f>IF(L1106="Completed",H1106*J1106,0)</x:f>
        <x:v>17000</x:v>
      </x:c>
      <x:c r="P1106" s="12" t="n">
        <x:f>N1106-O1106</x:f>
        <x:v>9000</x:v>
      </x:c>
    </x:row>
    <x:row r="1107" ht="21" customHeight="1">
      <x:c r="A1107" s="7" t="n">
        <x:v>1102</x:v>
      </x:c>
      <x:c r="B1107" s="2" t="str">
        <x:v>TXN-01102</x:v>
      </x:c>
      <x:c r="C1107" s="8" t="d">
        <x:v>2025-10-15T00:00:00.000Z</x:v>
      </x:c>
      <x:c r="D1107" s="2" t="str">
        <x:v>Abuja</x:v>
      </x:c>
      <x:c r="E1107" s="2" t="str">
        <x:v>Home</x:v>
      </x:c>
      <x:c r="F1107" s="2" t="str">
        <x:v>Desk lamp</x:v>
      </x:c>
      <x:c r="G1107" s="2" t="str">
        <x:v>Online</x:v>
      </x:c>
      <x:c r="H1107" s="7" t="n">
        <x:v>3</x:v>
      </x:c>
      <x:c r="I1107" s="9" t="n">
        <x:v>12000</x:v>
      </x:c>
      <x:c r="J1107" s="9" t="n">
        <x:v>7200</x:v>
      </x:c>
      <x:c r="K1107" s="10" t="n">
        <x:v>0</x:v>
      </x:c>
      <x:c r="L1107" s="2" t="str">
        <x:v>Returned</x:v>
      </x:c>
      <x:c r="M1107" s="12" t="n">
        <x:f>H1107*I1107</x:f>
        <x:v>36000</x:v>
      </x:c>
      <x:c r="N1107" s="12" t="n">
        <x:f>IF(L1107="Completed",ROUND(M1107*(1-K1107),2),0)</x:f>
        <x:v>0</x:v>
      </x:c>
      <x:c r="O1107" s="12" t="n">
        <x:f>IF(L1107="Completed",H1107*J1107,0)</x:f>
        <x:v>0</x:v>
      </x:c>
      <x:c r="P1107" s="12" t="n">
        <x:f>N1107-O1107</x:f>
        <x:v>0</x:v>
      </x:c>
    </x:row>
    <x:row r="1108" ht="21" customHeight="1">
      <x:c r="A1108" s="7" t="n">
        <x:v>1103</x:v>
      </x:c>
      <x:c r="B1108" s="2" t="str">
        <x:v>TXN-01103</x:v>
      </x:c>
      <x:c r="C1108" s="8" t="d">
        <x:v>2025-10-01T00:00:00.000Z</x:v>
      </x:c>
      <x:c r="D1108" s="2" t="str">
        <x:v>Lagos</x:v>
      </x:c>
      <x:c r="E1108" s="2" t="str">
        <x:v>Beauty</x:v>
      </x:c>
      <x:c r="F1108" s="2" t="str">
        <x:v>Body wash</x:v>
      </x:c>
      <x:c r="G1108" s="2" t="str">
        <x:v>In-store</x:v>
      </x:c>
      <x:c r="H1108" s="7" t="n">
        <x:v>1</x:v>
      </x:c>
      <x:c r="I1108" s="9" t="n">
        <x:v>4500</x:v>
      </x:c>
      <x:c r="J1108" s="9" t="n">
        <x:v>2300</x:v>
      </x:c>
      <x:c r="K1108" s="10" t="n">
        <x:v>0.05</x:v>
      </x:c>
      <x:c r="L1108" s="2" t="str">
        <x:v>Completed</x:v>
      </x:c>
      <x:c r="M1108" s="12" t="n">
        <x:f>H1108*I1108</x:f>
        <x:v>4500</x:v>
      </x:c>
      <x:c r="N1108" s="12" t="n">
        <x:f>IF(L1108="Completed",ROUND(M1108*(1-K1108),2),0)</x:f>
        <x:v>4275</x:v>
      </x:c>
      <x:c r="O1108" s="12" t="n">
        <x:f>IF(L1108="Completed",H1108*J1108,0)</x:f>
        <x:v>2300</x:v>
      </x:c>
      <x:c r="P1108" s="12" t="n">
        <x:f>N1108-O1108</x:f>
        <x:v>1975</x:v>
      </x:c>
    </x:row>
    <x:row r="1109" ht="21" customHeight="1">
      <x:c r="A1109" s="7" t="n">
        <x:v>1104</x:v>
      </x:c>
      <x:c r="B1109" s="2" t="str">
        <x:v>TXN-01104</x:v>
      </x:c>
      <x:c r="C1109" s="8" t="d">
        <x:v>2025-10-06T00:00:00.000Z</x:v>
      </x:c>
      <x:c r="D1109" s="2" t="str">
        <x:v>Lagos</x:v>
      </x:c>
      <x:c r="E1109" s="2" t="str">
        <x:v>Home</x:v>
      </x:c>
      <x:c r="F1109" s="2" t="str">
        <x:v>Desk lamp</x:v>
      </x:c>
      <x:c r="G1109" s="2" t="str">
        <x:v>Online</x:v>
      </x:c>
      <x:c r="H1109" s="7" t="n">
        <x:v>2</x:v>
      </x:c>
      <x:c r="I1109" s="9" t="n">
        <x:v>12000</x:v>
      </x:c>
      <x:c r="J1109" s="9" t="n">
        <x:v>7200</x:v>
      </x:c>
      <x:c r="K1109" s="10" t="n">
        <x:v>0.15</x:v>
      </x:c>
      <x:c r="L1109" s="2" t="str">
        <x:v>Completed</x:v>
      </x:c>
      <x:c r="M1109" s="12" t="n">
        <x:f>H1109*I1109</x:f>
        <x:v>24000</x:v>
      </x:c>
      <x:c r="N1109" s="12" t="n">
        <x:f>IF(L1109="Completed",ROUND(M1109*(1-K1109),2),0)</x:f>
        <x:v>20400</x:v>
      </x:c>
      <x:c r="O1109" s="12" t="n">
        <x:f>IF(L1109="Completed",H1109*J1109,0)</x:f>
        <x:v>14400</x:v>
      </x:c>
      <x:c r="P1109" s="12" t="n">
        <x:f>N1109-O1109</x:f>
        <x:v>6000</x:v>
      </x:c>
    </x:row>
    <x:row r="1110" ht="21" customHeight="1">
      <x:c r="A1110" s="7" t="n">
        <x:v>1105</x:v>
      </x:c>
      <x:c r="B1110" s="2" t="str">
        <x:v>TXN-01105</x:v>
      </x:c>
      <x:c r="C1110" s="8" t="d">
        <x:v>2025-10-31T00:00:00.000Z</x:v>
      </x:c>
      <x:c r="D1110" s="2" t="str">
        <x:v>Abuja</x:v>
      </x:c>
      <x:c r="E1110" s="2" t="str">
        <x:v>Home</x:v>
      </x:c>
      <x:c r="F1110" s="2" t="str">
        <x:v>Cookware set</x:v>
      </x:c>
      <x:c r="G1110" s="2" t="str">
        <x:v>Online</x:v>
      </x:c>
      <x:c r="H1110" s="7" t="n">
        <x:v>1</x:v>
      </x:c>
      <x:c r="I1110" s="9" t="n">
        <x:v>35000</x:v>
      </x:c>
      <x:c r="J1110" s="9" t="n">
        <x:v>22500</x:v>
      </x:c>
      <x:c r="K1110" s="10" t="n">
        <x:v>0</x:v>
      </x:c>
      <x:c r="L1110" s="2" t="str">
        <x:v>Completed</x:v>
      </x:c>
      <x:c r="M1110" s="12" t="n">
        <x:f>H1110*I1110</x:f>
        <x:v>35000</x:v>
      </x:c>
      <x:c r="N1110" s="12" t="n">
        <x:f>IF(L1110="Completed",ROUND(M1110*(1-K1110),2),0)</x:f>
        <x:v>35000</x:v>
      </x:c>
      <x:c r="O1110" s="12" t="n">
        <x:f>IF(L1110="Completed",H1110*J1110,0)</x:f>
        <x:v>22500</x:v>
      </x:c>
      <x:c r="P1110" s="12" t="n">
        <x:f>N1110-O1110</x:f>
        <x:v>12500</x:v>
      </x:c>
    </x:row>
    <x:row r="1111" ht="21" customHeight="1">
      <x:c r="A1111" s="7" t="n">
        <x:v>1106</x:v>
      </x:c>
      <x:c r="B1111" s="2" t="str">
        <x:v>TXN-01106</x:v>
      </x:c>
      <x:c r="C1111" s="8" t="d">
        <x:v>2025-10-16T00:00:00.000Z</x:v>
      </x:c>
      <x:c r="D1111" s="2" t="str">
        <x:v>Abuja</x:v>
      </x:c>
      <x:c r="E1111" s="2" t="str">
        <x:v>Beauty</x:v>
      </x:c>
      <x:c r="F1111" s="2" t="str">
        <x:v>Perfume</x:v>
      </x:c>
      <x:c r="G1111" s="2" t="str">
        <x:v>In-store</x:v>
      </x:c>
      <x:c r="H1111" s="7" t="n">
        <x:v>1</x:v>
      </x:c>
      <x:c r="I1111" s="9" t="n">
        <x:v>17000</x:v>
      </x:c>
      <x:c r="J1111" s="9" t="n">
        <x:v>9000</x:v>
      </x:c>
      <x:c r="K1111" s="10" t="n">
        <x:v>0.05</x:v>
      </x:c>
      <x:c r="L1111" s="2" t="str">
        <x:v>Completed</x:v>
      </x:c>
      <x:c r="M1111" s="12" t="n">
        <x:f>H1111*I1111</x:f>
        <x:v>17000</x:v>
      </x:c>
      <x:c r="N1111" s="12" t="n">
        <x:f>IF(L1111="Completed",ROUND(M1111*(1-K1111),2),0)</x:f>
        <x:v>16150</x:v>
      </x:c>
      <x:c r="O1111" s="12" t="n">
        <x:f>IF(L1111="Completed",H1111*J1111,0)</x:f>
        <x:v>9000</x:v>
      </x:c>
      <x:c r="P1111" s="12" t="n">
        <x:f>N1111-O1111</x:f>
        <x:v>7150</x:v>
      </x:c>
    </x:row>
    <x:row r="1112" ht="21" customHeight="1">
      <x:c r="A1112" s="7" t="n">
        <x:v>1107</x:v>
      </x:c>
      <x:c r="B1112" s="2" t="str">
        <x:v>TXN-01107</x:v>
      </x:c>
      <x:c r="C1112" s="8" t="d">
        <x:v>2025-10-18T00:00:00.000Z</x:v>
      </x:c>
      <x:c r="D1112" s="2" t="str">
        <x:v>Abuja</x:v>
      </x:c>
      <x:c r="E1112" s="2" t="str">
        <x:v>Electronics</x:v>
      </x:c>
      <x:c r="F1112" s="2" t="str">
        <x:v>Power bank</x:v>
      </x:c>
      <x:c r="G1112" s="2" t="str">
        <x:v>Online</x:v>
      </x:c>
      <x:c r="H1112" s="7" t="n">
        <x:v>1</x:v>
      </x:c>
      <x:c r="I1112" s="9" t="n">
        <x:v>15000</x:v>
      </x:c>
      <x:c r="J1112" s="9" t="n">
        <x:v>9500</x:v>
      </x:c>
      <x:c r="K1112" s="10" t="n">
        <x:v>0.05</x:v>
      </x:c>
      <x:c r="L1112" s="2" t="str">
        <x:v>Completed</x:v>
      </x:c>
      <x:c r="M1112" s="12" t="n">
        <x:f>H1112*I1112</x:f>
        <x:v>15000</x:v>
      </x:c>
      <x:c r="N1112" s="12" t="n">
        <x:f>IF(L1112="Completed",ROUND(M1112*(1-K1112),2),0)</x:f>
        <x:v>14250</x:v>
      </x:c>
      <x:c r="O1112" s="12" t="n">
        <x:f>IF(L1112="Completed",H1112*J1112,0)</x:f>
        <x:v>9500</x:v>
      </x:c>
      <x:c r="P1112" s="12" t="n">
        <x:f>N1112-O1112</x:f>
        <x:v>4750</x:v>
      </x:c>
    </x:row>
    <x:row r="1113" ht="21" customHeight="1">
      <x:c r="A1113" s="7" t="n">
        <x:v>1108</x:v>
      </x:c>
      <x:c r="B1113" s="2" t="str">
        <x:v>TXN-01108</x:v>
      </x:c>
      <x:c r="C1113" s="8" t="d">
        <x:v>2025-10-06T00:00:00.000Z</x:v>
      </x:c>
      <x:c r="D1113" s="2" t="str">
        <x:v>Port Harcourt</x:v>
      </x:c>
      <x:c r="E1113" s="2" t="str">
        <x:v>Beauty</x:v>
      </x:c>
      <x:c r="F1113" s="2" t="str">
        <x:v>Moisturizer</x:v>
      </x:c>
      <x:c r="G1113" s="2" t="str">
        <x:v>In-store</x:v>
      </x:c>
      <x:c r="H1113" s="7" t="n">
        <x:v>1</x:v>
      </x:c>
      <x:c r="I1113" s="9" t="n">
        <x:v>6500</x:v>
      </x:c>
      <x:c r="J1113" s="9" t="n">
        <x:v>3500</x:v>
      </x:c>
      <x:c r="K1113" s="10" t="n">
        <x:v>0</x:v>
      </x:c>
      <x:c r="L1113" s="2" t="str">
        <x:v>Completed</x:v>
      </x:c>
      <x:c r="M1113" s="12" t="n">
        <x:f>H1113*I1113</x:f>
        <x:v>6500</x:v>
      </x:c>
      <x:c r="N1113" s="12" t="n">
        <x:f>IF(L1113="Completed",ROUND(M1113*(1-K1113),2),0)</x:f>
        <x:v>6500</x:v>
      </x:c>
      <x:c r="O1113" s="12" t="n">
        <x:f>IF(L1113="Completed",H1113*J1113,0)</x:f>
        <x:v>3500</x:v>
      </x:c>
      <x:c r="P1113" s="12" t="n">
        <x:f>N1113-O1113</x:f>
        <x:v>3000</x:v>
      </x:c>
    </x:row>
    <x:row r="1114" ht="21" customHeight="1">
      <x:c r="A1114" s="7" t="n">
        <x:v>1109</x:v>
      </x:c>
      <x:c r="B1114" s="2" t="str">
        <x:v>TXN-01109</x:v>
      </x:c>
      <x:c r="C1114" s="8" t="d">
        <x:v>2025-10-13T00:00:00.000Z</x:v>
      </x:c>
      <x:c r="D1114" s="2" t="str">
        <x:v>Port Harcourt</x:v>
      </x:c>
      <x:c r="E1114" s="2" t="str">
        <x:v>Home</x:v>
      </x:c>
      <x:c r="F1114" s="2" t="str">
        <x:v>Bedsheet</x:v>
      </x:c>
      <x:c r="G1114" s="2" t="str">
        <x:v>In-store</x:v>
      </x:c>
      <x:c r="H1114" s="7" t="n">
        <x:v>1</x:v>
      </x:c>
      <x:c r="I1114" s="9" t="n">
        <x:v>14000</x:v>
      </x:c>
      <x:c r="J1114" s="9" t="n">
        <x:v>8500</x:v>
      </x:c>
      <x:c r="K1114" s="10" t="n">
        <x:v>0</x:v>
      </x:c>
      <x:c r="L1114" s="2" t="str">
        <x:v>Completed</x:v>
      </x:c>
      <x:c r="M1114" s="12" t="n">
        <x:f>H1114*I1114</x:f>
        <x:v>14000</x:v>
      </x:c>
      <x:c r="N1114" s="12" t="n">
        <x:f>IF(L1114="Completed",ROUND(M1114*(1-K1114),2),0)</x:f>
        <x:v>14000</x:v>
      </x:c>
      <x:c r="O1114" s="12" t="n">
        <x:f>IF(L1114="Completed",H1114*J1114,0)</x:f>
        <x:v>8500</x:v>
      </x:c>
      <x:c r="P1114" s="12" t="n">
        <x:f>N1114-O1114</x:f>
        <x:v>5500</x:v>
      </x:c>
    </x:row>
    <x:row r="1115" ht="21" customHeight="1">
      <x:c r="A1115" s="7" t="n">
        <x:v>1110</x:v>
      </x:c>
      <x:c r="B1115" s="2" t="str">
        <x:v>TXN-01110</x:v>
      </x:c>
      <x:c r="C1115" s="8" t="d">
        <x:v>2025-10-23T00:00:00.000Z</x:v>
      </x:c>
      <x:c r="D1115" s="2" t="str">
        <x:v>Port Harcourt</x:v>
      </x:c>
      <x:c r="E1115" s="2" t="str">
        <x:v>Beauty</x:v>
      </x:c>
      <x:c r="F1115" s="2" t="str">
        <x:v>Body wash</x:v>
      </x:c>
      <x:c r="G1115" s="2" t="str">
        <x:v>Online</x:v>
      </x:c>
      <x:c r="H1115" s="7" t="n">
        <x:v>1</x:v>
      </x:c>
      <x:c r="I1115" s="9" t="n">
        <x:v>4500</x:v>
      </x:c>
      <x:c r="J1115" s="9" t="n">
        <x:v>2300</x:v>
      </x:c>
      <x:c r="K1115" s="10" t="n">
        <x:v>0</x:v>
      </x:c>
      <x:c r="L1115" s="2" t="str">
        <x:v>Completed</x:v>
      </x:c>
      <x:c r="M1115" s="12" t="n">
        <x:f>H1115*I1115</x:f>
        <x:v>4500</x:v>
      </x:c>
      <x:c r="N1115" s="12" t="n">
        <x:f>IF(L1115="Completed",ROUND(M1115*(1-K1115),2),0)</x:f>
        <x:v>4500</x:v>
      </x:c>
      <x:c r="O1115" s="12" t="n">
        <x:f>IF(L1115="Completed",H1115*J1115,0)</x:f>
        <x:v>2300</x:v>
      </x:c>
      <x:c r="P1115" s="12" t="n">
        <x:f>N1115-O1115</x:f>
        <x:v>2200</x:v>
      </x:c>
    </x:row>
    <x:row r="1116" ht="21" customHeight="1">
      <x:c r="A1116" s="7" t="n">
        <x:v>1111</x:v>
      </x:c>
      <x:c r="B1116" s="2" t="str">
        <x:v>TXN-01111</x:v>
      </x:c>
      <x:c r="C1116" s="8" t="d">
        <x:v>2025-10-24T00:00:00.000Z</x:v>
      </x:c>
      <x:c r="D1116" s="2" t="str">
        <x:v>Lagos</x:v>
      </x:c>
      <x:c r="E1116" s="2" t="str">
        <x:v>Electronics</x:v>
      </x:c>
      <x:c r="F1116" s="2" t="str">
        <x:v>Bluetooth speaker</x:v>
      </x:c>
      <x:c r="G1116" s="2" t="str">
        <x:v>In-store</x:v>
      </x:c>
      <x:c r="H1116" s="7" t="n">
        <x:v>1</x:v>
      </x:c>
      <x:c r="I1116" s="9" t="n">
        <x:v>26000</x:v>
      </x:c>
      <x:c r="J1116" s="9" t="n">
        <x:v>17000</x:v>
      </x:c>
      <x:c r="K1116" s="10" t="n">
        <x:v>0.05</x:v>
      </x:c>
      <x:c r="L1116" s="2" t="str">
        <x:v>Completed</x:v>
      </x:c>
      <x:c r="M1116" s="12" t="n">
        <x:f>H1116*I1116</x:f>
        <x:v>26000</x:v>
      </x:c>
      <x:c r="N1116" s="12" t="n">
        <x:f>IF(L1116="Completed",ROUND(M1116*(1-K1116),2),0)</x:f>
        <x:v>24700</x:v>
      </x:c>
      <x:c r="O1116" s="12" t="n">
        <x:f>IF(L1116="Completed",H1116*J1116,0)</x:f>
        <x:v>17000</x:v>
      </x:c>
      <x:c r="P1116" s="12" t="n">
        <x:f>N1116-O1116</x:f>
        <x:v>7700</x:v>
      </x:c>
    </x:row>
    <x:row r="1117" ht="21" customHeight="1">
      <x:c r="A1117" s="7" t="n">
        <x:v>1112</x:v>
      </x:c>
      <x:c r="B1117" s="2" t="str">
        <x:v>TXN-01112</x:v>
      </x:c>
      <x:c r="C1117" s="8" t="d">
        <x:v>2025-10-10T00:00:00.000Z</x:v>
      </x:c>
      <x:c r="D1117" s="2" t="str">
        <x:v>Kano</x:v>
      </x:c>
      <x:c r="E1117" s="2" t="str">
        <x:v>Fashion</x:v>
      </x:c>
      <x:c r="F1117" s="2" t="str">
        <x:v>Handbag</x:v>
      </x:c>
      <x:c r="G1117" s="2" t="str">
        <x:v>In-store</x:v>
      </x:c>
      <x:c r="H1117" s="7" t="n">
        <x:v>1</x:v>
      </x:c>
      <x:c r="I1117" s="9" t="n">
        <x:v>22000</x:v>
      </x:c>
      <x:c r="J1117" s="9" t="n">
        <x:v>13500</x:v>
      </x:c>
      <x:c r="K1117" s="10" t="n">
        <x:v>0</x:v>
      </x:c>
      <x:c r="L1117" s="2" t="str">
        <x:v>Completed</x:v>
      </x:c>
      <x:c r="M1117" s="12" t="n">
        <x:f>H1117*I1117</x:f>
        <x:v>22000</x:v>
      </x:c>
      <x:c r="N1117" s="12" t="n">
        <x:f>IF(L1117="Completed",ROUND(M1117*(1-K1117),2),0)</x:f>
        <x:v>22000</x:v>
      </x:c>
      <x:c r="O1117" s="12" t="n">
        <x:f>IF(L1117="Completed",H1117*J1117,0)</x:f>
        <x:v>13500</x:v>
      </x:c>
      <x:c r="P1117" s="12" t="n">
        <x:f>N1117-O1117</x:f>
        <x:v>8500</x:v>
      </x:c>
    </x:row>
    <x:row r="1118" ht="21" customHeight="1">
      <x:c r="A1118" s="7" t="n">
        <x:v>1113</x:v>
      </x:c>
      <x:c r="B1118" s="2" t="str">
        <x:v>TXN-01113</x:v>
      </x:c>
      <x:c r="C1118" s="8" t="d">
        <x:v>2025-10-02T00:00:00.000Z</x:v>
      </x:c>
      <x:c r="D1118" s="2" t="str">
        <x:v>Lagos</x:v>
      </x:c>
      <x:c r="E1118" s="2" t="str">
        <x:v>Electronics</x:v>
      </x:c>
      <x:c r="F1118" s="2" t="str">
        <x:v>Bluetooth speaker</x:v>
      </x:c>
      <x:c r="G1118" s="2" t="str">
        <x:v>Online</x:v>
      </x:c>
      <x:c r="H1118" s="7" t="n">
        <x:v>3</x:v>
      </x:c>
      <x:c r="I1118" s="9" t="n">
        <x:v>26000</x:v>
      </x:c>
      <x:c r="J1118" s="9" t="n">
        <x:v>17000</x:v>
      </x:c>
      <x:c r="K1118" s="10" t="n">
        <x:v>0.05</x:v>
      </x:c>
      <x:c r="L1118" s="2" t="str">
        <x:v>Completed</x:v>
      </x:c>
      <x:c r="M1118" s="12" t="n">
        <x:f>H1118*I1118</x:f>
        <x:v>78000</x:v>
      </x:c>
      <x:c r="N1118" s="12" t="n">
        <x:f>IF(L1118="Completed",ROUND(M1118*(1-K1118),2),0)</x:f>
        <x:v>74100</x:v>
      </x:c>
      <x:c r="O1118" s="12" t="n">
        <x:f>IF(L1118="Completed",H1118*J1118,0)</x:f>
        <x:v>51000</x:v>
      </x:c>
      <x:c r="P1118" s="12" t="n">
        <x:f>N1118-O1118</x:f>
        <x:v>23100</x:v>
      </x:c>
    </x:row>
    <x:row r="1119" ht="21" customHeight="1">
      <x:c r="A1119" s="7" t="n">
        <x:v>1114</x:v>
      </x:c>
      <x:c r="B1119" s="2" t="str">
        <x:v>TXN-01114</x:v>
      </x:c>
      <x:c r="C1119" s="8" t="d">
        <x:v>2025-10-29T00:00:00.000Z</x:v>
      </x:c>
      <x:c r="D1119" s="2" t="str">
        <x:v>Abuja</x:v>
      </x:c>
      <x:c r="E1119" s="2" t="str">
        <x:v>Home</x:v>
      </x:c>
      <x:c r="F1119" s="2" t="str">
        <x:v>Bedsheet</x:v>
      </x:c>
      <x:c r="G1119" s="2" t="str">
        <x:v>Online</x:v>
      </x:c>
      <x:c r="H1119" s="7" t="n">
        <x:v>3</x:v>
      </x:c>
      <x:c r="I1119" s="9" t="n">
        <x:v>14000</x:v>
      </x:c>
      <x:c r="J1119" s="9" t="n">
        <x:v>8500</x:v>
      </x:c>
      <x:c r="K1119" s="10" t="n">
        <x:v>0</x:v>
      </x:c>
      <x:c r="L1119" s="2" t="str">
        <x:v>Completed</x:v>
      </x:c>
      <x:c r="M1119" s="12" t="n">
        <x:f>H1119*I1119</x:f>
        <x:v>42000</x:v>
      </x:c>
      <x:c r="N1119" s="12" t="n">
        <x:f>IF(L1119="Completed",ROUND(M1119*(1-K1119),2),0)</x:f>
        <x:v>42000</x:v>
      </x:c>
      <x:c r="O1119" s="12" t="n">
        <x:f>IF(L1119="Completed",H1119*J1119,0)</x:f>
        <x:v>25500</x:v>
      </x:c>
      <x:c r="P1119" s="12" t="n">
        <x:f>N1119-O1119</x:f>
        <x:v>16500</x:v>
      </x:c>
    </x:row>
    <x:row r="1120" ht="21" customHeight="1">
      <x:c r="A1120" s="7" t="n">
        <x:v>1115</x:v>
      </x:c>
      <x:c r="B1120" s="2" t="str">
        <x:v>TXN-01115</x:v>
      </x:c>
      <x:c r="C1120" s="8" t="d">
        <x:v>2025-10-31T00:00:00.000Z</x:v>
      </x:c>
      <x:c r="D1120" s="2" t="str">
        <x:v>Abuja</x:v>
      </x:c>
      <x:c r="E1120" s="2" t="str">
        <x:v>Fashion</x:v>
      </x:c>
      <x:c r="F1120" s="2" t="str">
        <x:v>Handbag</x:v>
      </x:c>
      <x:c r="G1120" s="2" t="str">
        <x:v>Online</x:v>
      </x:c>
      <x:c r="H1120" s="7" t="n">
        <x:v>3</x:v>
      </x:c>
      <x:c r="I1120" s="9" t="n">
        <x:v>22000</x:v>
      </x:c>
      <x:c r="J1120" s="9" t="n">
        <x:v>13500</x:v>
      </x:c>
      <x:c r="K1120" s="10" t="n">
        <x:v>0.05</x:v>
      </x:c>
      <x:c r="L1120" s="2" t="str">
        <x:v>Completed</x:v>
      </x:c>
      <x:c r="M1120" s="12" t="n">
        <x:f>H1120*I1120</x:f>
        <x:v>66000</x:v>
      </x:c>
      <x:c r="N1120" s="12" t="n">
        <x:f>IF(L1120="Completed",ROUND(M1120*(1-K1120),2),0)</x:f>
        <x:v>62700</x:v>
      </x:c>
      <x:c r="O1120" s="12" t="n">
        <x:f>IF(L1120="Completed",H1120*J1120,0)</x:f>
        <x:v>40500</x:v>
      </x:c>
      <x:c r="P1120" s="12" t="n">
        <x:f>N1120-O1120</x:f>
        <x:v>22200</x:v>
      </x:c>
    </x:row>
    <x:row r="1121" ht="21" customHeight="1">
      <x:c r="A1121" s="7" t="n">
        <x:v>1116</x:v>
      </x:c>
      <x:c r="B1121" s="2" t="str">
        <x:v>TXN-01116</x:v>
      </x:c>
      <x:c r="C1121" s="8" t="d">
        <x:v>2025-10-01T00:00:00.000Z</x:v>
      </x:c>
      <x:c r="D1121" s="2" t="str">
        <x:v>Kano</x:v>
      </x:c>
      <x:c r="E1121" s="2" t="str">
        <x:v>Beauty</x:v>
      </x:c>
      <x:c r="F1121" s="2" t="str">
        <x:v>Moisturizer</x:v>
      </x:c>
      <x:c r="G1121" s="2" t="str">
        <x:v>Online</x:v>
      </x:c>
      <x:c r="H1121" s="7" t="n">
        <x:v>2</x:v>
      </x:c>
      <x:c r="I1121" s="9" t="n">
        <x:v>6500</x:v>
      </x:c>
      <x:c r="J1121" s="9" t="n">
        <x:v>3500</x:v>
      </x:c>
      <x:c r="K1121" s="10" t="n">
        <x:v>0.05</x:v>
      </x:c>
      <x:c r="L1121" s="2" t="str">
        <x:v>Completed</x:v>
      </x:c>
      <x:c r="M1121" s="12" t="n">
        <x:f>H1121*I1121</x:f>
        <x:v>13000</x:v>
      </x:c>
      <x:c r="N1121" s="12" t="n">
        <x:f>IF(L1121="Completed",ROUND(M1121*(1-K1121),2),0)</x:f>
        <x:v>12350</x:v>
      </x:c>
      <x:c r="O1121" s="12" t="n">
        <x:f>IF(L1121="Completed",H1121*J1121,0)</x:f>
        <x:v>7000</x:v>
      </x:c>
      <x:c r="P1121" s="12" t="n">
        <x:f>N1121-O1121</x:f>
        <x:v>5350</x:v>
      </x:c>
    </x:row>
    <x:row r="1122" ht="21" customHeight="1">
      <x:c r="A1122" s="7" t="n">
        <x:v>1117</x:v>
      </x:c>
      <x:c r="B1122" s="2" t="str">
        <x:v>TXN-01117</x:v>
      </x:c>
      <x:c r="C1122" s="8" t="d">
        <x:v>2025-10-06T00:00:00.000Z</x:v>
      </x:c>
      <x:c r="D1122" s="2" t="str">
        <x:v>Lagos</x:v>
      </x:c>
      <x:c r="E1122" s="2" t="str">
        <x:v>Electronics</x:v>
      </x:c>
      <x:c r="F1122" s="2" t="str">
        <x:v>Bluetooth speaker</x:v>
      </x:c>
      <x:c r="G1122" s="2" t="str">
        <x:v>In-store</x:v>
      </x:c>
      <x:c r="H1122" s="7" t="n">
        <x:v>4</x:v>
      </x:c>
      <x:c r="I1122" s="9" t="n">
        <x:v>26000</x:v>
      </x:c>
      <x:c r="J1122" s="9" t="n">
        <x:v>17000</x:v>
      </x:c>
      <x:c r="K1122" s="10" t="n">
        <x:v>0.05</x:v>
      </x:c>
      <x:c r="L1122" s="2" t="str">
        <x:v>Completed</x:v>
      </x:c>
      <x:c r="M1122" s="12" t="n">
        <x:f>H1122*I1122</x:f>
        <x:v>104000</x:v>
      </x:c>
      <x:c r="N1122" s="12" t="n">
        <x:f>IF(L1122="Completed",ROUND(M1122*(1-K1122),2),0)</x:f>
        <x:v>98800</x:v>
      </x:c>
      <x:c r="O1122" s="12" t="n">
        <x:f>IF(L1122="Completed",H1122*J1122,0)</x:f>
        <x:v>68000</x:v>
      </x:c>
      <x:c r="P1122" s="12" t="n">
        <x:f>N1122-O1122</x:f>
        <x:v>30800</x:v>
      </x:c>
    </x:row>
    <x:row r="1123" ht="21" customHeight="1">
      <x:c r="A1123" s="7" t="n">
        <x:v>1118</x:v>
      </x:c>
      <x:c r="B1123" s="2" t="str">
        <x:v>TXN-01118</x:v>
      </x:c>
      <x:c r="C1123" s="8" t="d">
        <x:v>2025-10-22T00:00:00.000Z</x:v>
      </x:c>
      <x:c r="D1123" s="2" t="str">
        <x:v>Port Harcourt</x:v>
      </x:c>
      <x:c r="E1123" s="2" t="str">
        <x:v>Home</x:v>
      </x:c>
      <x:c r="F1123" s="2" t="str">
        <x:v>Bedsheet</x:v>
      </x:c>
      <x:c r="G1123" s="2" t="str">
        <x:v>In-store</x:v>
      </x:c>
      <x:c r="H1123" s="7" t="n">
        <x:v>1</x:v>
      </x:c>
      <x:c r="I1123" s="9" t="n">
        <x:v>14000</x:v>
      </x:c>
      <x:c r="J1123" s="9" t="n">
        <x:v>8500</x:v>
      </x:c>
      <x:c r="K1123" s="10" t="n">
        <x:v>0</x:v>
      </x:c>
      <x:c r="L1123" s="2" t="str">
        <x:v>Completed</x:v>
      </x:c>
      <x:c r="M1123" s="12" t="n">
        <x:f>H1123*I1123</x:f>
        <x:v>14000</x:v>
      </x:c>
      <x:c r="N1123" s="12" t="n">
        <x:f>IF(L1123="Completed",ROUND(M1123*(1-K1123),2),0)</x:f>
        <x:v>14000</x:v>
      </x:c>
      <x:c r="O1123" s="12" t="n">
        <x:f>IF(L1123="Completed",H1123*J1123,0)</x:f>
        <x:v>8500</x:v>
      </x:c>
      <x:c r="P1123" s="12" t="n">
        <x:f>N1123-O1123</x:f>
        <x:v>5500</x:v>
      </x:c>
    </x:row>
    <x:row r="1124" ht="21" customHeight="1">
      <x:c r="A1124" s="7" t="n">
        <x:v>1119</x:v>
      </x:c>
      <x:c r="B1124" s="2" t="str">
        <x:v>TXN-01119</x:v>
      </x:c>
      <x:c r="C1124" s="8" t="d">
        <x:v>2025-10-06T00:00:00.000Z</x:v>
      </x:c>
      <x:c r="D1124" s="2" t="str">
        <x:v>Abuja</x:v>
      </x:c>
      <x:c r="E1124" s="2" t="str">
        <x:v>Electronics</x:v>
      </x:c>
      <x:c r="F1124" s="2" t="str">
        <x:v>Headphones</x:v>
      </x:c>
      <x:c r="G1124" s="2" t="str">
        <x:v>Online</x:v>
      </x:c>
      <x:c r="H1124" s="7" t="n">
        <x:v>1</x:v>
      </x:c>
      <x:c r="I1124" s="9" t="n">
        <x:v>18000</x:v>
      </x:c>
      <x:c r="J1124" s="9" t="n">
        <x:v>10500</x:v>
      </x:c>
      <x:c r="K1124" s="10" t="n">
        <x:v>0.05</x:v>
      </x:c>
      <x:c r="L1124" s="2" t="str">
        <x:v>Completed</x:v>
      </x:c>
      <x:c r="M1124" s="12" t="n">
        <x:f>H1124*I1124</x:f>
        <x:v>18000</x:v>
      </x:c>
      <x:c r="N1124" s="12" t="n">
        <x:f>IF(L1124="Completed",ROUND(M1124*(1-K1124),2),0)</x:f>
        <x:v>17100</x:v>
      </x:c>
      <x:c r="O1124" s="12" t="n">
        <x:f>IF(L1124="Completed",H1124*J1124,0)</x:f>
        <x:v>10500</x:v>
      </x:c>
      <x:c r="P1124" s="12" t="n">
        <x:f>N1124-O1124</x:f>
        <x:v>6600</x:v>
      </x:c>
    </x:row>
    <x:row r="1125" ht="21" customHeight="1">
      <x:c r="A1125" s="7" t="n">
        <x:v>1120</x:v>
      </x:c>
      <x:c r="B1125" s="2" t="str">
        <x:v>TXN-01120</x:v>
      </x:c>
      <x:c r="C1125" s="8" t="d">
        <x:v>2025-10-16T00:00:00.000Z</x:v>
      </x:c>
      <x:c r="D1125" s="2" t="str">
        <x:v>Lagos</x:v>
      </x:c>
      <x:c r="E1125" s="2" t="str">
        <x:v>Beauty</x:v>
      </x:c>
      <x:c r="F1125" s="2" t="str">
        <x:v>Body wash</x:v>
      </x:c>
      <x:c r="G1125" s="2" t="str">
        <x:v>In-store</x:v>
      </x:c>
      <x:c r="H1125" s="7" t="n">
        <x:v>1</x:v>
      </x:c>
      <x:c r="I1125" s="9" t="n">
        <x:v>4500</x:v>
      </x:c>
      <x:c r="J1125" s="9" t="n">
        <x:v>2300</x:v>
      </x:c>
      <x:c r="K1125" s="10" t="n">
        <x:v>0</x:v>
      </x:c>
      <x:c r="L1125" s="2" t="str">
        <x:v>Completed</x:v>
      </x:c>
      <x:c r="M1125" s="12" t="n">
        <x:f>H1125*I1125</x:f>
        <x:v>4500</x:v>
      </x:c>
      <x:c r="N1125" s="12" t="n">
        <x:f>IF(L1125="Completed",ROUND(M1125*(1-K1125),2),0)</x:f>
        <x:v>4500</x:v>
      </x:c>
      <x:c r="O1125" s="12" t="n">
        <x:f>IF(L1125="Completed",H1125*J1125,0)</x:f>
        <x:v>2300</x:v>
      </x:c>
      <x:c r="P1125" s="12" t="n">
        <x:f>N1125-O1125</x:f>
        <x:v>2200</x:v>
      </x:c>
    </x:row>
    <x:row r="1126" ht="21" customHeight="1">
      <x:c r="A1126" s="7" t="n">
        <x:v>1121</x:v>
      </x:c>
      <x:c r="B1126" s="2" t="str">
        <x:v>TXN-01121</x:v>
      </x:c>
      <x:c r="C1126" s="8" t="d">
        <x:v>2025-10-14T00:00:00.000Z</x:v>
      </x:c>
      <x:c r="D1126" s="2" t="str">
        <x:v>Port Harcourt</x:v>
      </x:c>
      <x:c r="E1126" s="2" t="str">
        <x:v>Beauty</x:v>
      </x:c>
      <x:c r="F1126" s="2" t="str">
        <x:v>Moisturizer</x:v>
      </x:c>
      <x:c r="G1126" s="2" t="str">
        <x:v>In-store</x:v>
      </x:c>
      <x:c r="H1126" s="7" t="n">
        <x:v>1</x:v>
      </x:c>
      <x:c r="I1126" s="9" t="n">
        <x:v>6500</x:v>
      </x:c>
      <x:c r="J1126" s="9" t="n">
        <x:v>3500</x:v>
      </x:c>
      <x:c r="K1126" s="10" t="n">
        <x:v>0</x:v>
      </x:c>
      <x:c r="L1126" s="2" t="str">
        <x:v>Completed</x:v>
      </x:c>
      <x:c r="M1126" s="12" t="n">
        <x:f>H1126*I1126</x:f>
        <x:v>6500</x:v>
      </x:c>
      <x:c r="N1126" s="12" t="n">
        <x:f>IF(L1126="Completed",ROUND(M1126*(1-K1126),2),0)</x:f>
        <x:v>6500</x:v>
      </x:c>
      <x:c r="O1126" s="12" t="n">
        <x:f>IF(L1126="Completed",H1126*J1126,0)</x:f>
        <x:v>3500</x:v>
      </x:c>
      <x:c r="P1126" s="12" t="n">
        <x:f>N1126-O1126</x:f>
        <x:v>3000</x:v>
      </x:c>
    </x:row>
    <x:row r="1127" ht="21" customHeight="1">
      <x:c r="A1127" s="7" t="n">
        <x:v>1122</x:v>
      </x:c>
      <x:c r="B1127" s="2" t="str">
        <x:v>TXN-01122</x:v>
      </x:c>
      <x:c r="C1127" s="8" t="d">
        <x:v>2025-10-02T00:00:00.000Z</x:v>
      </x:c>
      <x:c r="D1127" s="2" t="str">
        <x:v>Lagos</x:v>
      </x:c>
      <x:c r="E1127" s="2" t="str">
        <x:v>Beauty</x:v>
      </x:c>
      <x:c r="F1127" s="2" t="str">
        <x:v>Moisturizer</x:v>
      </x:c>
      <x:c r="G1127" s="2" t="str">
        <x:v>In-store</x:v>
      </x:c>
      <x:c r="H1127" s="7" t="n">
        <x:v>1</x:v>
      </x:c>
      <x:c r="I1127" s="9" t="n">
        <x:v>6500</x:v>
      </x:c>
      <x:c r="J1127" s="9" t="n">
        <x:v>3500</x:v>
      </x:c>
      <x:c r="K1127" s="10" t="n">
        <x:v>0</x:v>
      </x:c>
      <x:c r="L1127" s="2" t="str">
        <x:v>Completed</x:v>
      </x:c>
      <x:c r="M1127" s="12" t="n">
        <x:f>H1127*I1127</x:f>
        <x:v>6500</x:v>
      </x:c>
      <x:c r="N1127" s="12" t="n">
        <x:f>IF(L1127="Completed",ROUND(M1127*(1-K1127),2),0)</x:f>
        <x:v>6500</x:v>
      </x:c>
      <x:c r="O1127" s="12" t="n">
        <x:f>IF(L1127="Completed",H1127*J1127,0)</x:f>
        <x:v>3500</x:v>
      </x:c>
      <x:c r="P1127" s="12" t="n">
        <x:f>N1127-O1127</x:f>
        <x:v>3000</x:v>
      </x:c>
    </x:row>
    <x:row r="1128" ht="21" customHeight="1">
      <x:c r="A1128" s="7" t="n">
        <x:v>1123</x:v>
      </x:c>
      <x:c r="B1128" s="2" t="str">
        <x:v>TXN-01123</x:v>
      </x:c>
      <x:c r="C1128" s="8" t="d">
        <x:v>2025-10-31T00:00:00.000Z</x:v>
      </x:c>
      <x:c r="D1128" s="2" t="str">
        <x:v>Lagos</x:v>
      </x:c>
      <x:c r="E1128" s="2" t="str">
        <x:v>Beauty</x:v>
      </x:c>
      <x:c r="F1128" s="2" t="str">
        <x:v>Body wash</x:v>
      </x:c>
      <x:c r="G1128" s="2" t="str">
        <x:v>In-store</x:v>
      </x:c>
      <x:c r="H1128" s="7" t="n">
        <x:v>1</x:v>
      </x:c>
      <x:c r="I1128" s="9" t="n">
        <x:v>4500</x:v>
      </x:c>
      <x:c r="J1128" s="9" t="n">
        <x:v>2300</x:v>
      </x:c>
      <x:c r="K1128" s="10" t="n">
        <x:v>0</x:v>
      </x:c>
      <x:c r="L1128" s="2" t="str">
        <x:v>Completed</x:v>
      </x:c>
      <x:c r="M1128" s="12" t="n">
        <x:f>H1128*I1128</x:f>
        <x:v>4500</x:v>
      </x:c>
      <x:c r="N1128" s="12" t="n">
        <x:f>IF(L1128="Completed",ROUND(M1128*(1-K1128),2),0)</x:f>
        <x:v>4500</x:v>
      </x:c>
      <x:c r="O1128" s="12" t="n">
        <x:f>IF(L1128="Completed",H1128*J1128,0)</x:f>
        <x:v>2300</x:v>
      </x:c>
      <x:c r="P1128" s="12" t="n">
        <x:f>N1128-O1128</x:f>
        <x:v>2200</x:v>
      </x:c>
    </x:row>
    <x:row r="1129" ht="21" customHeight="1">
      <x:c r="A1129" s="7" t="n">
        <x:v>1124</x:v>
      </x:c>
      <x:c r="B1129" s="2" t="str">
        <x:v>TXN-01124</x:v>
      </x:c>
      <x:c r="C1129" s="8" t="d">
        <x:v>2025-10-31T00:00:00.000Z</x:v>
      </x:c>
      <x:c r="D1129" s="2" t="str">
        <x:v>Kano</x:v>
      </x:c>
      <x:c r="E1129" s="2" t="str">
        <x:v>Home</x:v>
      </x:c>
      <x:c r="F1129" s="2" t="str">
        <x:v>Cookware set</x:v>
      </x:c>
      <x:c r="G1129" s="2" t="str">
        <x:v>Online</x:v>
      </x:c>
      <x:c r="H1129" s="7" t="n">
        <x:v>2</x:v>
      </x:c>
      <x:c r="I1129" s="9" t="n">
        <x:v>35000</x:v>
      </x:c>
      <x:c r="J1129" s="9" t="n">
        <x:v>22500</x:v>
      </x:c>
      <x:c r="K1129" s="10" t="n">
        <x:v>0</x:v>
      </x:c>
      <x:c r="L1129" s="2" t="str">
        <x:v>Completed</x:v>
      </x:c>
      <x:c r="M1129" s="12" t="n">
        <x:f>H1129*I1129</x:f>
        <x:v>70000</x:v>
      </x:c>
      <x:c r="N1129" s="12" t="n">
        <x:f>IF(L1129="Completed",ROUND(M1129*(1-K1129),2),0)</x:f>
        <x:v>70000</x:v>
      </x:c>
      <x:c r="O1129" s="12" t="n">
        <x:f>IF(L1129="Completed",H1129*J1129,0)</x:f>
        <x:v>45000</x:v>
      </x:c>
      <x:c r="P1129" s="12" t="n">
        <x:f>N1129-O1129</x:f>
        <x:v>25000</x:v>
      </x:c>
    </x:row>
    <x:row r="1130" ht="21" customHeight="1">
      <x:c r="A1130" s="7" t="n">
        <x:v>1125</x:v>
      </x:c>
      <x:c r="B1130" s="2" t="str">
        <x:v>TXN-01125</x:v>
      </x:c>
      <x:c r="C1130" s="8" t="d">
        <x:v>2025-10-22T00:00:00.000Z</x:v>
      </x:c>
      <x:c r="D1130" s="2" t="str">
        <x:v>Abuja</x:v>
      </x:c>
      <x:c r="E1130" s="2" t="str">
        <x:v>Fashion</x:v>
      </x:c>
      <x:c r="F1130" s="2" t="str">
        <x:v>T-shirt</x:v>
      </x:c>
      <x:c r="G1130" s="2" t="str">
        <x:v>In-store</x:v>
      </x:c>
      <x:c r="H1130" s="7" t="n">
        <x:v>2</x:v>
      </x:c>
      <x:c r="I1130" s="9" t="n">
        <x:v>9000</x:v>
      </x:c>
      <x:c r="J1130" s="9" t="n">
        <x:v>5000</x:v>
      </x:c>
      <x:c r="K1130" s="10" t="n">
        <x:v>0.1</x:v>
      </x:c>
      <x:c r="L1130" s="2" t="str">
        <x:v>Completed</x:v>
      </x:c>
      <x:c r="M1130" s="12" t="n">
        <x:f>H1130*I1130</x:f>
        <x:v>18000</x:v>
      </x:c>
      <x:c r="N1130" s="12" t="n">
        <x:f>IF(L1130="Completed",ROUND(M1130*(1-K1130),2),0)</x:f>
        <x:v>16200</x:v>
      </x:c>
      <x:c r="O1130" s="12" t="n">
        <x:f>IF(L1130="Completed",H1130*J1130,0)</x:f>
        <x:v>10000</x:v>
      </x:c>
      <x:c r="P1130" s="12" t="n">
        <x:f>N1130-O1130</x:f>
        <x:v>6200</x:v>
      </x:c>
    </x:row>
    <x:row r="1131" ht="21" customHeight="1">
      <x:c r="A1131" s="7" t="n">
        <x:v>1126</x:v>
      </x:c>
      <x:c r="B1131" s="2" t="str">
        <x:v>TXN-01126</x:v>
      </x:c>
      <x:c r="C1131" s="8" t="d">
        <x:v>2025-10-20T00:00:00.000Z</x:v>
      </x:c>
      <x:c r="D1131" s="2" t="str">
        <x:v>Kano</x:v>
      </x:c>
      <x:c r="E1131" s="2" t="str">
        <x:v>Electronics</x:v>
      </x:c>
      <x:c r="F1131" s="2" t="str">
        <x:v>Headphones</x:v>
      </x:c>
      <x:c r="G1131" s="2" t="str">
        <x:v>Online</x:v>
      </x:c>
      <x:c r="H1131" s="7" t="n">
        <x:v>1</x:v>
      </x:c>
      <x:c r="I1131" s="9" t="n">
        <x:v>18000</x:v>
      </x:c>
      <x:c r="J1131" s="9" t="n">
        <x:v>10500</x:v>
      </x:c>
      <x:c r="K1131" s="10" t="n">
        <x:v>0.05</x:v>
      </x:c>
      <x:c r="L1131" s="2" t="str">
        <x:v>Completed</x:v>
      </x:c>
      <x:c r="M1131" s="12" t="n">
        <x:f>H1131*I1131</x:f>
        <x:v>18000</x:v>
      </x:c>
      <x:c r="N1131" s="12" t="n">
        <x:f>IF(L1131="Completed",ROUND(M1131*(1-K1131),2),0)</x:f>
        <x:v>17100</x:v>
      </x:c>
      <x:c r="O1131" s="12" t="n">
        <x:f>IF(L1131="Completed",H1131*J1131,0)</x:f>
        <x:v>10500</x:v>
      </x:c>
      <x:c r="P1131" s="12" t="n">
        <x:f>N1131-O1131</x:f>
        <x:v>6600</x:v>
      </x:c>
    </x:row>
    <x:row r="1132" ht="21" customHeight="1">
      <x:c r="A1132" s="7" t="n">
        <x:v>1127</x:v>
      </x:c>
      <x:c r="B1132" s="2" t="str">
        <x:v>TXN-01127</x:v>
      </x:c>
      <x:c r="C1132" s="8" t="d">
        <x:v>2025-10-12T00:00:00.000Z</x:v>
      </x:c>
      <x:c r="D1132" s="2" t="str">
        <x:v>Lagos</x:v>
      </x:c>
      <x:c r="E1132" s="2" t="str">
        <x:v>Electronics</x:v>
      </x:c>
      <x:c r="F1132" s="2" t="str">
        <x:v>Power bank</x:v>
      </x:c>
      <x:c r="G1132" s="2" t="str">
        <x:v>In-store</x:v>
      </x:c>
      <x:c r="H1132" s="7" t="n">
        <x:v>2</x:v>
      </x:c>
      <x:c r="I1132" s="9" t="n">
        <x:v>15000</x:v>
      </x:c>
      <x:c r="J1132" s="9" t="n">
        <x:v>9500</x:v>
      </x:c>
      <x:c r="K1132" s="10" t="n">
        <x:v>0.1</x:v>
      </x:c>
      <x:c r="L1132" s="2" t="str">
        <x:v>Completed</x:v>
      </x:c>
      <x:c r="M1132" s="12" t="n">
        <x:f>H1132*I1132</x:f>
        <x:v>30000</x:v>
      </x:c>
      <x:c r="N1132" s="12" t="n">
        <x:f>IF(L1132="Completed",ROUND(M1132*(1-K1132),2),0)</x:f>
        <x:v>27000</x:v>
      </x:c>
      <x:c r="O1132" s="12" t="n">
        <x:f>IF(L1132="Completed",H1132*J1132,0)</x:f>
        <x:v>19000</x:v>
      </x:c>
      <x:c r="P1132" s="12" t="n">
        <x:f>N1132-O1132</x:f>
        <x:v>8000</x:v>
      </x:c>
    </x:row>
    <x:row r="1133" ht="21" customHeight="1">
      <x:c r="A1133" s="7" t="n">
        <x:v>1128</x:v>
      </x:c>
      <x:c r="B1133" s="2" t="str">
        <x:v>TXN-01128</x:v>
      </x:c>
      <x:c r="C1133" s="8" t="d">
        <x:v>2025-10-05T00:00:00.000Z</x:v>
      </x:c>
      <x:c r="D1133" s="2" t="str">
        <x:v>Lagos</x:v>
      </x:c>
      <x:c r="E1133" s="2" t="str">
        <x:v>Fashion</x:v>
      </x:c>
      <x:c r="F1133" s="2" t="str">
        <x:v>Sneakers</x:v>
      </x:c>
      <x:c r="G1133" s="2" t="str">
        <x:v>Online</x:v>
      </x:c>
      <x:c r="H1133" s="7" t="n">
        <x:v>3</x:v>
      </x:c>
      <x:c r="I1133" s="9" t="n">
        <x:v>28000</x:v>
      </x:c>
      <x:c r="J1133" s="9" t="n">
        <x:v>17500</x:v>
      </x:c>
      <x:c r="K1133" s="10" t="n">
        <x:v>0</x:v>
      </x:c>
      <x:c r="L1133" s="2" t="str">
        <x:v>Completed</x:v>
      </x:c>
      <x:c r="M1133" s="12" t="n">
        <x:f>H1133*I1133</x:f>
        <x:v>84000</x:v>
      </x:c>
      <x:c r="N1133" s="12" t="n">
        <x:f>IF(L1133="Completed",ROUND(M1133*(1-K1133),2),0)</x:f>
        <x:v>84000</x:v>
      </x:c>
      <x:c r="O1133" s="12" t="n">
        <x:f>IF(L1133="Completed",H1133*J1133,0)</x:f>
        <x:v>52500</x:v>
      </x:c>
      <x:c r="P1133" s="12" t="n">
        <x:f>N1133-O1133</x:f>
        <x:v>31500</x:v>
      </x:c>
    </x:row>
    <x:row r="1134" ht="21" customHeight="1">
      <x:c r="A1134" s="7" t="n">
        <x:v>1129</x:v>
      </x:c>
      <x:c r="B1134" s="2" t="str">
        <x:v>TXN-01129</x:v>
      </x:c>
      <x:c r="C1134" s="8" t="d">
        <x:v>2025-10-12T00:00:00.000Z</x:v>
      </x:c>
      <x:c r="D1134" s="2" t="str">
        <x:v>Lagos</x:v>
      </x:c>
      <x:c r="E1134" s="2" t="str">
        <x:v>Beauty</x:v>
      </x:c>
      <x:c r="F1134" s="2" t="str">
        <x:v>Moisturizer</x:v>
      </x:c>
      <x:c r="G1134" s="2" t="str">
        <x:v>Online</x:v>
      </x:c>
      <x:c r="H1134" s="7" t="n">
        <x:v>1</x:v>
      </x:c>
      <x:c r="I1134" s="9" t="n">
        <x:v>6500</x:v>
      </x:c>
      <x:c r="J1134" s="9" t="n">
        <x:v>3500</x:v>
      </x:c>
      <x:c r="K1134" s="10" t="n">
        <x:v>0</x:v>
      </x:c>
      <x:c r="L1134" s="2" t="str">
        <x:v>Completed</x:v>
      </x:c>
      <x:c r="M1134" s="12" t="n">
        <x:f>H1134*I1134</x:f>
        <x:v>6500</x:v>
      </x:c>
      <x:c r="N1134" s="12" t="n">
        <x:f>IF(L1134="Completed",ROUND(M1134*(1-K1134),2),0)</x:f>
        <x:v>6500</x:v>
      </x:c>
      <x:c r="O1134" s="12" t="n">
        <x:f>IF(L1134="Completed",H1134*J1134,0)</x:f>
        <x:v>3500</x:v>
      </x:c>
      <x:c r="P1134" s="12" t="n">
        <x:f>N1134-O1134</x:f>
        <x:v>3000</x:v>
      </x:c>
    </x:row>
    <x:row r="1135" ht="21" customHeight="1">
      <x:c r="A1135" s="7" t="n">
        <x:v>1130</x:v>
      </x:c>
      <x:c r="B1135" s="2" t="str">
        <x:v>TXN-01130</x:v>
      </x:c>
      <x:c r="C1135" s="8" t="d">
        <x:v>2025-10-02T00:00:00.000Z</x:v>
      </x:c>
      <x:c r="D1135" s="2" t="str">
        <x:v>Lagos</x:v>
      </x:c>
      <x:c r="E1135" s="2" t="str">
        <x:v>Fashion</x:v>
      </x:c>
      <x:c r="F1135" s="2" t="str">
        <x:v>T-shirt</x:v>
      </x:c>
      <x:c r="G1135" s="2" t="str">
        <x:v>Online</x:v>
      </x:c>
      <x:c r="H1135" s="7" t="n">
        <x:v>1</x:v>
      </x:c>
      <x:c r="I1135" s="9" t="n">
        <x:v>9000</x:v>
      </x:c>
      <x:c r="J1135" s="9" t="n">
        <x:v>5000</x:v>
      </x:c>
      <x:c r="K1135" s="10" t="n">
        <x:v>0</x:v>
      </x:c>
      <x:c r="L1135" s="2" t="str">
        <x:v>Completed</x:v>
      </x:c>
      <x:c r="M1135" s="12" t="n">
        <x:f>H1135*I1135</x:f>
        <x:v>9000</x:v>
      </x:c>
      <x:c r="N1135" s="12" t="n">
        <x:f>IF(L1135="Completed",ROUND(M1135*(1-K1135),2),0)</x:f>
        <x:v>9000</x:v>
      </x:c>
      <x:c r="O1135" s="12" t="n">
        <x:f>IF(L1135="Completed",H1135*J1135,0)</x:f>
        <x:v>5000</x:v>
      </x:c>
      <x:c r="P1135" s="12" t="n">
        <x:f>N1135-O1135</x:f>
        <x:v>4000</x:v>
      </x:c>
    </x:row>
    <x:row r="1136" ht="21" customHeight="1">
      <x:c r="A1136" s="7" t="n">
        <x:v>1131</x:v>
      </x:c>
      <x:c r="B1136" s="2" t="str">
        <x:v>TXN-01131</x:v>
      </x:c>
      <x:c r="C1136" s="8" t="d">
        <x:v>2025-10-07T00:00:00.000Z</x:v>
      </x:c>
      <x:c r="D1136" s="2" t="str">
        <x:v>Lagos</x:v>
      </x:c>
      <x:c r="E1136" s="2" t="str">
        <x:v>Fashion</x:v>
      </x:c>
      <x:c r="F1136" s="2" t="str">
        <x:v>Sneakers</x:v>
      </x:c>
      <x:c r="G1136" s="2" t="str">
        <x:v>In-store</x:v>
      </x:c>
      <x:c r="H1136" s="7" t="n">
        <x:v>2</x:v>
      </x:c>
      <x:c r="I1136" s="9" t="n">
        <x:v>28000</x:v>
      </x:c>
      <x:c r="J1136" s="9" t="n">
        <x:v>17500</x:v>
      </x:c>
      <x:c r="K1136" s="10" t="n">
        <x:v>0.1</x:v>
      </x:c>
      <x:c r="L1136" s="2" t="str">
        <x:v>Completed</x:v>
      </x:c>
      <x:c r="M1136" s="12" t="n">
        <x:f>H1136*I1136</x:f>
        <x:v>56000</x:v>
      </x:c>
      <x:c r="N1136" s="12" t="n">
        <x:f>IF(L1136="Completed",ROUND(M1136*(1-K1136),2),0)</x:f>
        <x:v>50400</x:v>
      </x:c>
      <x:c r="O1136" s="12" t="n">
        <x:f>IF(L1136="Completed",H1136*J1136,0)</x:f>
        <x:v>35000</x:v>
      </x:c>
      <x:c r="P1136" s="12" t="n">
        <x:f>N1136-O1136</x:f>
        <x:v>15400</x:v>
      </x:c>
    </x:row>
    <x:row r="1137" ht="21" customHeight="1">
      <x:c r="A1137" s="7" t="n">
        <x:v>1132</x:v>
      </x:c>
      <x:c r="B1137" s="2" t="str">
        <x:v>TXN-01132</x:v>
      </x:c>
      <x:c r="C1137" s="8" t="d">
        <x:v>2025-10-13T00:00:00.000Z</x:v>
      </x:c>
      <x:c r="D1137" s="2" t="str">
        <x:v>Lagos</x:v>
      </x:c>
      <x:c r="E1137" s="2" t="str">
        <x:v>Home</x:v>
      </x:c>
      <x:c r="F1137" s="2" t="str">
        <x:v>Cookware set</x:v>
      </x:c>
      <x:c r="G1137" s="2" t="str">
        <x:v>Online</x:v>
      </x:c>
      <x:c r="H1137" s="7" t="n">
        <x:v>3</x:v>
      </x:c>
      <x:c r="I1137" s="9" t="n">
        <x:v>35000</x:v>
      </x:c>
      <x:c r="J1137" s="9" t="n">
        <x:v>22500</x:v>
      </x:c>
      <x:c r="K1137" s="10" t="n">
        <x:v>0.05</x:v>
      </x:c>
      <x:c r="L1137" s="2" t="str">
        <x:v>Completed</x:v>
      </x:c>
      <x:c r="M1137" s="12" t="n">
        <x:f>H1137*I1137</x:f>
        <x:v>105000</x:v>
      </x:c>
      <x:c r="N1137" s="12" t="n">
        <x:f>IF(L1137="Completed",ROUND(M1137*(1-K1137),2),0)</x:f>
        <x:v>99750</x:v>
      </x:c>
      <x:c r="O1137" s="12" t="n">
        <x:f>IF(L1137="Completed",H1137*J1137,0)</x:f>
        <x:v>67500</x:v>
      </x:c>
      <x:c r="P1137" s="12" t="n">
        <x:f>N1137-O1137</x:f>
        <x:v>32250</x:v>
      </x:c>
    </x:row>
    <x:row r="1138" ht="21" customHeight="1">
      <x:c r="A1138" s="7" t="n">
        <x:v>1133</x:v>
      </x:c>
      <x:c r="B1138" s="2" t="str">
        <x:v>TXN-01133</x:v>
      </x:c>
      <x:c r="C1138" s="8" t="d">
        <x:v>2025-10-01T00:00:00.000Z</x:v>
      </x:c>
      <x:c r="D1138" s="2" t="str">
        <x:v>Lagos</x:v>
      </x:c>
      <x:c r="E1138" s="2" t="str">
        <x:v>Beauty</x:v>
      </x:c>
      <x:c r="F1138" s="2" t="str">
        <x:v>Perfume</x:v>
      </x:c>
      <x:c r="G1138" s="2" t="str">
        <x:v>Online</x:v>
      </x:c>
      <x:c r="H1138" s="7" t="n">
        <x:v>1</x:v>
      </x:c>
      <x:c r="I1138" s="9" t="n">
        <x:v>17000</x:v>
      </x:c>
      <x:c r="J1138" s="9" t="n">
        <x:v>9000</x:v>
      </x:c>
      <x:c r="K1138" s="10" t="n">
        <x:v>0</x:v>
      </x:c>
      <x:c r="L1138" s="2" t="str">
        <x:v>Completed</x:v>
      </x:c>
      <x:c r="M1138" s="12" t="n">
        <x:f>H1138*I1138</x:f>
        <x:v>17000</x:v>
      </x:c>
      <x:c r="N1138" s="12" t="n">
        <x:f>IF(L1138="Completed",ROUND(M1138*(1-K1138),2),0)</x:f>
        <x:v>17000</x:v>
      </x:c>
      <x:c r="O1138" s="12" t="n">
        <x:f>IF(L1138="Completed",H1138*J1138,0)</x:f>
        <x:v>9000</x:v>
      </x:c>
      <x:c r="P1138" s="12" t="n">
        <x:f>N1138-O1138</x:f>
        <x:v>8000</x:v>
      </x:c>
    </x:row>
    <x:row r="1139" ht="21" customHeight="1">
      <x:c r="A1139" s="7" t="n">
        <x:v>1134</x:v>
      </x:c>
      <x:c r="B1139" s="2" t="str">
        <x:v>TXN-01134</x:v>
      </x:c>
      <x:c r="C1139" s="8" t="d">
        <x:v>2025-10-12T00:00:00.000Z</x:v>
      </x:c>
      <x:c r="D1139" s="2" t="str">
        <x:v>Lagos</x:v>
      </x:c>
      <x:c r="E1139" s="2" t="str">
        <x:v>Electronics</x:v>
      </x:c>
      <x:c r="F1139" s="2" t="str">
        <x:v>Power bank</x:v>
      </x:c>
      <x:c r="G1139" s="2" t="str">
        <x:v>Online</x:v>
      </x:c>
      <x:c r="H1139" s="7" t="n">
        <x:v>3</x:v>
      </x:c>
      <x:c r="I1139" s="9" t="n">
        <x:v>15000</x:v>
      </x:c>
      <x:c r="J1139" s="9" t="n">
        <x:v>9500</x:v>
      </x:c>
      <x:c r="K1139" s="10" t="n">
        <x:v>0</x:v>
      </x:c>
      <x:c r="L1139" s="2" t="str">
        <x:v>Completed</x:v>
      </x:c>
      <x:c r="M1139" s="12" t="n">
        <x:f>H1139*I1139</x:f>
        <x:v>45000</x:v>
      </x:c>
      <x:c r="N1139" s="12" t="n">
        <x:f>IF(L1139="Completed",ROUND(M1139*(1-K1139),2),0)</x:f>
        <x:v>45000</x:v>
      </x:c>
      <x:c r="O1139" s="12" t="n">
        <x:f>IF(L1139="Completed",H1139*J1139,0)</x:f>
        <x:v>28500</x:v>
      </x:c>
      <x:c r="P1139" s="12" t="n">
        <x:f>N1139-O1139</x:f>
        <x:v>16500</x:v>
      </x:c>
    </x:row>
    <x:row r="1140" ht="21" customHeight="1">
      <x:c r="A1140" s="7" t="n">
        <x:v>1135</x:v>
      </x:c>
      <x:c r="B1140" s="2" t="str">
        <x:v>TXN-01135</x:v>
      </x:c>
      <x:c r="C1140" s="8" t="d">
        <x:v>2025-10-17T00:00:00.000Z</x:v>
      </x:c>
      <x:c r="D1140" s="2" t="str">
        <x:v>Kano</x:v>
      </x:c>
      <x:c r="E1140" s="2" t="str">
        <x:v>Electronics</x:v>
      </x:c>
      <x:c r="F1140" s="2" t="str">
        <x:v>Power bank</x:v>
      </x:c>
      <x:c r="G1140" s="2" t="str">
        <x:v>Online</x:v>
      </x:c>
      <x:c r="H1140" s="7" t="n">
        <x:v>2</x:v>
      </x:c>
      <x:c r="I1140" s="9" t="n">
        <x:v>15000</x:v>
      </x:c>
      <x:c r="J1140" s="9" t="n">
        <x:v>9500</x:v>
      </x:c>
      <x:c r="K1140" s="10" t="n">
        <x:v>0</x:v>
      </x:c>
      <x:c r="L1140" s="2" t="str">
        <x:v>Completed</x:v>
      </x:c>
      <x:c r="M1140" s="12" t="n">
        <x:f>H1140*I1140</x:f>
        <x:v>30000</x:v>
      </x:c>
      <x:c r="N1140" s="12" t="n">
        <x:f>IF(L1140="Completed",ROUND(M1140*(1-K1140),2),0)</x:f>
        <x:v>30000</x:v>
      </x:c>
      <x:c r="O1140" s="12" t="n">
        <x:f>IF(L1140="Completed",H1140*J1140,0)</x:f>
        <x:v>19000</x:v>
      </x:c>
      <x:c r="P1140" s="12" t="n">
        <x:f>N1140-O1140</x:f>
        <x:v>11000</x:v>
      </x:c>
    </x:row>
    <x:row r="1141" ht="21" customHeight="1">
      <x:c r="A1141" s="7" t="n">
        <x:v>1136</x:v>
      </x:c>
      <x:c r="B1141" s="2" t="str">
        <x:v>TXN-01136</x:v>
      </x:c>
      <x:c r="C1141" s="8" t="d">
        <x:v>2025-10-15T00:00:00.000Z</x:v>
      </x:c>
      <x:c r="D1141" s="2" t="str">
        <x:v>Lagos</x:v>
      </x:c>
      <x:c r="E1141" s="2" t="str">
        <x:v>Fashion</x:v>
      </x:c>
      <x:c r="F1141" s="2" t="str">
        <x:v>Handbag</x:v>
      </x:c>
      <x:c r="G1141" s="2" t="str">
        <x:v>Online</x:v>
      </x:c>
      <x:c r="H1141" s="7" t="n">
        <x:v>1</x:v>
      </x:c>
      <x:c r="I1141" s="9" t="n">
        <x:v>22000</x:v>
      </x:c>
      <x:c r="J1141" s="9" t="n">
        <x:v>13500</x:v>
      </x:c>
      <x:c r="K1141" s="10" t="n">
        <x:v>0</x:v>
      </x:c>
      <x:c r="L1141" s="2" t="str">
        <x:v>Completed</x:v>
      </x:c>
      <x:c r="M1141" s="12" t="n">
        <x:f>H1141*I1141</x:f>
        <x:v>22000</x:v>
      </x:c>
      <x:c r="N1141" s="12" t="n">
        <x:f>IF(L1141="Completed",ROUND(M1141*(1-K1141),2),0)</x:f>
        <x:v>22000</x:v>
      </x:c>
      <x:c r="O1141" s="12" t="n">
        <x:f>IF(L1141="Completed",H1141*J1141,0)</x:f>
        <x:v>13500</x:v>
      </x:c>
      <x:c r="P1141" s="12" t="n">
        <x:f>N1141-O1141</x:f>
        <x:v>8500</x:v>
      </x:c>
    </x:row>
    <x:row r="1142" ht="21" customHeight="1">
      <x:c r="A1142" s="7" t="n">
        <x:v>1137</x:v>
      </x:c>
      <x:c r="B1142" s="2" t="str">
        <x:v>TXN-01137</x:v>
      </x:c>
      <x:c r="C1142" s="8" t="d">
        <x:v>2025-10-15T00:00:00.000Z</x:v>
      </x:c>
      <x:c r="D1142" s="2" t="str">
        <x:v>Port Harcourt</x:v>
      </x:c>
      <x:c r="E1142" s="2" t="str">
        <x:v>Beauty</x:v>
      </x:c>
      <x:c r="F1142" s="2" t="str">
        <x:v>Body wash</x:v>
      </x:c>
      <x:c r="G1142" s="2" t="str">
        <x:v>In-store</x:v>
      </x:c>
      <x:c r="H1142" s="7" t="n">
        <x:v>2</x:v>
      </x:c>
      <x:c r="I1142" s="9" t="n">
        <x:v>4500</x:v>
      </x:c>
      <x:c r="J1142" s="9" t="n">
        <x:v>2300</x:v>
      </x:c>
      <x:c r="K1142" s="10" t="n">
        <x:v>0</x:v>
      </x:c>
      <x:c r="L1142" s="2" t="str">
        <x:v>Completed</x:v>
      </x:c>
      <x:c r="M1142" s="12" t="n">
        <x:f>H1142*I1142</x:f>
        <x:v>9000</x:v>
      </x:c>
      <x:c r="N1142" s="12" t="n">
        <x:f>IF(L1142="Completed",ROUND(M1142*(1-K1142),2),0)</x:f>
        <x:v>9000</x:v>
      </x:c>
      <x:c r="O1142" s="12" t="n">
        <x:f>IF(L1142="Completed",H1142*J1142,0)</x:f>
        <x:v>4600</x:v>
      </x:c>
      <x:c r="P1142" s="12" t="n">
        <x:f>N1142-O1142</x:f>
        <x:v>4400</x:v>
      </x:c>
    </x:row>
    <x:row r="1143" ht="21" customHeight="1">
      <x:c r="A1143" s="7" t="n">
        <x:v>1138</x:v>
      </x:c>
      <x:c r="B1143" s="2" t="str">
        <x:v>TXN-01138</x:v>
      </x:c>
      <x:c r="C1143" s="8" t="d">
        <x:v>2025-10-18T00:00:00.000Z</x:v>
      </x:c>
      <x:c r="D1143" s="2" t="str">
        <x:v>Lagos</x:v>
      </x:c>
      <x:c r="E1143" s="2" t="str">
        <x:v>Home</x:v>
      </x:c>
      <x:c r="F1143" s="2" t="str">
        <x:v>Bedsheet</x:v>
      </x:c>
      <x:c r="G1143" s="2" t="str">
        <x:v>In-store</x:v>
      </x:c>
      <x:c r="H1143" s="7" t="n">
        <x:v>2</x:v>
      </x:c>
      <x:c r="I1143" s="9" t="n">
        <x:v>14000</x:v>
      </x:c>
      <x:c r="J1143" s="9" t="n">
        <x:v>8500</x:v>
      </x:c>
      <x:c r="K1143" s="10" t="n">
        <x:v>0</x:v>
      </x:c>
      <x:c r="L1143" s="2" t="str">
        <x:v>Completed</x:v>
      </x:c>
      <x:c r="M1143" s="12" t="n">
        <x:f>H1143*I1143</x:f>
        <x:v>28000</x:v>
      </x:c>
      <x:c r="N1143" s="12" t="n">
        <x:f>IF(L1143="Completed",ROUND(M1143*(1-K1143),2),0)</x:f>
        <x:v>28000</x:v>
      </x:c>
      <x:c r="O1143" s="12" t="n">
        <x:f>IF(L1143="Completed",H1143*J1143,0)</x:f>
        <x:v>17000</x:v>
      </x:c>
      <x:c r="P1143" s="12" t="n">
        <x:f>N1143-O1143</x:f>
        <x:v>11000</x:v>
      </x:c>
    </x:row>
    <x:row r="1144" ht="21" customHeight="1">
      <x:c r="A1144" s="7" t="n">
        <x:v>1139</x:v>
      </x:c>
      <x:c r="B1144" s="2" t="str">
        <x:v>TXN-01139</x:v>
      </x:c>
      <x:c r="C1144" s="8" t="d">
        <x:v>2025-10-06T00:00:00.000Z</x:v>
      </x:c>
      <x:c r="D1144" s="2" t="str">
        <x:v>Port Harcourt</x:v>
      </x:c>
      <x:c r="E1144" s="2" t="str">
        <x:v>Fashion</x:v>
      </x:c>
      <x:c r="F1144" s="2" t="str">
        <x:v>Sneakers</x:v>
      </x:c>
      <x:c r="G1144" s="2" t="str">
        <x:v>Online</x:v>
      </x:c>
      <x:c r="H1144" s="7" t="n">
        <x:v>1</x:v>
      </x:c>
      <x:c r="I1144" s="9" t="n">
        <x:v>28000</x:v>
      </x:c>
      <x:c r="J1144" s="9" t="n">
        <x:v>17500</x:v>
      </x:c>
      <x:c r="K1144" s="10" t="n">
        <x:v>0.15</x:v>
      </x:c>
      <x:c r="L1144" s="2" t="str">
        <x:v>Completed</x:v>
      </x:c>
      <x:c r="M1144" s="12" t="n">
        <x:f>H1144*I1144</x:f>
        <x:v>28000</x:v>
      </x:c>
      <x:c r="N1144" s="12" t="n">
        <x:f>IF(L1144="Completed",ROUND(M1144*(1-K1144),2),0)</x:f>
        <x:v>23800</x:v>
      </x:c>
      <x:c r="O1144" s="12" t="n">
        <x:f>IF(L1144="Completed",H1144*J1144,0)</x:f>
        <x:v>17500</x:v>
      </x:c>
      <x:c r="P1144" s="12" t="n">
        <x:f>N1144-O1144</x:f>
        <x:v>6300</x:v>
      </x:c>
    </x:row>
    <x:row r="1145" ht="21" customHeight="1">
      <x:c r="A1145" s="7" t="n">
        <x:v>1140</x:v>
      </x:c>
      <x:c r="B1145" s="2" t="str">
        <x:v>TXN-01140</x:v>
      </x:c>
      <x:c r="C1145" s="8" t="d">
        <x:v>2025-10-09T00:00:00.000Z</x:v>
      </x:c>
      <x:c r="D1145" s="2" t="str">
        <x:v>Abuja</x:v>
      </x:c>
      <x:c r="E1145" s="2" t="str">
        <x:v>Electronics</x:v>
      </x:c>
      <x:c r="F1145" s="2" t="str">
        <x:v>Bluetooth speaker</x:v>
      </x:c>
      <x:c r="G1145" s="2" t="str">
        <x:v>In-store</x:v>
      </x:c>
      <x:c r="H1145" s="7" t="n">
        <x:v>2</x:v>
      </x:c>
      <x:c r="I1145" s="9" t="n">
        <x:v>26000</x:v>
      </x:c>
      <x:c r="J1145" s="9" t="n">
        <x:v>17000</x:v>
      </x:c>
      <x:c r="K1145" s="10" t="n">
        <x:v>0.1</x:v>
      </x:c>
      <x:c r="L1145" s="2" t="str">
        <x:v>Completed</x:v>
      </x:c>
      <x:c r="M1145" s="12" t="n">
        <x:f>H1145*I1145</x:f>
        <x:v>52000</x:v>
      </x:c>
      <x:c r="N1145" s="12" t="n">
        <x:f>IF(L1145="Completed",ROUND(M1145*(1-K1145),2),0)</x:f>
        <x:v>46800</x:v>
      </x:c>
      <x:c r="O1145" s="12" t="n">
        <x:f>IF(L1145="Completed",H1145*J1145,0)</x:f>
        <x:v>34000</x:v>
      </x:c>
      <x:c r="P1145" s="12" t="n">
        <x:f>N1145-O1145</x:f>
        <x:v>12800</x:v>
      </x:c>
    </x:row>
    <x:row r="1146" ht="21" customHeight="1">
      <x:c r="A1146" s="7" t="n">
        <x:v>1141</x:v>
      </x:c>
      <x:c r="B1146" s="2" t="str">
        <x:v>TXN-01141</x:v>
      </x:c>
      <x:c r="C1146" s="8" t="d">
        <x:v>2025-10-15T00:00:00.000Z</x:v>
      </x:c>
      <x:c r="D1146" s="2" t="str">
        <x:v>Abuja</x:v>
      </x:c>
      <x:c r="E1146" s="2" t="str">
        <x:v>Home</x:v>
      </x:c>
      <x:c r="F1146" s="2" t="str">
        <x:v>Cookware set</x:v>
      </x:c>
      <x:c r="G1146" s="2" t="str">
        <x:v>Online</x:v>
      </x:c>
      <x:c r="H1146" s="7" t="n">
        <x:v>1</x:v>
      </x:c>
      <x:c r="I1146" s="9" t="n">
        <x:v>35000</x:v>
      </x:c>
      <x:c r="J1146" s="9" t="n">
        <x:v>22500</x:v>
      </x:c>
      <x:c r="K1146" s="10" t="n">
        <x:v>0</x:v>
      </x:c>
      <x:c r="L1146" s="2" t="str">
        <x:v>Completed</x:v>
      </x:c>
      <x:c r="M1146" s="12" t="n">
        <x:f>H1146*I1146</x:f>
        <x:v>35000</x:v>
      </x:c>
      <x:c r="N1146" s="12" t="n">
        <x:f>IF(L1146="Completed",ROUND(M1146*(1-K1146),2),0)</x:f>
        <x:v>35000</x:v>
      </x:c>
      <x:c r="O1146" s="12" t="n">
        <x:f>IF(L1146="Completed",H1146*J1146,0)</x:f>
        <x:v>22500</x:v>
      </x:c>
      <x:c r="P1146" s="12" t="n">
        <x:f>N1146-O1146</x:f>
        <x:v>12500</x:v>
      </x:c>
    </x:row>
    <x:row r="1147" ht="21" customHeight="1">
      <x:c r="A1147" s="7" t="n">
        <x:v>1142</x:v>
      </x:c>
      <x:c r="B1147" s="2" t="str">
        <x:v>TXN-01142</x:v>
      </x:c>
      <x:c r="C1147" s="8" t="d">
        <x:v>2025-10-28T00:00:00.000Z</x:v>
      </x:c>
      <x:c r="D1147" s="2" t="str">
        <x:v>Abuja</x:v>
      </x:c>
      <x:c r="E1147" s="2" t="str">
        <x:v>Electronics</x:v>
      </x:c>
      <x:c r="F1147" s="2" t="str">
        <x:v>Bluetooth speaker</x:v>
      </x:c>
      <x:c r="G1147" s="2" t="str">
        <x:v>Online</x:v>
      </x:c>
      <x:c r="H1147" s="7" t="n">
        <x:v>1</x:v>
      </x:c>
      <x:c r="I1147" s="9" t="n">
        <x:v>26000</x:v>
      </x:c>
      <x:c r="J1147" s="9" t="n">
        <x:v>17000</x:v>
      </x:c>
      <x:c r="K1147" s="10" t="n">
        <x:v>0.05</x:v>
      </x:c>
      <x:c r="L1147" s="2" t="str">
        <x:v>Returned</x:v>
      </x:c>
      <x:c r="M1147" s="12" t="n">
        <x:f>H1147*I1147</x:f>
        <x:v>26000</x:v>
      </x:c>
      <x:c r="N1147" s="12" t="n">
        <x:f>IF(L1147="Completed",ROUND(M1147*(1-K1147),2),0)</x:f>
        <x:v>0</x:v>
      </x:c>
      <x:c r="O1147" s="12" t="n">
        <x:f>IF(L1147="Completed",H1147*J1147,0)</x:f>
        <x:v>0</x:v>
      </x:c>
      <x:c r="P1147" s="12" t="n">
        <x:f>N1147-O1147</x:f>
        <x:v>0</x:v>
      </x:c>
    </x:row>
    <x:row r="1148" ht="21" customHeight="1">
      <x:c r="A1148" s="7" t="n">
        <x:v>1143</x:v>
      </x:c>
      <x:c r="B1148" s="2" t="str">
        <x:v>TXN-01143</x:v>
      </x:c>
      <x:c r="C1148" s="8" t="d">
        <x:v>2025-10-07T00:00:00.000Z</x:v>
      </x:c>
      <x:c r="D1148" s="2" t="str">
        <x:v>Lagos</x:v>
      </x:c>
      <x:c r="E1148" s="2" t="str">
        <x:v>Electronics</x:v>
      </x:c>
      <x:c r="F1148" s="2" t="str">
        <x:v>Bluetooth speaker</x:v>
      </x:c>
      <x:c r="G1148" s="2" t="str">
        <x:v>Online</x:v>
      </x:c>
      <x:c r="H1148" s="7" t="n">
        <x:v>2</x:v>
      </x:c>
      <x:c r="I1148" s="9" t="n">
        <x:v>26000</x:v>
      </x:c>
      <x:c r="J1148" s="9" t="n">
        <x:v>17000</x:v>
      </x:c>
      <x:c r="K1148" s="10" t="n">
        <x:v>0.1</x:v>
      </x:c>
      <x:c r="L1148" s="2" t="str">
        <x:v>Completed</x:v>
      </x:c>
      <x:c r="M1148" s="12" t="n">
        <x:f>H1148*I1148</x:f>
        <x:v>52000</x:v>
      </x:c>
      <x:c r="N1148" s="12" t="n">
        <x:f>IF(L1148="Completed",ROUND(M1148*(1-K1148),2),0)</x:f>
        <x:v>46800</x:v>
      </x:c>
      <x:c r="O1148" s="12" t="n">
        <x:f>IF(L1148="Completed",H1148*J1148,0)</x:f>
        <x:v>34000</x:v>
      </x:c>
      <x:c r="P1148" s="12" t="n">
        <x:f>N1148-O1148</x:f>
        <x:v>12800</x:v>
      </x:c>
    </x:row>
    <x:row r="1149" ht="21" customHeight="1">
      <x:c r="A1149" s="7" t="n">
        <x:v>1144</x:v>
      </x:c>
      <x:c r="B1149" s="2" t="str">
        <x:v>TXN-01144</x:v>
      </x:c>
      <x:c r="C1149" s="8" t="d">
        <x:v>2025-10-25T00:00:00.000Z</x:v>
      </x:c>
      <x:c r="D1149" s="2" t="str">
        <x:v>Lagos</x:v>
      </x:c>
      <x:c r="E1149" s="2" t="str">
        <x:v>Electronics</x:v>
      </x:c>
      <x:c r="F1149" s="2" t="str">
        <x:v>Power bank</x:v>
      </x:c>
      <x:c r="G1149" s="2" t="str">
        <x:v>Online</x:v>
      </x:c>
      <x:c r="H1149" s="7" t="n">
        <x:v>2</x:v>
      </x:c>
      <x:c r="I1149" s="9" t="n">
        <x:v>15000</x:v>
      </x:c>
      <x:c r="J1149" s="9" t="n">
        <x:v>9500</x:v>
      </x:c>
      <x:c r="K1149" s="10" t="n">
        <x:v>0.1</x:v>
      </x:c>
      <x:c r="L1149" s="2" t="str">
        <x:v>Completed</x:v>
      </x:c>
      <x:c r="M1149" s="12" t="n">
        <x:f>H1149*I1149</x:f>
        <x:v>30000</x:v>
      </x:c>
      <x:c r="N1149" s="12" t="n">
        <x:f>IF(L1149="Completed",ROUND(M1149*(1-K1149),2),0)</x:f>
        <x:v>27000</x:v>
      </x:c>
      <x:c r="O1149" s="12" t="n">
        <x:f>IF(L1149="Completed",H1149*J1149,0)</x:f>
        <x:v>19000</x:v>
      </x:c>
      <x:c r="P1149" s="12" t="n">
        <x:f>N1149-O1149</x:f>
        <x:v>8000</x:v>
      </x:c>
    </x:row>
    <x:row r="1150" ht="21" customHeight="1">
      <x:c r="A1150" s="7" t="n">
        <x:v>1145</x:v>
      </x:c>
      <x:c r="B1150" s="2" t="str">
        <x:v>TXN-01145</x:v>
      </x:c>
      <x:c r="C1150" s="8" t="d">
        <x:v>2025-10-21T00:00:00.000Z</x:v>
      </x:c>
      <x:c r="D1150" s="2" t="str">
        <x:v>Abuja</x:v>
      </x:c>
      <x:c r="E1150" s="2" t="str">
        <x:v>Beauty</x:v>
      </x:c>
      <x:c r="F1150" s="2" t="str">
        <x:v>Moisturizer</x:v>
      </x:c>
      <x:c r="G1150" s="2" t="str">
        <x:v>In-store</x:v>
      </x:c>
      <x:c r="H1150" s="7" t="n">
        <x:v>3</x:v>
      </x:c>
      <x:c r="I1150" s="9" t="n">
        <x:v>6500</x:v>
      </x:c>
      <x:c r="J1150" s="9" t="n">
        <x:v>3500</x:v>
      </x:c>
      <x:c r="K1150" s="10" t="n">
        <x:v>0.05</x:v>
      </x:c>
      <x:c r="L1150" s="2" t="str">
        <x:v>Completed</x:v>
      </x:c>
      <x:c r="M1150" s="12" t="n">
        <x:f>H1150*I1150</x:f>
        <x:v>19500</x:v>
      </x:c>
      <x:c r="N1150" s="12" t="n">
        <x:f>IF(L1150="Completed",ROUND(M1150*(1-K1150),2),0)</x:f>
        <x:v>18525</x:v>
      </x:c>
      <x:c r="O1150" s="12" t="n">
        <x:f>IF(L1150="Completed",H1150*J1150,0)</x:f>
        <x:v>10500</x:v>
      </x:c>
      <x:c r="P1150" s="12" t="n">
        <x:f>N1150-O1150</x:f>
        <x:v>8025</x:v>
      </x:c>
    </x:row>
    <x:row r="1151" ht="21" customHeight="1">
      <x:c r="A1151" s="7" t="n">
        <x:v>1146</x:v>
      </x:c>
      <x:c r="B1151" s="2" t="str">
        <x:v>TXN-01146</x:v>
      </x:c>
      <x:c r="C1151" s="8" t="d">
        <x:v>2025-10-11T00:00:00.000Z</x:v>
      </x:c>
      <x:c r="D1151" s="2" t="str">
        <x:v>Lagos</x:v>
      </x:c>
      <x:c r="E1151" s="2" t="str">
        <x:v>Home</x:v>
      </x:c>
      <x:c r="F1151" s="2" t="str">
        <x:v>Desk lamp</x:v>
      </x:c>
      <x:c r="G1151" s="2" t="str">
        <x:v>In-store</x:v>
      </x:c>
      <x:c r="H1151" s="7" t="n">
        <x:v>2</x:v>
      </x:c>
      <x:c r="I1151" s="9" t="n">
        <x:v>12000</x:v>
      </x:c>
      <x:c r="J1151" s="9" t="n">
        <x:v>7200</x:v>
      </x:c>
      <x:c r="K1151" s="10" t="n">
        <x:v>0.05</x:v>
      </x:c>
      <x:c r="L1151" s="2" t="str">
        <x:v>Completed</x:v>
      </x:c>
      <x:c r="M1151" s="12" t="n">
        <x:f>H1151*I1151</x:f>
        <x:v>24000</x:v>
      </x:c>
      <x:c r="N1151" s="12" t="n">
        <x:f>IF(L1151="Completed",ROUND(M1151*(1-K1151),2),0)</x:f>
        <x:v>22800</x:v>
      </x:c>
      <x:c r="O1151" s="12" t="n">
        <x:f>IF(L1151="Completed",H1151*J1151,0)</x:f>
        <x:v>14400</x:v>
      </x:c>
      <x:c r="P1151" s="12" t="n">
        <x:f>N1151-O1151</x:f>
        <x:v>8400</x:v>
      </x:c>
    </x:row>
    <x:row r="1152" ht="21" customHeight="1">
      <x:c r="A1152" s="7" t="n">
        <x:v>1147</x:v>
      </x:c>
      <x:c r="B1152" s="2" t="str">
        <x:v>TXN-01147</x:v>
      </x:c>
      <x:c r="C1152" s="8" t="d">
        <x:v>2025-10-09T00:00:00.000Z</x:v>
      </x:c>
      <x:c r="D1152" s="2" t="str">
        <x:v>Abuja</x:v>
      </x:c>
      <x:c r="E1152" s="2" t="str">
        <x:v>Fashion</x:v>
      </x:c>
      <x:c r="F1152" s="2" t="str">
        <x:v>Sneakers</x:v>
      </x:c>
      <x:c r="G1152" s="2" t="str">
        <x:v>In-store</x:v>
      </x:c>
      <x:c r="H1152" s="7" t="n">
        <x:v>3</x:v>
      </x:c>
      <x:c r="I1152" s="9" t="n">
        <x:v>28000</x:v>
      </x:c>
      <x:c r="J1152" s="9" t="n">
        <x:v>17500</x:v>
      </x:c>
      <x:c r="K1152" s="10" t="n">
        <x:v>0</x:v>
      </x:c>
      <x:c r="L1152" s="2" t="str">
        <x:v>Completed</x:v>
      </x:c>
      <x:c r="M1152" s="12" t="n">
        <x:f>H1152*I1152</x:f>
        <x:v>84000</x:v>
      </x:c>
      <x:c r="N1152" s="12" t="n">
        <x:f>IF(L1152="Completed",ROUND(M1152*(1-K1152),2),0)</x:f>
        <x:v>84000</x:v>
      </x:c>
      <x:c r="O1152" s="12" t="n">
        <x:f>IF(L1152="Completed",H1152*J1152,0)</x:f>
        <x:v>52500</x:v>
      </x:c>
      <x:c r="P1152" s="12" t="n">
        <x:f>N1152-O1152</x:f>
        <x:v>31500</x:v>
      </x:c>
    </x:row>
    <x:row r="1153" ht="21" customHeight="1">
      <x:c r="A1153" s="7" t="n">
        <x:v>1148</x:v>
      </x:c>
      <x:c r="B1153" s="2" t="str">
        <x:v>TXN-01148</x:v>
      </x:c>
      <x:c r="C1153" s="8" t="d">
        <x:v>2025-10-14T00:00:00.000Z</x:v>
      </x:c>
      <x:c r="D1153" s="2" t="str">
        <x:v>Lagos</x:v>
      </x:c>
      <x:c r="E1153" s="2" t="str">
        <x:v>Beauty</x:v>
      </x:c>
      <x:c r="F1153" s="2" t="str">
        <x:v>Body wash</x:v>
      </x:c>
      <x:c r="G1153" s="2" t="str">
        <x:v>Online</x:v>
      </x:c>
      <x:c r="H1153" s="7" t="n">
        <x:v>2</x:v>
      </x:c>
      <x:c r="I1153" s="9" t="n">
        <x:v>4500</x:v>
      </x:c>
      <x:c r="J1153" s="9" t="n">
        <x:v>2300</x:v>
      </x:c>
      <x:c r="K1153" s="10" t="n">
        <x:v>0</x:v>
      </x:c>
      <x:c r="L1153" s="2" t="str">
        <x:v>Completed</x:v>
      </x:c>
      <x:c r="M1153" s="12" t="n">
        <x:f>H1153*I1153</x:f>
        <x:v>9000</x:v>
      </x:c>
      <x:c r="N1153" s="12" t="n">
        <x:f>IF(L1153="Completed",ROUND(M1153*(1-K1153),2),0)</x:f>
        <x:v>9000</x:v>
      </x:c>
      <x:c r="O1153" s="12" t="n">
        <x:f>IF(L1153="Completed",H1153*J1153,0)</x:f>
        <x:v>4600</x:v>
      </x:c>
      <x:c r="P1153" s="12" t="n">
        <x:f>N1153-O1153</x:f>
        <x:v>4400</x:v>
      </x:c>
    </x:row>
    <x:row r="1154" ht="21" customHeight="1">
      <x:c r="A1154" s="7" t="n">
        <x:v>1149</x:v>
      </x:c>
      <x:c r="B1154" s="2" t="str">
        <x:v>TXN-01149</x:v>
      </x:c>
      <x:c r="C1154" s="8" t="d">
        <x:v>2025-10-29T00:00:00.000Z</x:v>
      </x:c>
      <x:c r="D1154" s="2" t="str">
        <x:v>Lagos</x:v>
      </x:c>
      <x:c r="E1154" s="2" t="str">
        <x:v>Fashion</x:v>
      </x:c>
      <x:c r="F1154" s="2" t="str">
        <x:v>T-shirt</x:v>
      </x:c>
      <x:c r="G1154" s="2" t="str">
        <x:v>In-store</x:v>
      </x:c>
      <x:c r="H1154" s="7" t="n">
        <x:v>1</x:v>
      </x:c>
      <x:c r="I1154" s="9" t="n">
        <x:v>9000</x:v>
      </x:c>
      <x:c r="J1154" s="9" t="n">
        <x:v>5000</x:v>
      </x:c>
      <x:c r="K1154" s="10" t="n">
        <x:v>0.05</x:v>
      </x:c>
      <x:c r="L1154" s="2" t="str">
        <x:v>Completed</x:v>
      </x:c>
      <x:c r="M1154" s="12" t="n">
        <x:f>H1154*I1154</x:f>
        <x:v>9000</x:v>
      </x:c>
      <x:c r="N1154" s="12" t="n">
        <x:f>IF(L1154="Completed",ROUND(M1154*(1-K1154),2),0)</x:f>
        <x:v>8550</x:v>
      </x:c>
      <x:c r="O1154" s="12" t="n">
        <x:f>IF(L1154="Completed",H1154*J1154,0)</x:f>
        <x:v>5000</x:v>
      </x:c>
      <x:c r="P1154" s="12" t="n">
        <x:f>N1154-O1154</x:f>
        <x:v>3550</x:v>
      </x:c>
    </x:row>
    <x:row r="1155" ht="21" customHeight="1">
      <x:c r="A1155" s="7" t="n">
        <x:v>1150</x:v>
      </x:c>
      <x:c r="B1155" s="2" t="str">
        <x:v>TXN-01150</x:v>
      </x:c>
      <x:c r="C1155" s="8" t="d">
        <x:v>2025-10-27T00:00:00.000Z</x:v>
      </x:c>
      <x:c r="D1155" s="2" t="str">
        <x:v>Abuja</x:v>
      </x:c>
      <x:c r="E1155" s="2" t="str">
        <x:v>Electronics</x:v>
      </x:c>
      <x:c r="F1155" s="2" t="str">
        <x:v>Headphones</x:v>
      </x:c>
      <x:c r="G1155" s="2" t="str">
        <x:v>In-store</x:v>
      </x:c>
      <x:c r="H1155" s="7" t="n">
        <x:v>3</x:v>
      </x:c>
      <x:c r="I1155" s="9" t="n">
        <x:v>18000</x:v>
      </x:c>
      <x:c r="J1155" s="9" t="n">
        <x:v>10500</x:v>
      </x:c>
      <x:c r="K1155" s="10" t="n">
        <x:v>0</x:v>
      </x:c>
      <x:c r="L1155" s="2" t="str">
        <x:v>Completed</x:v>
      </x:c>
      <x:c r="M1155" s="12" t="n">
        <x:f>H1155*I1155</x:f>
        <x:v>54000</x:v>
      </x:c>
      <x:c r="N1155" s="12" t="n">
        <x:f>IF(L1155="Completed",ROUND(M1155*(1-K1155),2),0)</x:f>
        <x:v>54000</x:v>
      </x:c>
      <x:c r="O1155" s="12" t="n">
        <x:f>IF(L1155="Completed",H1155*J1155,0)</x:f>
        <x:v>31500</x:v>
      </x:c>
      <x:c r="P1155" s="12" t="n">
        <x:f>N1155-O1155</x:f>
        <x:v>22500</x:v>
      </x:c>
    </x:row>
    <x:row r="1156" ht="21" customHeight="1">
      <x:c r="A1156" s="7" t="n">
        <x:v>1151</x:v>
      </x:c>
      <x:c r="B1156" s="2" t="str">
        <x:v>TXN-01151</x:v>
      </x:c>
      <x:c r="C1156" s="8" t="d">
        <x:v>2025-10-07T00:00:00.000Z</x:v>
      </x:c>
      <x:c r="D1156" s="2" t="str">
        <x:v>Lagos</x:v>
      </x:c>
      <x:c r="E1156" s="2" t="str">
        <x:v>Fashion</x:v>
      </x:c>
      <x:c r="F1156" s="2" t="str">
        <x:v>Sneakers</x:v>
      </x:c>
      <x:c r="G1156" s="2" t="str">
        <x:v>Online</x:v>
      </x:c>
      <x:c r="H1156" s="7" t="n">
        <x:v>1</x:v>
      </x:c>
      <x:c r="I1156" s="9" t="n">
        <x:v>28000</x:v>
      </x:c>
      <x:c r="J1156" s="9" t="n">
        <x:v>17500</x:v>
      </x:c>
      <x:c r="K1156" s="10" t="n">
        <x:v>0</x:v>
      </x:c>
      <x:c r="L1156" s="2" t="str">
        <x:v>Completed</x:v>
      </x:c>
      <x:c r="M1156" s="12" t="n">
        <x:f>H1156*I1156</x:f>
        <x:v>28000</x:v>
      </x:c>
      <x:c r="N1156" s="12" t="n">
        <x:f>IF(L1156="Completed",ROUND(M1156*(1-K1156),2),0)</x:f>
        <x:v>28000</x:v>
      </x:c>
      <x:c r="O1156" s="12" t="n">
        <x:f>IF(L1156="Completed",H1156*J1156,0)</x:f>
        <x:v>17500</x:v>
      </x:c>
      <x:c r="P1156" s="12" t="n">
        <x:f>N1156-O1156</x:f>
        <x:v>10500</x:v>
      </x:c>
    </x:row>
    <x:row r="1157" ht="21" customHeight="1">
      <x:c r="A1157" s="7" t="n">
        <x:v>1152</x:v>
      </x:c>
      <x:c r="B1157" s="2" t="str">
        <x:v>TXN-01152</x:v>
      </x:c>
      <x:c r="C1157" s="8" t="d">
        <x:v>2025-10-21T00:00:00.000Z</x:v>
      </x:c>
      <x:c r="D1157" s="2" t="str">
        <x:v>Abuja</x:v>
      </x:c>
      <x:c r="E1157" s="2" t="str">
        <x:v>Electronics</x:v>
      </x:c>
      <x:c r="F1157" s="2" t="str">
        <x:v>Headphones</x:v>
      </x:c>
      <x:c r="G1157" s="2" t="str">
        <x:v>Online</x:v>
      </x:c>
      <x:c r="H1157" s="7" t="n">
        <x:v>3</x:v>
      </x:c>
      <x:c r="I1157" s="9" t="n">
        <x:v>18000</x:v>
      </x:c>
      <x:c r="J1157" s="9" t="n">
        <x:v>10500</x:v>
      </x:c>
      <x:c r="K1157" s="10" t="n">
        <x:v>0.1</x:v>
      </x:c>
      <x:c r="L1157" s="2" t="str">
        <x:v>Completed</x:v>
      </x:c>
      <x:c r="M1157" s="12" t="n">
        <x:f>H1157*I1157</x:f>
        <x:v>54000</x:v>
      </x:c>
      <x:c r="N1157" s="12" t="n">
        <x:f>IF(L1157="Completed",ROUND(M1157*(1-K1157),2),0)</x:f>
        <x:v>48600</x:v>
      </x:c>
      <x:c r="O1157" s="12" t="n">
        <x:f>IF(L1157="Completed",H1157*J1157,0)</x:f>
        <x:v>31500</x:v>
      </x:c>
      <x:c r="P1157" s="12" t="n">
        <x:f>N1157-O1157</x:f>
        <x:v>17100</x:v>
      </x:c>
    </x:row>
    <x:row r="1158" ht="21" customHeight="1">
      <x:c r="A1158" s="7" t="n">
        <x:v>1153</x:v>
      </x:c>
      <x:c r="B1158" s="2" t="str">
        <x:v>TXN-01153</x:v>
      </x:c>
      <x:c r="C1158" s="8" t="d">
        <x:v>2025-10-03T00:00:00.000Z</x:v>
      </x:c>
      <x:c r="D1158" s="2" t="str">
        <x:v>Lagos</x:v>
      </x:c>
      <x:c r="E1158" s="2" t="str">
        <x:v>Electronics</x:v>
      </x:c>
      <x:c r="F1158" s="2" t="str">
        <x:v>Headphones</x:v>
      </x:c>
      <x:c r="G1158" s="2" t="str">
        <x:v>Online</x:v>
      </x:c>
      <x:c r="H1158" s="7" t="n">
        <x:v>1</x:v>
      </x:c>
      <x:c r="I1158" s="9" t="n">
        <x:v>18000</x:v>
      </x:c>
      <x:c r="J1158" s="9" t="n">
        <x:v>10500</x:v>
      </x:c>
      <x:c r="K1158" s="10" t="n">
        <x:v>0</x:v>
      </x:c>
      <x:c r="L1158" s="2" t="str">
        <x:v>Completed</x:v>
      </x:c>
      <x:c r="M1158" s="12" t="n">
        <x:f>H1158*I1158</x:f>
        <x:v>18000</x:v>
      </x:c>
      <x:c r="N1158" s="12" t="n">
        <x:f>IF(L1158="Completed",ROUND(M1158*(1-K1158),2),0)</x:f>
        <x:v>18000</x:v>
      </x:c>
      <x:c r="O1158" s="12" t="n">
        <x:f>IF(L1158="Completed",H1158*J1158,0)</x:f>
        <x:v>10500</x:v>
      </x:c>
      <x:c r="P1158" s="12" t="n">
        <x:f>N1158-O1158</x:f>
        <x:v>7500</x:v>
      </x:c>
    </x:row>
    <x:row r="1159" ht="21" customHeight="1">
      <x:c r="A1159" s="7" t="n">
        <x:v>1154</x:v>
      </x:c>
      <x:c r="B1159" s="2" t="str">
        <x:v>TXN-01154</x:v>
      </x:c>
      <x:c r="C1159" s="8" t="d">
        <x:v>2025-10-25T00:00:00.000Z</x:v>
      </x:c>
      <x:c r="D1159" s="2" t="str">
        <x:v>Lagos</x:v>
      </x:c>
      <x:c r="E1159" s="2" t="str">
        <x:v>Fashion</x:v>
      </x:c>
      <x:c r="F1159" s="2" t="str">
        <x:v>T-shirt</x:v>
      </x:c>
      <x:c r="G1159" s="2" t="str">
        <x:v>Online</x:v>
      </x:c>
      <x:c r="H1159" s="7" t="n">
        <x:v>2</x:v>
      </x:c>
      <x:c r="I1159" s="9" t="n">
        <x:v>9000</x:v>
      </x:c>
      <x:c r="J1159" s="9" t="n">
        <x:v>5000</x:v>
      </x:c>
      <x:c r="K1159" s="10" t="n">
        <x:v>0</x:v>
      </x:c>
      <x:c r="L1159" s="2" t="str">
        <x:v>Completed</x:v>
      </x:c>
      <x:c r="M1159" s="12" t="n">
        <x:f>H1159*I1159</x:f>
        <x:v>18000</x:v>
      </x:c>
      <x:c r="N1159" s="12" t="n">
        <x:f>IF(L1159="Completed",ROUND(M1159*(1-K1159),2),0)</x:f>
        <x:v>18000</x:v>
      </x:c>
      <x:c r="O1159" s="12" t="n">
        <x:f>IF(L1159="Completed",H1159*J1159,0)</x:f>
        <x:v>10000</x:v>
      </x:c>
      <x:c r="P1159" s="12" t="n">
        <x:f>N1159-O1159</x:f>
        <x:v>8000</x:v>
      </x:c>
    </x:row>
    <x:row r="1160" ht="21" customHeight="1">
      <x:c r="A1160" s="7" t="n">
        <x:v>1155</x:v>
      </x:c>
      <x:c r="B1160" s="2" t="str">
        <x:v>TXN-01155</x:v>
      </x:c>
      <x:c r="C1160" s="8" t="d">
        <x:v>2025-10-19T00:00:00.000Z</x:v>
      </x:c>
      <x:c r="D1160" s="2" t="str">
        <x:v>Lagos</x:v>
      </x:c>
      <x:c r="E1160" s="2" t="str">
        <x:v>Fashion</x:v>
      </x:c>
      <x:c r="F1160" s="2" t="str">
        <x:v>Handbag</x:v>
      </x:c>
      <x:c r="G1160" s="2" t="str">
        <x:v>In-store</x:v>
      </x:c>
      <x:c r="H1160" s="7" t="n">
        <x:v>2</x:v>
      </x:c>
      <x:c r="I1160" s="9" t="n">
        <x:v>22000</x:v>
      </x:c>
      <x:c r="J1160" s="9" t="n">
        <x:v>13500</x:v>
      </x:c>
      <x:c r="K1160" s="10" t="n">
        <x:v>0.1</x:v>
      </x:c>
      <x:c r="L1160" s="2" t="str">
        <x:v>Completed</x:v>
      </x:c>
      <x:c r="M1160" s="12" t="n">
        <x:f>H1160*I1160</x:f>
        <x:v>44000</x:v>
      </x:c>
      <x:c r="N1160" s="12" t="n">
        <x:f>IF(L1160="Completed",ROUND(M1160*(1-K1160),2),0)</x:f>
        <x:v>39600</x:v>
      </x:c>
      <x:c r="O1160" s="12" t="n">
        <x:f>IF(L1160="Completed",H1160*J1160,0)</x:f>
        <x:v>27000</x:v>
      </x:c>
      <x:c r="P1160" s="12" t="n">
        <x:f>N1160-O1160</x:f>
        <x:v>12600</x:v>
      </x:c>
    </x:row>
    <x:row r="1161" ht="21" customHeight="1">
      <x:c r="A1161" s="7" t="n">
        <x:v>1156</x:v>
      </x:c>
      <x:c r="B1161" s="2" t="str">
        <x:v>TXN-01156</x:v>
      </x:c>
      <x:c r="C1161" s="8" t="d">
        <x:v>2025-10-05T00:00:00.000Z</x:v>
      </x:c>
      <x:c r="D1161" s="2" t="str">
        <x:v>Lagos</x:v>
      </x:c>
      <x:c r="E1161" s="2" t="str">
        <x:v>Home</x:v>
      </x:c>
      <x:c r="F1161" s="2" t="str">
        <x:v>Desk lamp</x:v>
      </x:c>
      <x:c r="G1161" s="2" t="str">
        <x:v>Online</x:v>
      </x:c>
      <x:c r="H1161" s="7" t="n">
        <x:v>1</x:v>
      </x:c>
      <x:c r="I1161" s="9" t="n">
        <x:v>12000</x:v>
      </x:c>
      <x:c r="J1161" s="9" t="n">
        <x:v>7200</x:v>
      </x:c>
      <x:c r="K1161" s="10" t="n">
        <x:v>0</x:v>
      </x:c>
      <x:c r="L1161" s="2" t="str">
        <x:v>Completed</x:v>
      </x:c>
      <x:c r="M1161" s="12" t="n">
        <x:f>H1161*I1161</x:f>
        <x:v>12000</x:v>
      </x:c>
      <x:c r="N1161" s="12" t="n">
        <x:f>IF(L1161="Completed",ROUND(M1161*(1-K1161),2),0)</x:f>
        <x:v>12000</x:v>
      </x:c>
      <x:c r="O1161" s="12" t="n">
        <x:f>IF(L1161="Completed",H1161*J1161,0)</x:f>
        <x:v>7200</x:v>
      </x:c>
      <x:c r="P1161" s="12" t="n">
        <x:f>N1161-O1161</x:f>
        <x:v>4800</x:v>
      </x:c>
    </x:row>
    <x:row r="1162" ht="21" customHeight="1">
      <x:c r="A1162" s="7" t="n">
        <x:v>1157</x:v>
      </x:c>
      <x:c r="B1162" s="2" t="str">
        <x:v>TXN-01157</x:v>
      </x:c>
      <x:c r="C1162" s="8" t="d">
        <x:v>2025-10-28T00:00:00.000Z</x:v>
      </x:c>
      <x:c r="D1162" s="2" t="str">
        <x:v>Lagos</x:v>
      </x:c>
      <x:c r="E1162" s="2" t="str">
        <x:v>Electronics</x:v>
      </x:c>
      <x:c r="F1162" s="2" t="str">
        <x:v>Bluetooth speaker</x:v>
      </x:c>
      <x:c r="G1162" s="2" t="str">
        <x:v>Online</x:v>
      </x:c>
      <x:c r="H1162" s="7" t="n">
        <x:v>1</x:v>
      </x:c>
      <x:c r="I1162" s="9" t="n">
        <x:v>26000</x:v>
      </x:c>
      <x:c r="J1162" s="9" t="n">
        <x:v>17000</x:v>
      </x:c>
      <x:c r="K1162" s="10" t="n">
        <x:v>0.1</x:v>
      </x:c>
      <x:c r="L1162" s="2" t="str">
        <x:v>Completed</x:v>
      </x:c>
      <x:c r="M1162" s="12" t="n">
        <x:f>H1162*I1162</x:f>
        <x:v>26000</x:v>
      </x:c>
      <x:c r="N1162" s="12" t="n">
        <x:f>IF(L1162="Completed",ROUND(M1162*(1-K1162),2),0)</x:f>
        <x:v>23400</x:v>
      </x:c>
      <x:c r="O1162" s="12" t="n">
        <x:f>IF(L1162="Completed",H1162*J1162,0)</x:f>
        <x:v>17000</x:v>
      </x:c>
      <x:c r="P1162" s="12" t="n">
        <x:f>N1162-O1162</x:f>
        <x:v>6400</x:v>
      </x:c>
    </x:row>
    <x:row r="1163" ht="21" customHeight="1">
      <x:c r="A1163" s="7" t="n">
        <x:v>1158</x:v>
      </x:c>
      <x:c r="B1163" s="2" t="str">
        <x:v>TXN-01158</x:v>
      </x:c>
      <x:c r="C1163" s="8" t="d">
        <x:v>2025-10-18T00:00:00.000Z</x:v>
      </x:c>
      <x:c r="D1163" s="2" t="str">
        <x:v>Port Harcourt</x:v>
      </x:c>
      <x:c r="E1163" s="2" t="str">
        <x:v>Beauty</x:v>
      </x:c>
      <x:c r="F1163" s="2" t="str">
        <x:v>Body wash</x:v>
      </x:c>
      <x:c r="G1163" s="2" t="str">
        <x:v>Online</x:v>
      </x:c>
      <x:c r="H1163" s="7" t="n">
        <x:v>1</x:v>
      </x:c>
      <x:c r="I1163" s="9" t="n">
        <x:v>4500</x:v>
      </x:c>
      <x:c r="J1163" s="9" t="n">
        <x:v>2300</x:v>
      </x:c>
      <x:c r="K1163" s="10" t="n">
        <x:v>0.15</x:v>
      </x:c>
      <x:c r="L1163" s="2" t="str">
        <x:v>Completed</x:v>
      </x:c>
      <x:c r="M1163" s="12" t="n">
        <x:f>H1163*I1163</x:f>
        <x:v>4500</x:v>
      </x:c>
      <x:c r="N1163" s="12" t="n">
        <x:f>IF(L1163="Completed",ROUND(M1163*(1-K1163),2),0)</x:f>
        <x:v>3825</x:v>
      </x:c>
      <x:c r="O1163" s="12" t="n">
        <x:f>IF(L1163="Completed",H1163*J1163,0)</x:f>
        <x:v>2300</x:v>
      </x:c>
      <x:c r="P1163" s="12" t="n">
        <x:f>N1163-O1163</x:f>
        <x:v>1525</x:v>
      </x:c>
    </x:row>
    <x:row r="1164" ht="21" customHeight="1">
      <x:c r="A1164" s="7" t="n">
        <x:v>1159</x:v>
      </x:c>
      <x:c r="B1164" s="2" t="str">
        <x:v>TXN-01159</x:v>
      </x:c>
      <x:c r="C1164" s="8" t="d">
        <x:v>2025-10-18T00:00:00.000Z</x:v>
      </x:c>
      <x:c r="D1164" s="2" t="str">
        <x:v>Abuja</x:v>
      </x:c>
      <x:c r="E1164" s="2" t="str">
        <x:v>Fashion</x:v>
      </x:c>
      <x:c r="F1164" s="2" t="str">
        <x:v>Sneakers</x:v>
      </x:c>
      <x:c r="G1164" s="2" t="str">
        <x:v>In-store</x:v>
      </x:c>
      <x:c r="H1164" s="7" t="n">
        <x:v>2</x:v>
      </x:c>
      <x:c r="I1164" s="9" t="n">
        <x:v>28000</x:v>
      </x:c>
      <x:c r="J1164" s="9" t="n">
        <x:v>17500</x:v>
      </x:c>
      <x:c r="K1164" s="10" t="n">
        <x:v>0.15</x:v>
      </x:c>
      <x:c r="L1164" s="2" t="str">
        <x:v>Completed</x:v>
      </x:c>
      <x:c r="M1164" s="12" t="n">
        <x:f>H1164*I1164</x:f>
        <x:v>56000</x:v>
      </x:c>
      <x:c r="N1164" s="12" t="n">
        <x:f>IF(L1164="Completed",ROUND(M1164*(1-K1164),2),0)</x:f>
        <x:v>47600</x:v>
      </x:c>
      <x:c r="O1164" s="12" t="n">
        <x:f>IF(L1164="Completed",H1164*J1164,0)</x:f>
        <x:v>35000</x:v>
      </x:c>
      <x:c r="P1164" s="12" t="n">
        <x:f>N1164-O1164</x:f>
        <x:v>12600</x:v>
      </x:c>
    </x:row>
    <x:row r="1165" ht="21" customHeight="1">
      <x:c r="A1165" s="7" t="n">
        <x:v>1160</x:v>
      </x:c>
      <x:c r="B1165" s="2" t="str">
        <x:v>TXN-01160</x:v>
      </x:c>
      <x:c r="C1165" s="8" t="d">
        <x:v>2025-10-25T00:00:00.000Z</x:v>
      </x:c>
      <x:c r="D1165" s="2" t="str">
        <x:v>Lagos</x:v>
      </x:c>
      <x:c r="E1165" s="2" t="str">
        <x:v>Fashion</x:v>
      </x:c>
      <x:c r="F1165" s="2" t="str">
        <x:v>Sneakers</x:v>
      </x:c>
      <x:c r="G1165" s="2" t="str">
        <x:v>In-store</x:v>
      </x:c>
      <x:c r="H1165" s="7" t="n">
        <x:v>1</x:v>
      </x:c>
      <x:c r="I1165" s="9" t="n">
        <x:v>28000</x:v>
      </x:c>
      <x:c r="J1165" s="9" t="n">
        <x:v>17500</x:v>
      </x:c>
      <x:c r="K1165" s="10" t="n">
        <x:v>0</x:v>
      </x:c>
      <x:c r="L1165" s="2" t="str">
        <x:v>Returned</x:v>
      </x:c>
      <x:c r="M1165" s="12" t="n">
        <x:f>H1165*I1165</x:f>
        <x:v>28000</x:v>
      </x:c>
      <x:c r="N1165" s="12" t="n">
        <x:f>IF(L1165="Completed",ROUND(M1165*(1-K1165),2),0)</x:f>
        <x:v>0</x:v>
      </x:c>
      <x:c r="O1165" s="12" t="n">
        <x:f>IF(L1165="Completed",H1165*J1165,0)</x:f>
        <x:v>0</x:v>
      </x:c>
      <x:c r="P1165" s="12" t="n">
        <x:f>N1165-O1165</x:f>
        <x:v>0</x:v>
      </x:c>
    </x:row>
    <x:row r="1166" ht="21" customHeight="1">
      <x:c r="A1166" s="7" t="n">
        <x:v>1161</x:v>
      </x:c>
      <x:c r="B1166" s="2" t="str">
        <x:v>TXN-01161</x:v>
      </x:c>
      <x:c r="C1166" s="8" t="d">
        <x:v>2025-10-08T00:00:00.000Z</x:v>
      </x:c>
      <x:c r="D1166" s="2" t="str">
        <x:v>Kano</x:v>
      </x:c>
      <x:c r="E1166" s="2" t="str">
        <x:v>Electronics</x:v>
      </x:c>
      <x:c r="F1166" s="2" t="str">
        <x:v>Headphones</x:v>
      </x:c>
      <x:c r="G1166" s="2" t="str">
        <x:v>In-store</x:v>
      </x:c>
      <x:c r="H1166" s="7" t="n">
        <x:v>1</x:v>
      </x:c>
      <x:c r="I1166" s="9" t="n">
        <x:v>18000</x:v>
      </x:c>
      <x:c r="J1166" s="9" t="n">
        <x:v>10500</x:v>
      </x:c>
      <x:c r="K1166" s="10" t="n">
        <x:v>0</x:v>
      </x:c>
      <x:c r="L1166" s="2" t="str">
        <x:v>Completed</x:v>
      </x:c>
      <x:c r="M1166" s="12" t="n">
        <x:f>H1166*I1166</x:f>
        <x:v>18000</x:v>
      </x:c>
      <x:c r="N1166" s="12" t="n">
        <x:f>IF(L1166="Completed",ROUND(M1166*(1-K1166),2),0)</x:f>
        <x:v>18000</x:v>
      </x:c>
      <x:c r="O1166" s="12" t="n">
        <x:f>IF(L1166="Completed",H1166*J1166,0)</x:f>
        <x:v>10500</x:v>
      </x:c>
      <x:c r="P1166" s="12" t="n">
        <x:f>N1166-O1166</x:f>
        <x:v>7500</x:v>
      </x:c>
    </x:row>
    <x:row r="1167" ht="21" customHeight="1">
      <x:c r="A1167" s="7" t="n">
        <x:v>1162</x:v>
      </x:c>
      <x:c r="B1167" s="2" t="str">
        <x:v>TXN-01162</x:v>
      </x:c>
      <x:c r="C1167" s="8" t="d">
        <x:v>2025-10-09T00:00:00.000Z</x:v>
      </x:c>
      <x:c r="D1167" s="2" t="str">
        <x:v>Port Harcourt</x:v>
      </x:c>
      <x:c r="E1167" s="2" t="str">
        <x:v>Electronics</x:v>
      </x:c>
      <x:c r="F1167" s="2" t="str">
        <x:v>Bluetooth speaker</x:v>
      </x:c>
      <x:c r="G1167" s="2" t="str">
        <x:v>In-store</x:v>
      </x:c>
      <x:c r="H1167" s="7" t="n">
        <x:v>1</x:v>
      </x:c>
      <x:c r="I1167" s="9" t="n">
        <x:v>26000</x:v>
      </x:c>
      <x:c r="J1167" s="9" t="n">
        <x:v>17000</x:v>
      </x:c>
      <x:c r="K1167" s="10" t="n">
        <x:v>0</x:v>
      </x:c>
      <x:c r="L1167" s="2" t="str">
        <x:v>Completed</x:v>
      </x:c>
      <x:c r="M1167" s="12" t="n">
        <x:f>H1167*I1167</x:f>
        <x:v>26000</x:v>
      </x:c>
      <x:c r="N1167" s="12" t="n">
        <x:f>IF(L1167="Completed",ROUND(M1167*(1-K1167),2),0)</x:f>
        <x:v>26000</x:v>
      </x:c>
      <x:c r="O1167" s="12" t="n">
        <x:f>IF(L1167="Completed",H1167*J1167,0)</x:f>
        <x:v>17000</x:v>
      </x:c>
      <x:c r="P1167" s="12" t="n">
        <x:f>N1167-O1167</x:f>
        <x:v>9000</x:v>
      </x:c>
    </x:row>
    <x:row r="1168" ht="21" customHeight="1">
      <x:c r="A1168" s="7" t="n">
        <x:v>1163</x:v>
      </x:c>
      <x:c r="B1168" s="2" t="str">
        <x:v>TXN-01163</x:v>
      </x:c>
      <x:c r="C1168" s="8" t="d">
        <x:v>2025-10-20T00:00:00.000Z</x:v>
      </x:c>
      <x:c r="D1168" s="2" t="str">
        <x:v>Abuja</x:v>
      </x:c>
      <x:c r="E1168" s="2" t="str">
        <x:v>Beauty</x:v>
      </x:c>
      <x:c r="F1168" s="2" t="str">
        <x:v>Body wash</x:v>
      </x:c>
      <x:c r="G1168" s="2" t="str">
        <x:v>In-store</x:v>
      </x:c>
      <x:c r="H1168" s="7" t="n">
        <x:v>3</x:v>
      </x:c>
      <x:c r="I1168" s="9" t="n">
        <x:v>4500</x:v>
      </x:c>
      <x:c r="J1168" s="9" t="n">
        <x:v>2300</x:v>
      </x:c>
      <x:c r="K1168" s="10" t="n">
        <x:v>0</x:v>
      </x:c>
      <x:c r="L1168" s="2" t="str">
        <x:v>Completed</x:v>
      </x:c>
      <x:c r="M1168" s="12" t="n">
        <x:f>H1168*I1168</x:f>
        <x:v>13500</x:v>
      </x:c>
      <x:c r="N1168" s="12" t="n">
        <x:f>IF(L1168="Completed",ROUND(M1168*(1-K1168),2),0)</x:f>
        <x:v>13500</x:v>
      </x:c>
      <x:c r="O1168" s="12" t="n">
        <x:f>IF(L1168="Completed",H1168*J1168,0)</x:f>
        <x:v>6900</x:v>
      </x:c>
      <x:c r="P1168" s="12" t="n">
        <x:f>N1168-O1168</x:f>
        <x:v>6600</x:v>
      </x:c>
    </x:row>
    <x:row r="1169" ht="21" customHeight="1">
      <x:c r="A1169" s="7" t="n">
        <x:v>1164</x:v>
      </x:c>
      <x:c r="B1169" s="2" t="str">
        <x:v>TXN-01164</x:v>
      </x:c>
      <x:c r="C1169" s="8" t="d">
        <x:v>2025-10-28T00:00:00.000Z</x:v>
      </x:c>
      <x:c r="D1169" s="2" t="str">
        <x:v>Lagos</x:v>
      </x:c>
      <x:c r="E1169" s="2" t="str">
        <x:v>Beauty</x:v>
      </x:c>
      <x:c r="F1169" s="2" t="str">
        <x:v>Perfume</x:v>
      </x:c>
      <x:c r="G1169" s="2" t="str">
        <x:v>In-store</x:v>
      </x:c>
      <x:c r="H1169" s="7" t="n">
        <x:v>1</x:v>
      </x:c>
      <x:c r="I1169" s="9" t="n">
        <x:v>17000</x:v>
      </x:c>
      <x:c r="J1169" s="9" t="n">
        <x:v>9000</x:v>
      </x:c>
      <x:c r="K1169" s="10" t="n">
        <x:v>0.05</x:v>
      </x:c>
      <x:c r="L1169" s="2" t="str">
        <x:v>Completed</x:v>
      </x:c>
      <x:c r="M1169" s="12" t="n">
        <x:f>H1169*I1169</x:f>
        <x:v>17000</x:v>
      </x:c>
      <x:c r="N1169" s="12" t="n">
        <x:f>IF(L1169="Completed",ROUND(M1169*(1-K1169),2),0)</x:f>
        <x:v>16150</x:v>
      </x:c>
      <x:c r="O1169" s="12" t="n">
        <x:f>IF(L1169="Completed",H1169*J1169,0)</x:f>
        <x:v>9000</x:v>
      </x:c>
      <x:c r="P1169" s="12" t="n">
        <x:f>N1169-O1169</x:f>
        <x:v>7150</x:v>
      </x:c>
    </x:row>
    <x:row r="1170" ht="21" customHeight="1">
      <x:c r="A1170" s="7" t="n">
        <x:v>1165</x:v>
      </x:c>
      <x:c r="B1170" s="2" t="str">
        <x:v>TXN-01165</x:v>
      </x:c>
      <x:c r="C1170" s="8" t="d">
        <x:v>2025-10-02T00:00:00.000Z</x:v>
      </x:c>
      <x:c r="D1170" s="2" t="str">
        <x:v>Kano</x:v>
      </x:c>
      <x:c r="E1170" s="2" t="str">
        <x:v>Electronics</x:v>
      </x:c>
      <x:c r="F1170" s="2" t="str">
        <x:v>Bluetooth speaker</x:v>
      </x:c>
      <x:c r="G1170" s="2" t="str">
        <x:v>Online</x:v>
      </x:c>
      <x:c r="H1170" s="7" t="n">
        <x:v>3</x:v>
      </x:c>
      <x:c r="I1170" s="9" t="n">
        <x:v>26000</x:v>
      </x:c>
      <x:c r="J1170" s="9" t="n">
        <x:v>17000</x:v>
      </x:c>
      <x:c r="K1170" s="10" t="n">
        <x:v>0.05</x:v>
      </x:c>
      <x:c r="L1170" s="2" t="str">
        <x:v>Completed</x:v>
      </x:c>
      <x:c r="M1170" s="12" t="n">
        <x:f>H1170*I1170</x:f>
        <x:v>78000</x:v>
      </x:c>
      <x:c r="N1170" s="12" t="n">
        <x:f>IF(L1170="Completed",ROUND(M1170*(1-K1170),2),0)</x:f>
        <x:v>74100</x:v>
      </x:c>
      <x:c r="O1170" s="12" t="n">
        <x:f>IF(L1170="Completed",H1170*J1170,0)</x:f>
        <x:v>51000</x:v>
      </x:c>
      <x:c r="P1170" s="12" t="n">
        <x:f>N1170-O1170</x:f>
        <x:v>23100</x:v>
      </x:c>
    </x:row>
    <x:row r="1171" ht="21" customHeight="1">
      <x:c r="A1171" s="7" t="n">
        <x:v>1166</x:v>
      </x:c>
      <x:c r="B1171" s="2" t="str">
        <x:v>TXN-01166</x:v>
      </x:c>
      <x:c r="C1171" s="8" t="d">
        <x:v>2025-10-01T00:00:00.000Z</x:v>
      </x:c>
      <x:c r="D1171" s="2" t="str">
        <x:v>Port Harcourt</x:v>
      </x:c>
      <x:c r="E1171" s="2" t="str">
        <x:v>Beauty</x:v>
      </x:c>
      <x:c r="F1171" s="2" t="str">
        <x:v>Moisturizer</x:v>
      </x:c>
      <x:c r="G1171" s="2" t="str">
        <x:v>In-store</x:v>
      </x:c>
      <x:c r="H1171" s="7" t="n">
        <x:v>3</x:v>
      </x:c>
      <x:c r="I1171" s="9" t="n">
        <x:v>6500</x:v>
      </x:c>
      <x:c r="J1171" s="9" t="n">
        <x:v>3500</x:v>
      </x:c>
      <x:c r="K1171" s="10" t="n">
        <x:v>0.05</x:v>
      </x:c>
      <x:c r="L1171" s="2" t="str">
        <x:v>Completed</x:v>
      </x:c>
      <x:c r="M1171" s="12" t="n">
        <x:f>H1171*I1171</x:f>
        <x:v>19500</x:v>
      </x:c>
      <x:c r="N1171" s="12" t="n">
        <x:f>IF(L1171="Completed",ROUND(M1171*(1-K1171),2),0)</x:f>
        <x:v>18525</x:v>
      </x:c>
      <x:c r="O1171" s="12" t="n">
        <x:f>IF(L1171="Completed",H1171*J1171,0)</x:f>
        <x:v>10500</x:v>
      </x:c>
      <x:c r="P1171" s="12" t="n">
        <x:f>N1171-O1171</x:f>
        <x:v>8025</x:v>
      </x:c>
    </x:row>
    <x:row r="1172" ht="21" customHeight="1">
      <x:c r="A1172" s="7" t="n">
        <x:v>1167</x:v>
      </x:c>
      <x:c r="B1172" s="2" t="str">
        <x:v>TXN-01167</x:v>
      </x:c>
      <x:c r="C1172" s="8" t="d">
        <x:v>2025-10-09T00:00:00.000Z</x:v>
      </x:c>
      <x:c r="D1172" s="2" t="str">
        <x:v>Lagos</x:v>
      </x:c>
      <x:c r="E1172" s="2" t="str">
        <x:v>Fashion</x:v>
      </x:c>
      <x:c r="F1172" s="2" t="str">
        <x:v>Sneakers</x:v>
      </x:c>
      <x:c r="G1172" s="2" t="str">
        <x:v>Online</x:v>
      </x:c>
      <x:c r="H1172" s="7" t="n">
        <x:v>2</x:v>
      </x:c>
      <x:c r="I1172" s="9" t="n">
        <x:v>28000</x:v>
      </x:c>
      <x:c r="J1172" s="9" t="n">
        <x:v>17500</x:v>
      </x:c>
      <x:c r="K1172" s="10" t="n">
        <x:v>0</x:v>
      </x:c>
      <x:c r="L1172" s="2" t="str">
        <x:v>Completed</x:v>
      </x:c>
      <x:c r="M1172" s="12" t="n">
        <x:f>H1172*I1172</x:f>
        <x:v>56000</x:v>
      </x:c>
      <x:c r="N1172" s="12" t="n">
        <x:f>IF(L1172="Completed",ROUND(M1172*(1-K1172),2),0)</x:f>
        <x:v>56000</x:v>
      </x:c>
      <x:c r="O1172" s="12" t="n">
        <x:f>IF(L1172="Completed",H1172*J1172,0)</x:f>
        <x:v>35000</x:v>
      </x:c>
      <x:c r="P1172" s="12" t="n">
        <x:f>N1172-O1172</x:f>
        <x:v>21000</x:v>
      </x:c>
    </x:row>
    <x:row r="1173" ht="21" customHeight="1">
      <x:c r="A1173" s="7" t="n">
        <x:v>1168</x:v>
      </x:c>
      <x:c r="B1173" s="2" t="str">
        <x:v>TXN-01168</x:v>
      </x:c>
      <x:c r="C1173" s="8" t="d">
        <x:v>2025-10-20T00:00:00.000Z</x:v>
      </x:c>
      <x:c r="D1173" s="2" t="str">
        <x:v>Kano</x:v>
      </x:c>
      <x:c r="E1173" s="2" t="str">
        <x:v>Fashion</x:v>
      </x:c>
      <x:c r="F1173" s="2" t="str">
        <x:v>Sneakers</x:v>
      </x:c>
      <x:c r="G1173" s="2" t="str">
        <x:v>Online</x:v>
      </x:c>
      <x:c r="H1173" s="7" t="n">
        <x:v>4</x:v>
      </x:c>
      <x:c r="I1173" s="9" t="n">
        <x:v>28000</x:v>
      </x:c>
      <x:c r="J1173" s="9" t="n">
        <x:v>17500</x:v>
      </x:c>
      <x:c r="K1173" s="10" t="n">
        <x:v>0.05</x:v>
      </x:c>
      <x:c r="L1173" s="2" t="str">
        <x:v>Completed</x:v>
      </x:c>
      <x:c r="M1173" s="12" t="n">
        <x:f>H1173*I1173</x:f>
        <x:v>112000</x:v>
      </x:c>
      <x:c r="N1173" s="12" t="n">
        <x:f>IF(L1173="Completed",ROUND(M1173*(1-K1173),2),0)</x:f>
        <x:v>106400</x:v>
      </x:c>
      <x:c r="O1173" s="12" t="n">
        <x:f>IF(L1173="Completed",H1173*J1173,0)</x:f>
        <x:v>70000</x:v>
      </x:c>
      <x:c r="P1173" s="12" t="n">
        <x:f>N1173-O1173</x:f>
        <x:v>36400</x:v>
      </x:c>
    </x:row>
    <x:row r="1174" ht="21" customHeight="1">
      <x:c r="A1174" s="7" t="n">
        <x:v>1169</x:v>
      </x:c>
      <x:c r="B1174" s="2" t="str">
        <x:v>TXN-01169</x:v>
      </x:c>
      <x:c r="C1174" s="8" t="d">
        <x:v>2025-10-13T00:00:00.000Z</x:v>
      </x:c>
      <x:c r="D1174" s="2" t="str">
        <x:v>Port Harcourt</x:v>
      </x:c>
      <x:c r="E1174" s="2" t="str">
        <x:v>Home</x:v>
      </x:c>
      <x:c r="F1174" s="2" t="str">
        <x:v>Cookware set</x:v>
      </x:c>
      <x:c r="G1174" s="2" t="str">
        <x:v>In-store</x:v>
      </x:c>
      <x:c r="H1174" s="7" t="n">
        <x:v>1</x:v>
      </x:c>
      <x:c r="I1174" s="9" t="n">
        <x:v>35000</x:v>
      </x:c>
      <x:c r="J1174" s="9" t="n">
        <x:v>22500</x:v>
      </x:c>
      <x:c r="K1174" s="10" t="n">
        <x:v>0</x:v>
      </x:c>
      <x:c r="L1174" s="2" t="str">
        <x:v>Returned</x:v>
      </x:c>
      <x:c r="M1174" s="12" t="n">
        <x:f>H1174*I1174</x:f>
        <x:v>35000</x:v>
      </x:c>
      <x:c r="N1174" s="12" t="n">
        <x:f>IF(L1174="Completed",ROUND(M1174*(1-K1174),2),0)</x:f>
        <x:v>0</x:v>
      </x:c>
      <x:c r="O1174" s="12" t="n">
        <x:f>IF(L1174="Completed",H1174*J1174,0)</x:f>
        <x:v>0</x:v>
      </x:c>
      <x:c r="P1174" s="12" t="n">
        <x:f>N1174-O1174</x:f>
        <x:v>0</x:v>
      </x:c>
    </x:row>
    <x:row r="1175" ht="21" customHeight="1">
      <x:c r="A1175" s="7" t="n">
        <x:v>1170</x:v>
      </x:c>
      <x:c r="B1175" s="2" t="str">
        <x:v>TXN-01170</x:v>
      </x:c>
      <x:c r="C1175" s="8" t="d">
        <x:v>2025-10-22T00:00:00.000Z</x:v>
      </x:c>
      <x:c r="D1175" s="2" t="str">
        <x:v>Abuja</x:v>
      </x:c>
      <x:c r="E1175" s="2" t="str">
        <x:v>Home</x:v>
      </x:c>
      <x:c r="F1175" s="2" t="str">
        <x:v>Bedsheet</x:v>
      </x:c>
      <x:c r="G1175" s="2" t="str">
        <x:v>Online</x:v>
      </x:c>
      <x:c r="H1175" s="7" t="n">
        <x:v>1</x:v>
      </x:c>
      <x:c r="I1175" s="9" t="n">
        <x:v>14000</x:v>
      </x:c>
      <x:c r="J1175" s="9" t="n">
        <x:v>8500</x:v>
      </x:c>
      <x:c r="K1175" s="10" t="n">
        <x:v>0</x:v>
      </x:c>
      <x:c r="L1175" s="2" t="str">
        <x:v>Returned</x:v>
      </x:c>
      <x:c r="M1175" s="12" t="n">
        <x:f>H1175*I1175</x:f>
        <x:v>14000</x:v>
      </x:c>
      <x:c r="N1175" s="12" t="n">
        <x:f>IF(L1175="Completed",ROUND(M1175*(1-K1175),2),0)</x:f>
        <x:v>0</x:v>
      </x:c>
      <x:c r="O1175" s="12" t="n">
        <x:f>IF(L1175="Completed",H1175*J1175,0)</x:f>
        <x:v>0</x:v>
      </x:c>
      <x:c r="P1175" s="12" t="n">
        <x:f>N1175-O1175</x:f>
        <x:v>0</x:v>
      </x:c>
    </x:row>
    <x:row r="1176" ht="21" customHeight="1">
      <x:c r="A1176" s="7" t="n">
        <x:v>1171</x:v>
      </x:c>
      <x:c r="B1176" s="2" t="str">
        <x:v>TXN-01171</x:v>
      </x:c>
      <x:c r="C1176" s="8" t="d">
        <x:v>2025-10-03T00:00:00.000Z</x:v>
      </x:c>
      <x:c r="D1176" s="2" t="str">
        <x:v>Kano</x:v>
      </x:c>
      <x:c r="E1176" s="2" t="str">
        <x:v>Home</x:v>
      </x:c>
      <x:c r="F1176" s="2" t="str">
        <x:v>Desk lamp</x:v>
      </x:c>
      <x:c r="G1176" s="2" t="str">
        <x:v>Online</x:v>
      </x:c>
      <x:c r="H1176" s="7" t="n">
        <x:v>1</x:v>
      </x:c>
      <x:c r="I1176" s="9" t="n">
        <x:v>12000</x:v>
      </x:c>
      <x:c r="J1176" s="9" t="n">
        <x:v>7200</x:v>
      </x:c>
      <x:c r="K1176" s="10" t="n">
        <x:v>0.1</x:v>
      </x:c>
      <x:c r="L1176" s="2" t="str">
        <x:v>Returned</x:v>
      </x:c>
      <x:c r="M1176" s="12" t="n">
        <x:f>H1176*I1176</x:f>
        <x:v>12000</x:v>
      </x:c>
      <x:c r="N1176" s="12" t="n">
        <x:f>IF(L1176="Completed",ROUND(M1176*(1-K1176),2),0)</x:f>
        <x:v>0</x:v>
      </x:c>
      <x:c r="O1176" s="12" t="n">
        <x:f>IF(L1176="Completed",H1176*J1176,0)</x:f>
        <x:v>0</x:v>
      </x:c>
      <x:c r="P1176" s="12" t="n">
        <x:f>N1176-O1176</x:f>
        <x:v>0</x:v>
      </x:c>
    </x:row>
    <x:row r="1177" ht="21" customHeight="1">
      <x:c r="A1177" s="7" t="n">
        <x:v>1172</x:v>
      </x:c>
      <x:c r="B1177" s="2" t="str">
        <x:v>TXN-01172</x:v>
      </x:c>
      <x:c r="C1177" s="8" t="d">
        <x:v>2025-10-01T00:00:00.000Z</x:v>
      </x:c>
      <x:c r="D1177" s="2" t="str">
        <x:v>Kano</x:v>
      </x:c>
      <x:c r="E1177" s="2" t="str">
        <x:v>Electronics</x:v>
      </x:c>
      <x:c r="F1177" s="2" t="str">
        <x:v>Bluetooth speaker</x:v>
      </x:c>
      <x:c r="G1177" s="2" t="str">
        <x:v>In-store</x:v>
      </x:c>
      <x:c r="H1177" s="7" t="n">
        <x:v>4</x:v>
      </x:c>
      <x:c r="I1177" s="9" t="n">
        <x:v>26000</x:v>
      </x:c>
      <x:c r="J1177" s="9" t="n">
        <x:v>17000</x:v>
      </x:c>
      <x:c r="K1177" s="10" t="n">
        <x:v>0</x:v>
      </x:c>
      <x:c r="L1177" s="2" t="str">
        <x:v>Completed</x:v>
      </x:c>
      <x:c r="M1177" s="12" t="n">
        <x:f>H1177*I1177</x:f>
        <x:v>104000</x:v>
      </x:c>
      <x:c r="N1177" s="12" t="n">
        <x:f>IF(L1177="Completed",ROUND(M1177*(1-K1177),2),0)</x:f>
        <x:v>104000</x:v>
      </x:c>
      <x:c r="O1177" s="12" t="n">
        <x:f>IF(L1177="Completed",H1177*J1177,0)</x:f>
        <x:v>68000</x:v>
      </x:c>
      <x:c r="P1177" s="12" t="n">
        <x:f>N1177-O1177</x:f>
        <x:v>36000</x:v>
      </x:c>
    </x:row>
    <x:row r="1178" ht="21" customHeight="1">
      <x:c r="A1178" s="7" t="n">
        <x:v>1173</x:v>
      </x:c>
      <x:c r="B1178" s="2" t="str">
        <x:v>TXN-01173</x:v>
      </x:c>
      <x:c r="C1178" s="8" t="d">
        <x:v>2025-10-14T00:00:00.000Z</x:v>
      </x:c>
      <x:c r="D1178" s="2" t="str">
        <x:v>Lagos</x:v>
      </x:c>
      <x:c r="E1178" s="2" t="str">
        <x:v>Home</x:v>
      </x:c>
      <x:c r="F1178" s="2" t="str">
        <x:v>Bedsheet</x:v>
      </x:c>
      <x:c r="G1178" s="2" t="str">
        <x:v>In-store</x:v>
      </x:c>
      <x:c r="H1178" s="7" t="n">
        <x:v>1</x:v>
      </x:c>
      <x:c r="I1178" s="9" t="n">
        <x:v>14000</x:v>
      </x:c>
      <x:c r="J1178" s="9" t="n">
        <x:v>8500</x:v>
      </x:c>
      <x:c r="K1178" s="10" t="n">
        <x:v>0.15</x:v>
      </x:c>
      <x:c r="L1178" s="2" t="str">
        <x:v>Completed</x:v>
      </x:c>
      <x:c r="M1178" s="12" t="n">
        <x:f>H1178*I1178</x:f>
        <x:v>14000</x:v>
      </x:c>
      <x:c r="N1178" s="12" t="n">
        <x:f>IF(L1178="Completed",ROUND(M1178*(1-K1178),2),0)</x:f>
        <x:v>11900</x:v>
      </x:c>
      <x:c r="O1178" s="12" t="n">
        <x:f>IF(L1178="Completed",H1178*J1178,0)</x:f>
        <x:v>8500</x:v>
      </x:c>
      <x:c r="P1178" s="12" t="n">
        <x:f>N1178-O1178</x:f>
        <x:v>3400</x:v>
      </x:c>
    </x:row>
    <x:row r="1179" ht="21" customHeight="1">
      <x:c r="A1179" s="7" t="n">
        <x:v>1174</x:v>
      </x:c>
      <x:c r="B1179" s="2" t="str">
        <x:v>TXN-01174</x:v>
      </x:c>
      <x:c r="C1179" s="8" t="d">
        <x:v>2025-10-11T00:00:00.000Z</x:v>
      </x:c>
      <x:c r="D1179" s="2" t="str">
        <x:v>Kano</x:v>
      </x:c>
      <x:c r="E1179" s="2" t="str">
        <x:v>Fashion</x:v>
      </x:c>
      <x:c r="F1179" s="2" t="str">
        <x:v>Sneakers</x:v>
      </x:c>
      <x:c r="G1179" s="2" t="str">
        <x:v>In-store</x:v>
      </x:c>
      <x:c r="H1179" s="7" t="n">
        <x:v>3</x:v>
      </x:c>
      <x:c r="I1179" s="9" t="n">
        <x:v>28000</x:v>
      </x:c>
      <x:c r="J1179" s="9" t="n">
        <x:v>17500</x:v>
      </x:c>
      <x:c r="K1179" s="10" t="n">
        <x:v>0.1</x:v>
      </x:c>
      <x:c r="L1179" s="2" t="str">
        <x:v>Completed</x:v>
      </x:c>
      <x:c r="M1179" s="12" t="n">
        <x:f>H1179*I1179</x:f>
        <x:v>84000</x:v>
      </x:c>
      <x:c r="N1179" s="12" t="n">
        <x:f>IF(L1179="Completed",ROUND(M1179*(1-K1179),2),0)</x:f>
        <x:v>75600</x:v>
      </x:c>
      <x:c r="O1179" s="12" t="n">
        <x:f>IF(L1179="Completed",H1179*J1179,0)</x:f>
        <x:v>52500</x:v>
      </x:c>
      <x:c r="P1179" s="12" t="n">
        <x:f>N1179-O1179</x:f>
        <x:v>23100</x:v>
      </x:c>
    </x:row>
    <x:row r="1180" ht="21" customHeight="1">
      <x:c r="A1180" s="7" t="n">
        <x:v>1175</x:v>
      </x:c>
      <x:c r="B1180" s="2" t="str">
        <x:v>TXN-01175</x:v>
      </x:c>
      <x:c r="C1180" s="8" t="d">
        <x:v>2025-10-15T00:00:00.000Z</x:v>
      </x:c>
      <x:c r="D1180" s="2" t="str">
        <x:v>Port Harcourt</x:v>
      </x:c>
      <x:c r="E1180" s="2" t="str">
        <x:v>Beauty</x:v>
      </x:c>
      <x:c r="F1180" s="2" t="str">
        <x:v>Moisturizer</x:v>
      </x:c>
      <x:c r="G1180" s="2" t="str">
        <x:v>Online</x:v>
      </x:c>
      <x:c r="H1180" s="7" t="n">
        <x:v>3</x:v>
      </x:c>
      <x:c r="I1180" s="9" t="n">
        <x:v>6500</x:v>
      </x:c>
      <x:c r="J1180" s="9" t="n">
        <x:v>3500</x:v>
      </x:c>
      <x:c r="K1180" s="10" t="n">
        <x:v>0</x:v>
      </x:c>
      <x:c r="L1180" s="2" t="str">
        <x:v>Completed</x:v>
      </x:c>
      <x:c r="M1180" s="12" t="n">
        <x:f>H1180*I1180</x:f>
        <x:v>19500</x:v>
      </x:c>
      <x:c r="N1180" s="12" t="n">
        <x:f>IF(L1180="Completed",ROUND(M1180*(1-K1180),2),0)</x:f>
        <x:v>19500</x:v>
      </x:c>
      <x:c r="O1180" s="12" t="n">
        <x:f>IF(L1180="Completed",H1180*J1180,0)</x:f>
        <x:v>10500</x:v>
      </x:c>
      <x:c r="P1180" s="12" t="n">
        <x:f>N1180-O1180</x:f>
        <x:v>9000</x:v>
      </x:c>
    </x:row>
    <x:row r="1181" ht="21" customHeight="1">
      <x:c r="A1181" s="7" t="n">
        <x:v>1176</x:v>
      </x:c>
      <x:c r="B1181" s="2" t="str">
        <x:v>TXN-01176</x:v>
      </x:c>
      <x:c r="C1181" s="8" t="d">
        <x:v>2025-10-07T00:00:00.000Z</x:v>
      </x:c>
      <x:c r="D1181" s="2" t="str">
        <x:v>Lagos</x:v>
      </x:c>
      <x:c r="E1181" s="2" t="str">
        <x:v>Beauty</x:v>
      </x:c>
      <x:c r="F1181" s="2" t="str">
        <x:v>Body wash</x:v>
      </x:c>
      <x:c r="G1181" s="2" t="str">
        <x:v>In-store</x:v>
      </x:c>
      <x:c r="H1181" s="7" t="n">
        <x:v>3</x:v>
      </x:c>
      <x:c r="I1181" s="9" t="n">
        <x:v>4500</x:v>
      </x:c>
      <x:c r="J1181" s="9" t="n">
        <x:v>2300</x:v>
      </x:c>
      <x:c r="K1181" s="10" t="n">
        <x:v>0</x:v>
      </x:c>
      <x:c r="L1181" s="2" t="str">
        <x:v>Returned</x:v>
      </x:c>
      <x:c r="M1181" s="12" t="n">
        <x:f>H1181*I1181</x:f>
        <x:v>13500</x:v>
      </x:c>
      <x:c r="N1181" s="12" t="n">
        <x:f>IF(L1181="Completed",ROUND(M1181*(1-K1181),2),0)</x:f>
        <x:v>0</x:v>
      </x:c>
      <x:c r="O1181" s="12" t="n">
        <x:f>IF(L1181="Completed",H1181*J1181,0)</x:f>
        <x:v>0</x:v>
      </x:c>
      <x:c r="P1181" s="12" t="n">
        <x:f>N1181-O1181</x:f>
        <x:v>0</x:v>
      </x:c>
    </x:row>
    <x:row r="1182" ht="21" customHeight="1">
      <x:c r="A1182" s="7" t="n">
        <x:v>1177</x:v>
      </x:c>
      <x:c r="B1182" s="2" t="str">
        <x:v>TXN-01177</x:v>
      </x:c>
      <x:c r="C1182" s="8" t="d">
        <x:v>2025-10-18T00:00:00.000Z</x:v>
      </x:c>
      <x:c r="D1182" s="2" t="str">
        <x:v>Lagos</x:v>
      </x:c>
      <x:c r="E1182" s="2" t="str">
        <x:v>Beauty</x:v>
      </x:c>
      <x:c r="F1182" s="2" t="str">
        <x:v>Body wash</x:v>
      </x:c>
      <x:c r="G1182" s="2" t="str">
        <x:v>Online</x:v>
      </x:c>
      <x:c r="H1182" s="7" t="n">
        <x:v>3</x:v>
      </x:c>
      <x:c r="I1182" s="9" t="n">
        <x:v>4500</x:v>
      </x:c>
      <x:c r="J1182" s="9" t="n">
        <x:v>2300</x:v>
      </x:c>
      <x:c r="K1182" s="10" t="n">
        <x:v>0</x:v>
      </x:c>
      <x:c r="L1182" s="2" t="str">
        <x:v>Completed</x:v>
      </x:c>
      <x:c r="M1182" s="12" t="n">
        <x:f>H1182*I1182</x:f>
        <x:v>13500</x:v>
      </x:c>
      <x:c r="N1182" s="12" t="n">
        <x:f>IF(L1182="Completed",ROUND(M1182*(1-K1182),2),0)</x:f>
        <x:v>13500</x:v>
      </x:c>
      <x:c r="O1182" s="12" t="n">
        <x:f>IF(L1182="Completed",H1182*J1182,0)</x:f>
        <x:v>6900</x:v>
      </x:c>
      <x:c r="P1182" s="12" t="n">
        <x:f>N1182-O1182</x:f>
        <x:v>6600</x:v>
      </x:c>
    </x:row>
    <x:row r="1183" ht="21" customHeight="1">
      <x:c r="A1183" s="7" t="n">
        <x:v>1178</x:v>
      </x:c>
      <x:c r="B1183" s="2" t="str">
        <x:v>TXN-01178</x:v>
      </x:c>
      <x:c r="C1183" s="8" t="d">
        <x:v>2025-10-28T00:00:00.000Z</x:v>
      </x:c>
      <x:c r="D1183" s="2" t="str">
        <x:v>Port Harcourt</x:v>
      </x:c>
      <x:c r="E1183" s="2" t="str">
        <x:v>Beauty</x:v>
      </x:c>
      <x:c r="F1183" s="2" t="str">
        <x:v>Body wash</x:v>
      </x:c>
      <x:c r="G1183" s="2" t="str">
        <x:v>In-store</x:v>
      </x:c>
      <x:c r="H1183" s="7" t="n">
        <x:v>1</x:v>
      </x:c>
      <x:c r="I1183" s="9" t="n">
        <x:v>4500</x:v>
      </x:c>
      <x:c r="J1183" s="9" t="n">
        <x:v>2300</x:v>
      </x:c>
      <x:c r="K1183" s="10" t="n">
        <x:v>0.1</x:v>
      </x:c>
      <x:c r="L1183" s="2" t="str">
        <x:v>Completed</x:v>
      </x:c>
      <x:c r="M1183" s="12" t="n">
        <x:f>H1183*I1183</x:f>
        <x:v>4500</x:v>
      </x:c>
      <x:c r="N1183" s="12" t="n">
        <x:f>IF(L1183="Completed",ROUND(M1183*(1-K1183),2),0)</x:f>
        <x:v>4050</x:v>
      </x:c>
      <x:c r="O1183" s="12" t="n">
        <x:f>IF(L1183="Completed",H1183*J1183,0)</x:f>
        <x:v>2300</x:v>
      </x:c>
      <x:c r="P1183" s="12" t="n">
        <x:f>N1183-O1183</x:f>
        <x:v>1750</x:v>
      </x:c>
    </x:row>
    <x:row r="1184" ht="21" customHeight="1">
      <x:c r="A1184" s="7" t="n">
        <x:v>1179</x:v>
      </x:c>
      <x:c r="B1184" s="2" t="str">
        <x:v>TXN-01179</x:v>
      </x:c>
      <x:c r="C1184" s="8" t="d">
        <x:v>2025-10-27T00:00:00.000Z</x:v>
      </x:c>
      <x:c r="D1184" s="2" t="str">
        <x:v>Abuja</x:v>
      </x:c>
      <x:c r="E1184" s="2" t="str">
        <x:v>Beauty</x:v>
      </x:c>
      <x:c r="F1184" s="2" t="str">
        <x:v>Moisturizer</x:v>
      </x:c>
      <x:c r="G1184" s="2" t="str">
        <x:v>In-store</x:v>
      </x:c>
      <x:c r="H1184" s="7" t="n">
        <x:v>1</x:v>
      </x:c>
      <x:c r="I1184" s="9" t="n">
        <x:v>6500</x:v>
      </x:c>
      <x:c r="J1184" s="9" t="n">
        <x:v>3500</x:v>
      </x:c>
      <x:c r="K1184" s="10" t="n">
        <x:v>0.05</x:v>
      </x:c>
      <x:c r="L1184" s="2" t="str">
        <x:v>Completed</x:v>
      </x:c>
      <x:c r="M1184" s="12" t="n">
        <x:f>H1184*I1184</x:f>
        <x:v>6500</x:v>
      </x:c>
      <x:c r="N1184" s="12" t="n">
        <x:f>IF(L1184="Completed",ROUND(M1184*(1-K1184),2),0)</x:f>
        <x:v>6175</x:v>
      </x:c>
      <x:c r="O1184" s="12" t="n">
        <x:f>IF(L1184="Completed",H1184*J1184,0)</x:f>
        <x:v>3500</x:v>
      </x:c>
      <x:c r="P1184" s="12" t="n">
        <x:f>N1184-O1184</x:f>
        <x:v>2675</x:v>
      </x:c>
    </x:row>
    <x:row r="1185" ht="21" customHeight="1">
      <x:c r="A1185" s="7" t="n">
        <x:v>1180</x:v>
      </x:c>
      <x:c r="B1185" s="2" t="str">
        <x:v>TXN-01180</x:v>
      </x:c>
      <x:c r="C1185" s="8" t="d">
        <x:v>2025-10-16T00:00:00.000Z</x:v>
      </x:c>
      <x:c r="D1185" s="2" t="str">
        <x:v>Abuja</x:v>
      </x:c>
      <x:c r="E1185" s="2" t="str">
        <x:v>Electronics</x:v>
      </x:c>
      <x:c r="F1185" s="2" t="str">
        <x:v>Bluetooth speaker</x:v>
      </x:c>
      <x:c r="G1185" s="2" t="str">
        <x:v>Online</x:v>
      </x:c>
      <x:c r="H1185" s="7" t="n">
        <x:v>1</x:v>
      </x:c>
      <x:c r="I1185" s="9" t="n">
        <x:v>26000</x:v>
      </x:c>
      <x:c r="J1185" s="9" t="n">
        <x:v>17000</x:v>
      </x:c>
      <x:c r="K1185" s="10" t="n">
        <x:v>0.1</x:v>
      </x:c>
      <x:c r="L1185" s="2" t="str">
        <x:v>Completed</x:v>
      </x:c>
      <x:c r="M1185" s="12" t="n">
        <x:f>H1185*I1185</x:f>
        <x:v>26000</x:v>
      </x:c>
      <x:c r="N1185" s="12" t="n">
        <x:f>IF(L1185="Completed",ROUND(M1185*(1-K1185),2),0)</x:f>
        <x:v>23400</x:v>
      </x:c>
      <x:c r="O1185" s="12" t="n">
        <x:f>IF(L1185="Completed",H1185*J1185,0)</x:f>
        <x:v>17000</x:v>
      </x:c>
      <x:c r="P1185" s="12" t="n">
        <x:f>N1185-O1185</x:f>
        <x:v>6400</x:v>
      </x:c>
    </x:row>
    <x:row r="1186" ht="21" customHeight="1">
      <x:c r="A1186" s="7" t="n">
        <x:v>1181</x:v>
      </x:c>
      <x:c r="B1186" s="2" t="str">
        <x:v>TXN-01181</x:v>
      </x:c>
      <x:c r="C1186" s="8" t="d">
        <x:v>2025-11-04T00:00:00.000Z</x:v>
      </x:c>
      <x:c r="D1186" s="2" t="str">
        <x:v>Lagos</x:v>
      </x:c>
      <x:c r="E1186" s="2" t="str">
        <x:v>Fashion</x:v>
      </x:c>
      <x:c r="F1186" s="2" t="str">
        <x:v>T-shirt</x:v>
      </x:c>
      <x:c r="G1186" s="2" t="str">
        <x:v>Online</x:v>
      </x:c>
      <x:c r="H1186" s="7" t="n">
        <x:v>1</x:v>
      </x:c>
      <x:c r="I1186" s="9" t="n">
        <x:v>9000</x:v>
      </x:c>
      <x:c r="J1186" s="9" t="n">
        <x:v>5000</x:v>
      </x:c>
      <x:c r="K1186" s="10" t="n">
        <x:v>0</x:v>
      </x:c>
      <x:c r="L1186" s="2" t="str">
        <x:v>Completed</x:v>
      </x:c>
      <x:c r="M1186" s="12" t="n">
        <x:f>H1186*I1186</x:f>
        <x:v>9000</x:v>
      </x:c>
      <x:c r="N1186" s="12" t="n">
        <x:f>IF(L1186="Completed",ROUND(M1186*(1-K1186),2),0)</x:f>
        <x:v>9000</x:v>
      </x:c>
      <x:c r="O1186" s="12" t="n">
        <x:f>IF(L1186="Completed",H1186*J1186,0)</x:f>
        <x:v>5000</x:v>
      </x:c>
      <x:c r="P1186" s="12" t="n">
        <x:f>N1186-O1186</x:f>
        <x:v>4000</x:v>
      </x:c>
    </x:row>
    <x:row r="1187" ht="21" customHeight="1">
      <x:c r="A1187" s="7" t="n">
        <x:v>1182</x:v>
      </x:c>
      <x:c r="B1187" s="2" t="str">
        <x:v>TXN-01182</x:v>
      </x:c>
      <x:c r="C1187" s="8" t="d">
        <x:v>2025-11-25T00:00:00.000Z</x:v>
      </x:c>
      <x:c r="D1187" s="2" t="str">
        <x:v>Lagos</x:v>
      </x:c>
      <x:c r="E1187" s="2" t="str">
        <x:v>Fashion</x:v>
      </x:c>
      <x:c r="F1187" s="2" t="str">
        <x:v>Handbag</x:v>
      </x:c>
      <x:c r="G1187" s="2" t="str">
        <x:v>In-store</x:v>
      </x:c>
      <x:c r="H1187" s="7" t="n">
        <x:v>1</x:v>
      </x:c>
      <x:c r="I1187" s="9" t="n">
        <x:v>22000</x:v>
      </x:c>
      <x:c r="J1187" s="9" t="n">
        <x:v>13500</x:v>
      </x:c>
      <x:c r="K1187" s="10" t="n">
        <x:v>0.1</x:v>
      </x:c>
      <x:c r="L1187" s="2" t="str">
        <x:v>Completed</x:v>
      </x:c>
      <x:c r="M1187" s="12" t="n">
        <x:f>H1187*I1187</x:f>
        <x:v>22000</x:v>
      </x:c>
      <x:c r="N1187" s="12" t="n">
        <x:f>IF(L1187="Completed",ROUND(M1187*(1-K1187),2),0)</x:f>
        <x:v>19800</x:v>
      </x:c>
      <x:c r="O1187" s="12" t="n">
        <x:f>IF(L1187="Completed",H1187*J1187,0)</x:f>
        <x:v>13500</x:v>
      </x:c>
      <x:c r="P1187" s="12" t="n">
        <x:f>N1187-O1187</x:f>
        <x:v>6300</x:v>
      </x:c>
    </x:row>
    <x:row r="1188" ht="21" customHeight="1">
      <x:c r="A1188" s="7" t="n">
        <x:v>1183</x:v>
      </x:c>
      <x:c r="B1188" s="2" t="str">
        <x:v>TXN-01183</x:v>
      </x:c>
      <x:c r="C1188" s="8" t="d">
        <x:v>2025-11-01T00:00:00.000Z</x:v>
      </x:c>
      <x:c r="D1188" s="2" t="str">
        <x:v>Lagos</x:v>
      </x:c>
      <x:c r="E1188" s="2" t="str">
        <x:v>Beauty</x:v>
      </x:c>
      <x:c r="F1188" s="2" t="str">
        <x:v>Body wash</x:v>
      </x:c>
      <x:c r="G1188" s="2" t="str">
        <x:v>Online</x:v>
      </x:c>
      <x:c r="H1188" s="7" t="n">
        <x:v>2</x:v>
      </x:c>
      <x:c r="I1188" s="9" t="n">
        <x:v>4500</x:v>
      </x:c>
      <x:c r="J1188" s="9" t="n">
        <x:v>2300</x:v>
      </x:c>
      <x:c r="K1188" s="10" t="n">
        <x:v>0.15</x:v>
      </x:c>
      <x:c r="L1188" s="2" t="str">
        <x:v>Completed</x:v>
      </x:c>
      <x:c r="M1188" s="12" t="n">
        <x:f>H1188*I1188</x:f>
        <x:v>9000</x:v>
      </x:c>
      <x:c r="N1188" s="12" t="n">
        <x:f>IF(L1188="Completed",ROUND(M1188*(1-K1188),2),0)</x:f>
        <x:v>7650</x:v>
      </x:c>
      <x:c r="O1188" s="12" t="n">
        <x:f>IF(L1188="Completed",H1188*J1188,0)</x:f>
        <x:v>4600</x:v>
      </x:c>
      <x:c r="P1188" s="12" t="n">
        <x:f>N1188-O1188</x:f>
        <x:v>3050</x:v>
      </x:c>
    </x:row>
    <x:row r="1189" ht="21" customHeight="1">
      <x:c r="A1189" s="7" t="n">
        <x:v>1184</x:v>
      </x:c>
      <x:c r="B1189" s="2" t="str">
        <x:v>TXN-01184</x:v>
      </x:c>
      <x:c r="C1189" s="8" t="d">
        <x:v>2025-11-29T00:00:00.000Z</x:v>
      </x:c>
      <x:c r="D1189" s="2" t="str">
        <x:v>Lagos</x:v>
      </x:c>
      <x:c r="E1189" s="2" t="str">
        <x:v>Electronics</x:v>
      </x:c>
      <x:c r="F1189" s="2" t="str">
        <x:v>Bluetooth speaker</x:v>
      </x:c>
      <x:c r="G1189" s="2" t="str">
        <x:v>Online</x:v>
      </x:c>
      <x:c r="H1189" s="7" t="n">
        <x:v>2</x:v>
      </x:c>
      <x:c r="I1189" s="9" t="n">
        <x:v>26000</x:v>
      </x:c>
      <x:c r="J1189" s="9" t="n">
        <x:v>17000</x:v>
      </x:c>
      <x:c r="K1189" s="10" t="n">
        <x:v>0</x:v>
      </x:c>
      <x:c r="L1189" s="2" t="str">
        <x:v>Completed</x:v>
      </x:c>
      <x:c r="M1189" s="12" t="n">
        <x:f>H1189*I1189</x:f>
        <x:v>52000</x:v>
      </x:c>
      <x:c r="N1189" s="12" t="n">
        <x:f>IF(L1189="Completed",ROUND(M1189*(1-K1189),2),0)</x:f>
        <x:v>52000</x:v>
      </x:c>
      <x:c r="O1189" s="12" t="n">
        <x:f>IF(L1189="Completed",H1189*J1189,0)</x:f>
        <x:v>34000</x:v>
      </x:c>
      <x:c r="P1189" s="12" t="n">
        <x:f>N1189-O1189</x:f>
        <x:v>18000</x:v>
      </x:c>
    </x:row>
    <x:row r="1190" ht="21" customHeight="1">
      <x:c r="A1190" s="7" t="n">
        <x:v>1185</x:v>
      </x:c>
      <x:c r="B1190" s="2" t="str">
        <x:v>TXN-01185</x:v>
      </x:c>
      <x:c r="C1190" s="8" t="d">
        <x:v>2025-11-26T00:00:00.000Z</x:v>
      </x:c>
      <x:c r="D1190" s="2" t="str">
        <x:v>Lagos</x:v>
      </x:c>
      <x:c r="E1190" s="2" t="str">
        <x:v>Fashion</x:v>
      </x:c>
      <x:c r="F1190" s="2" t="str">
        <x:v>Sneakers</x:v>
      </x:c>
      <x:c r="G1190" s="2" t="str">
        <x:v>In-store</x:v>
      </x:c>
      <x:c r="H1190" s="7" t="n">
        <x:v>1</x:v>
      </x:c>
      <x:c r="I1190" s="9" t="n">
        <x:v>28000</x:v>
      </x:c>
      <x:c r="J1190" s="9" t="n">
        <x:v>17500</x:v>
      </x:c>
      <x:c r="K1190" s="10" t="n">
        <x:v>0.05</x:v>
      </x:c>
      <x:c r="L1190" s="2" t="str">
        <x:v>Completed</x:v>
      </x:c>
      <x:c r="M1190" s="12" t="n">
        <x:f>H1190*I1190</x:f>
        <x:v>28000</x:v>
      </x:c>
      <x:c r="N1190" s="12" t="n">
        <x:f>IF(L1190="Completed",ROUND(M1190*(1-K1190),2),0)</x:f>
        <x:v>26600</x:v>
      </x:c>
      <x:c r="O1190" s="12" t="n">
        <x:f>IF(L1190="Completed",H1190*J1190,0)</x:f>
        <x:v>17500</x:v>
      </x:c>
      <x:c r="P1190" s="12" t="n">
        <x:f>N1190-O1190</x:f>
        <x:v>9100</x:v>
      </x:c>
    </x:row>
    <x:row r="1191" ht="21" customHeight="1">
      <x:c r="A1191" s="7" t="n">
        <x:v>1186</x:v>
      </x:c>
      <x:c r="B1191" s="2" t="str">
        <x:v>TXN-01186</x:v>
      </x:c>
      <x:c r="C1191" s="8" t="d">
        <x:v>2025-11-16T00:00:00.000Z</x:v>
      </x:c>
      <x:c r="D1191" s="2" t="str">
        <x:v>Port Harcourt</x:v>
      </x:c>
      <x:c r="E1191" s="2" t="str">
        <x:v>Electronics</x:v>
      </x:c>
      <x:c r="F1191" s="2" t="str">
        <x:v>Power bank</x:v>
      </x:c>
      <x:c r="G1191" s="2" t="str">
        <x:v>Online</x:v>
      </x:c>
      <x:c r="H1191" s="7" t="n">
        <x:v>3</x:v>
      </x:c>
      <x:c r="I1191" s="9" t="n">
        <x:v>15000</x:v>
      </x:c>
      <x:c r="J1191" s="9" t="n">
        <x:v>9500</x:v>
      </x:c>
      <x:c r="K1191" s="10" t="n">
        <x:v>0.1</x:v>
      </x:c>
      <x:c r="L1191" s="2" t="str">
        <x:v>Completed</x:v>
      </x:c>
      <x:c r="M1191" s="12" t="n">
        <x:f>H1191*I1191</x:f>
        <x:v>45000</x:v>
      </x:c>
      <x:c r="N1191" s="12" t="n">
        <x:f>IF(L1191="Completed",ROUND(M1191*(1-K1191),2),0)</x:f>
        <x:v>40500</x:v>
      </x:c>
      <x:c r="O1191" s="12" t="n">
        <x:f>IF(L1191="Completed",H1191*J1191,0)</x:f>
        <x:v>28500</x:v>
      </x:c>
      <x:c r="P1191" s="12" t="n">
        <x:f>N1191-O1191</x:f>
        <x:v>12000</x:v>
      </x:c>
    </x:row>
    <x:row r="1192" ht="21" customHeight="1">
      <x:c r="A1192" s="7" t="n">
        <x:v>1187</x:v>
      </x:c>
      <x:c r="B1192" s="2" t="str">
        <x:v>TXN-01187</x:v>
      </x:c>
      <x:c r="C1192" s="8" t="d">
        <x:v>2025-11-28T00:00:00.000Z</x:v>
      </x:c>
      <x:c r="D1192" s="2" t="str">
        <x:v>Port Harcourt</x:v>
      </x:c>
      <x:c r="E1192" s="2" t="str">
        <x:v>Beauty</x:v>
      </x:c>
      <x:c r="F1192" s="2" t="str">
        <x:v>Body wash</x:v>
      </x:c>
      <x:c r="G1192" s="2" t="str">
        <x:v>Online</x:v>
      </x:c>
      <x:c r="H1192" s="7" t="n">
        <x:v>1</x:v>
      </x:c>
      <x:c r="I1192" s="9" t="n">
        <x:v>4500</x:v>
      </x:c>
      <x:c r="J1192" s="9" t="n">
        <x:v>2300</x:v>
      </x:c>
      <x:c r="K1192" s="10" t="n">
        <x:v>0.1</x:v>
      </x:c>
      <x:c r="L1192" s="2" t="str">
        <x:v>Completed</x:v>
      </x:c>
      <x:c r="M1192" s="12" t="n">
        <x:f>H1192*I1192</x:f>
        <x:v>4500</x:v>
      </x:c>
      <x:c r="N1192" s="12" t="n">
        <x:f>IF(L1192="Completed",ROUND(M1192*(1-K1192),2),0)</x:f>
        <x:v>4050</x:v>
      </x:c>
      <x:c r="O1192" s="12" t="n">
        <x:f>IF(L1192="Completed",H1192*J1192,0)</x:f>
        <x:v>2300</x:v>
      </x:c>
      <x:c r="P1192" s="12" t="n">
        <x:f>N1192-O1192</x:f>
        <x:v>1750</x:v>
      </x:c>
    </x:row>
    <x:row r="1193" ht="21" customHeight="1">
      <x:c r="A1193" s="7" t="n">
        <x:v>1188</x:v>
      </x:c>
      <x:c r="B1193" s="2" t="str">
        <x:v>TXN-01188</x:v>
      </x:c>
      <x:c r="C1193" s="8" t="d">
        <x:v>2025-11-15T00:00:00.000Z</x:v>
      </x:c>
      <x:c r="D1193" s="2" t="str">
        <x:v>Lagos</x:v>
      </x:c>
      <x:c r="E1193" s="2" t="str">
        <x:v>Electronics</x:v>
      </x:c>
      <x:c r="F1193" s="2" t="str">
        <x:v>Headphones</x:v>
      </x:c>
      <x:c r="G1193" s="2" t="str">
        <x:v>Online</x:v>
      </x:c>
      <x:c r="H1193" s="7" t="n">
        <x:v>3</x:v>
      </x:c>
      <x:c r="I1193" s="9" t="n">
        <x:v>18000</x:v>
      </x:c>
      <x:c r="J1193" s="9" t="n">
        <x:v>10500</x:v>
      </x:c>
      <x:c r="K1193" s="10" t="n">
        <x:v>0</x:v>
      </x:c>
      <x:c r="L1193" s="2" t="str">
        <x:v>Completed</x:v>
      </x:c>
      <x:c r="M1193" s="12" t="n">
        <x:f>H1193*I1193</x:f>
        <x:v>54000</x:v>
      </x:c>
      <x:c r="N1193" s="12" t="n">
        <x:f>IF(L1193="Completed",ROUND(M1193*(1-K1193),2),0)</x:f>
        <x:v>54000</x:v>
      </x:c>
      <x:c r="O1193" s="12" t="n">
        <x:f>IF(L1193="Completed",H1193*J1193,0)</x:f>
        <x:v>31500</x:v>
      </x:c>
      <x:c r="P1193" s="12" t="n">
        <x:f>N1193-O1193</x:f>
        <x:v>22500</x:v>
      </x:c>
    </x:row>
    <x:row r="1194" ht="21" customHeight="1">
      <x:c r="A1194" s="7" t="n">
        <x:v>1189</x:v>
      </x:c>
      <x:c r="B1194" s="2" t="str">
        <x:v>TXN-01189</x:v>
      </x:c>
      <x:c r="C1194" s="8" t="d">
        <x:v>2025-11-08T00:00:00.000Z</x:v>
      </x:c>
      <x:c r="D1194" s="2" t="str">
        <x:v>Lagos</x:v>
      </x:c>
      <x:c r="E1194" s="2" t="str">
        <x:v>Beauty</x:v>
      </x:c>
      <x:c r="F1194" s="2" t="str">
        <x:v>Moisturizer</x:v>
      </x:c>
      <x:c r="G1194" s="2" t="str">
        <x:v>In-store</x:v>
      </x:c>
      <x:c r="H1194" s="7" t="n">
        <x:v>1</x:v>
      </x:c>
      <x:c r="I1194" s="9" t="n">
        <x:v>6500</x:v>
      </x:c>
      <x:c r="J1194" s="9" t="n">
        <x:v>3500</x:v>
      </x:c>
      <x:c r="K1194" s="10" t="n">
        <x:v>0</x:v>
      </x:c>
      <x:c r="L1194" s="2" t="str">
        <x:v>Completed</x:v>
      </x:c>
      <x:c r="M1194" s="12" t="n">
        <x:f>H1194*I1194</x:f>
        <x:v>6500</x:v>
      </x:c>
      <x:c r="N1194" s="12" t="n">
        <x:f>IF(L1194="Completed",ROUND(M1194*(1-K1194),2),0)</x:f>
        <x:v>6500</x:v>
      </x:c>
      <x:c r="O1194" s="12" t="n">
        <x:f>IF(L1194="Completed",H1194*J1194,0)</x:f>
        <x:v>3500</x:v>
      </x:c>
      <x:c r="P1194" s="12" t="n">
        <x:f>N1194-O1194</x:f>
        <x:v>3000</x:v>
      </x:c>
    </x:row>
    <x:row r="1195" ht="21" customHeight="1">
      <x:c r="A1195" s="7" t="n">
        <x:v>1190</x:v>
      </x:c>
      <x:c r="B1195" s="2" t="str">
        <x:v>TXN-01190</x:v>
      </x:c>
      <x:c r="C1195" s="8" t="d">
        <x:v>2025-11-11T00:00:00.000Z</x:v>
      </x:c>
      <x:c r="D1195" s="2" t="str">
        <x:v>Lagos</x:v>
      </x:c>
      <x:c r="E1195" s="2" t="str">
        <x:v>Electronics</x:v>
      </x:c>
      <x:c r="F1195" s="2" t="str">
        <x:v>Power bank</x:v>
      </x:c>
      <x:c r="G1195" s="2" t="str">
        <x:v>Online</x:v>
      </x:c>
      <x:c r="H1195" s="7" t="n">
        <x:v>2</x:v>
      </x:c>
      <x:c r="I1195" s="9" t="n">
        <x:v>15000</x:v>
      </x:c>
      <x:c r="J1195" s="9" t="n">
        <x:v>9500</x:v>
      </x:c>
      <x:c r="K1195" s="10" t="n">
        <x:v>0</x:v>
      </x:c>
      <x:c r="L1195" s="2" t="str">
        <x:v>Completed</x:v>
      </x:c>
      <x:c r="M1195" s="12" t="n">
        <x:f>H1195*I1195</x:f>
        <x:v>30000</x:v>
      </x:c>
      <x:c r="N1195" s="12" t="n">
        <x:f>IF(L1195="Completed",ROUND(M1195*(1-K1195),2),0)</x:f>
        <x:v>30000</x:v>
      </x:c>
      <x:c r="O1195" s="12" t="n">
        <x:f>IF(L1195="Completed",H1195*J1195,0)</x:f>
        <x:v>19000</x:v>
      </x:c>
      <x:c r="P1195" s="12" t="n">
        <x:f>N1195-O1195</x:f>
        <x:v>11000</x:v>
      </x:c>
    </x:row>
    <x:row r="1196" ht="21" customHeight="1">
      <x:c r="A1196" s="7" t="n">
        <x:v>1191</x:v>
      </x:c>
      <x:c r="B1196" s="2" t="str">
        <x:v>TXN-01191</x:v>
      </x:c>
      <x:c r="C1196" s="8" t="d">
        <x:v>2025-11-02T00:00:00.000Z</x:v>
      </x:c>
      <x:c r="D1196" s="2" t="str">
        <x:v>Port Harcourt</x:v>
      </x:c>
      <x:c r="E1196" s="2" t="str">
        <x:v>Electronics</x:v>
      </x:c>
      <x:c r="F1196" s="2" t="str">
        <x:v>Headphones</x:v>
      </x:c>
      <x:c r="G1196" s="2" t="str">
        <x:v>Online</x:v>
      </x:c>
      <x:c r="H1196" s="7" t="n">
        <x:v>2</x:v>
      </x:c>
      <x:c r="I1196" s="9" t="n">
        <x:v>18000</x:v>
      </x:c>
      <x:c r="J1196" s="9" t="n">
        <x:v>10500</x:v>
      </x:c>
      <x:c r="K1196" s="10" t="n">
        <x:v>0</x:v>
      </x:c>
      <x:c r="L1196" s="2" t="str">
        <x:v>Completed</x:v>
      </x:c>
      <x:c r="M1196" s="12" t="n">
        <x:f>H1196*I1196</x:f>
        <x:v>36000</x:v>
      </x:c>
      <x:c r="N1196" s="12" t="n">
        <x:f>IF(L1196="Completed",ROUND(M1196*(1-K1196),2),0)</x:f>
        <x:v>36000</x:v>
      </x:c>
      <x:c r="O1196" s="12" t="n">
        <x:f>IF(L1196="Completed",H1196*J1196,0)</x:f>
        <x:v>21000</x:v>
      </x:c>
      <x:c r="P1196" s="12" t="n">
        <x:f>N1196-O1196</x:f>
        <x:v>15000</x:v>
      </x:c>
    </x:row>
    <x:row r="1197" ht="21" customHeight="1">
      <x:c r="A1197" s="7" t="n">
        <x:v>1192</x:v>
      </x:c>
      <x:c r="B1197" s="2" t="str">
        <x:v>TXN-01192</x:v>
      </x:c>
      <x:c r="C1197" s="8" t="d">
        <x:v>2025-11-27T00:00:00.000Z</x:v>
      </x:c>
      <x:c r="D1197" s="2" t="str">
        <x:v>Abuja</x:v>
      </x:c>
      <x:c r="E1197" s="2" t="str">
        <x:v>Electronics</x:v>
      </x:c>
      <x:c r="F1197" s="2" t="str">
        <x:v>Power bank</x:v>
      </x:c>
      <x:c r="G1197" s="2" t="str">
        <x:v>Online</x:v>
      </x:c>
      <x:c r="H1197" s="7" t="n">
        <x:v>3</x:v>
      </x:c>
      <x:c r="I1197" s="9" t="n">
        <x:v>15000</x:v>
      </x:c>
      <x:c r="J1197" s="9" t="n">
        <x:v>9500</x:v>
      </x:c>
      <x:c r="K1197" s="10" t="n">
        <x:v>0</x:v>
      </x:c>
      <x:c r="L1197" s="2" t="str">
        <x:v>Completed</x:v>
      </x:c>
      <x:c r="M1197" s="12" t="n">
        <x:f>H1197*I1197</x:f>
        <x:v>45000</x:v>
      </x:c>
      <x:c r="N1197" s="12" t="n">
        <x:f>IF(L1197="Completed",ROUND(M1197*(1-K1197),2),0)</x:f>
        <x:v>45000</x:v>
      </x:c>
      <x:c r="O1197" s="12" t="n">
        <x:f>IF(L1197="Completed",H1197*J1197,0)</x:f>
        <x:v>28500</x:v>
      </x:c>
      <x:c r="P1197" s="12" t="n">
        <x:f>N1197-O1197</x:f>
        <x:v>16500</x:v>
      </x:c>
    </x:row>
    <x:row r="1198" ht="21" customHeight="1">
      <x:c r="A1198" s="7" t="n">
        <x:v>1193</x:v>
      </x:c>
      <x:c r="B1198" s="2" t="str">
        <x:v>TXN-01193</x:v>
      </x:c>
      <x:c r="C1198" s="8" t="d">
        <x:v>2025-11-20T00:00:00.000Z</x:v>
      </x:c>
      <x:c r="D1198" s="2" t="str">
        <x:v>Port Harcourt</x:v>
      </x:c>
      <x:c r="E1198" s="2" t="str">
        <x:v>Fashion</x:v>
      </x:c>
      <x:c r="F1198" s="2" t="str">
        <x:v>Sneakers</x:v>
      </x:c>
      <x:c r="G1198" s="2" t="str">
        <x:v>Online</x:v>
      </x:c>
      <x:c r="H1198" s="7" t="n">
        <x:v>2</x:v>
      </x:c>
      <x:c r="I1198" s="9" t="n">
        <x:v>28000</x:v>
      </x:c>
      <x:c r="J1198" s="9" t="n">
        <x:v>17500</x:v>
      </x:c>
      <x:c r="K1198" s="10" t="n">
        <x:v>0</x:v>
      </x:c>
      <x:c r="L1198" s="2" t="str">
        <x:v>Completed</x:v>
      </x:c>
      <x:c r="M1198" s="12" t="n">
        <x:f>H1198*I1198</x:f>
        <x:v>56000</x:v>
      </x:c>
      <x:c r="N1198" s="12" t="n">
        <x:f>IF(L1198="Completed",ROUND(M1198*(1-K1198),2),0)</x:f>
        <x:v>56000</x:v>
      </x:c>
      <x:c r="O1198" s="12" t="n">
        <x:f>IF(L1198="Completed",H1198*J1198,0)</x:f>
        <x:v>35000</x:v>
      </x:c>
      <x:c r="P1198" s="12" t="n">
        <x:f>N1198-O1198</x:f>
        <x:v>21000</x:v>
      </x:c>
    </x:row>
    <x:row r="1199" ht="21" customHeight="1">
      <x:c r="A1199" s="7" t="n">
        <x:v>1194</x:v>
      </x:c>
      <x:c r="B1199" s="2" t="str">
        <x:v>TXN-01194</x:v>
      </x:c>
      <x:c r="C1199" s="8" t="d">
        <x:v>2025-11-24T00:00:00.000Z</x:v>
      </x:c>
      <x:c r="D1199" s="2" t="str">
        <x:v>Lagos</x:v>
      </x:c>
      <x:c r="E1199" s="2" t="str">
        <x:v>Electronics</x:v>
      </x:c>
      <x:c r="F1199" s="2" t="str">
        <x:v>Headphones</x:v>
      </x:c>
      <x:c r="G1199" s="2" t="str">
        <x:v>Online</x:v>
      </x:c>
      <x:c r="H1199" s="7" t="n">
        <x:v>1</x:v>
      </x:c>
      <x:c r="I1199" s="9" t="n">
        <x:v>18000</x:v>
      </x:c>
      <x:c r="J1199" s="9" t="n">
        <x:v>10500</x:v>
      </x:c>
      <x:c r="K1199" s="10" t="n">
        <x:v>0</x:v>
      </x:c>
      <x:c r="L1199" s="2" t="str">
        <x:v>Completed</x:v>
      </x:c>
      <x:c r="M1199" s="12" t="n">
        <x:f>H1199*I1199</x:f>
        <x:v>18000</x:v>
      </x:c>
      <x:c r="N1199" s="12" t="n">
        <x:f>IF(L1199="Completed",ROUND(M1199*(1-K1199),2),0)</x:f>
        <x:v>18000</x:v>
      </x:c>
      <x:c r="O1199" s="12" t="n">
        <x:f>IF(L1199="Completed",H1199*J1199,0)</x:f>
        <x:v>10500</x:v>
      </x:c>
      <x:c r="P1199" s="12" t="n">
        <x:f>N1199-O1199</x:f>
        <x:v>7500</x:v>
      </x:c>
    </x:row>
    <x:row r="1200" ht="21" customHeight="1">
      <x:c r="A1200" s="7" t="n">
        <x:v>1195</x:v>
      </x:c>
      <x:c r="B1200" s="2" t="str">
        <x:v>TXN-01195</x:v>
      </x:c>
      <x:c r="C1200" s="8" t="d">
        <x:v>2025-11-29T00:00:00.000Z</x:v>
      </x:c>
      <x:c r="D1200" s="2" t="str">
        <x:v>Lagos</x:v>
      </x:c>
      <x:c r="E1200" s="2" t="str">
        <x:v>Electronics</x:v>
      </x:c>
      <x:c r="F1200" s="2" t="str">
        <x:v>Headphones</x:v>
      </x:c>
      <x:c r="G1200" s="2" t="str">
        <x:v>In-store</x:v>
      </x:c>
      <x:c r="H1200" s="7" t="n">
        <x:v>1</x:v>
      </x:c>
      <x:c r="I1200" s="9" t="n">
        <x:v>18000</x:v>
      </x:c>
      <x:c r="J1200" s="9" t="n">
        <x:v>10500</x:v>
      </x:c>
      <x:c r="K1200" s="10" t="n">
        <x:v>0.1</x:v>
      </x:c>
      <x:c r="L1200" s="2" t="str">
        <x:v>Completed</x:v>
      </x:c>
      <x:c r="M1200" s="12" t="n">
        <x:f>H1200*I1200</x:f>
        <x:v>18000</x:v>
      </x:c>
      <x:c r="N1200" s="12" t="n">
        <x:f>IF(L1200="Completed",ROUND(M1200*(1-K1200),2),0)</x:f>
        <x:v>16200</x:v>
      </x:c>
      <x:c r="O1200" s="12" t="n">
        <x:f>IF(L1200="Completed",H1200*J1200,0)</x:f>
        <x:v>10500</x:v>
      </x:c>
      <x:c r="P1200" s="12" t="n">
        <x:f>N1200-O1200</x:f>
        <x:v>5700</x:v>
      </x:c>
    </x:row>
    <x:row r="1201" ht="21" customHeight="1">
      <x:c r="A1201" s="7" t="n">
        <x:v>1196</x:v>
      </x:c>
      <x:c r="B1201" s="2" t="str">
        <x:v>TXN-01196</x:v>
      </x:c>
      <x:c r="C1201" s="8" t="d">
        <x:v>2025-11-22T00:00:00.000Z</x:v>
      </x:c>
      <x:c r="D1201" s="2" t="str">
        <x:v>Lagos</x:v>
      </x:c>
      <x:c r="E1201" s="2" t="str">
        <x:v>Fashion</x:v>
      </x:c>
      <x:c r="F1201" s="2" t="str">
        <x:v>Sneakers</x:v>
      </x:c>
      <x:c r="G1201" s="2" t="str">
        <x:v>Online</x:v>
      </x:c>
      <x:c r="H1201" s="7" t="n">
        <x:v>1</x:v>
      </x:c>
      <x:c r="I1201" s="9" t="n">
        <x:v>28000</x:v>
      </x:c>
      <x:c r="J1201" s="9" t="n">
        <x:v>17500</x:v>
      </x:c>
      <x:c r="K1201" s="10" t="n">
        <x:v>0</x:v>
      </x:c>
      <x:c r="L1201" s="2" t="str">
        <x:v>Returned</x:v>
      </x:c>
      <x:c r="M1201" s="12" t="n">
        <x:f>H1201*I1201</x:f>
        <x:v>28000</x:v>
      </x:c>
      <x:c r="N1201" s="12" t="n">
        <x:f>IF(L1201="Completed",ROUND(M1201*(1-K1201),2),0)</x:f>
        <x:v>0</x:v>
      </x:c>
      <x:c r="O1201" s="12" t="n">
        <x:f>IF(L1201="Completed",H1201*J1201,0)</x:f>
        <x:v>0</x:v>
      </x:c>
      <x:c r="P1201" s="12" t="n">
        <x:f>N1201-O1201</x:f>
        <x:v>0</x:v>
      </x:c>
    </x:row>
    <x:row r="1202" ht="21" customHeight="1">
      <x:c r="A1202" s="7" t="n">
        <x:v>1197</x:v>
      </x:c>
      <x:c r="B1202" s="2" t="str">
        <x:v>TXN-01197</x:v>
      </x:c>
      <x:c r="C1202" s="8" t="d">
        <x:v>2025-11-22T00:00:00.000Z</x:v>
      </x:c>
      <x:c r="D1202" s="2" t="str">
        <x:v>Kano</x:v>
      </x:c>
      <x:c r="E1202" s="2" t="str">
        <x:v>Fashion</x:v>
      </x:c>
      <x:c r="F1202" s="2" t="str">
        <x:v>T-shirt</x:v>
      </x:c>
      <x:c r="G1202" s="2" t="str">
        <x:v>Online</x:v>
      </x:c>
      <x:c r="H1202" s="7" t="n">
        <x:v>1</x:v>
      </x:c>
      <x:c r="I1202" s="9" t="n">
        <x:v>9000</x:v>
      </x:c>
      <x:c r="J1202" s="9" t="n">
        <x:v>5000</x:v>
      </x:c>
      <x:c r="K1202" s="10" t="n">
        <x:v>0</x:v>
      </x:c>
      <x:c r="L1202" s="2" t="str">
        <x:v>Returned</x:v>
      </x:c>
      <x:c r="M1202" s="12" t="n">
        <x:f>H1202*I1202</x:f>
        <x:v>9000</x:v>
      </x:c>
      <x:c r="N1202" s="12" t="n">
        <x:f>IF(L1202="Completed",ROUND(M1202*(1-K1202),2),0)</x:f>
        <x:v>0</x:v>
      </x:c>
      <x:c r="O1202" s="12" t="n">
        <x:f>IF(L1202="Completed",H1202*J1202,0)</x:f>
        <x:v>0</x:v>
      </x:c>
      <x:c r="P1202" s="12" t="n">
        <x:f>N1202-O1202</x:f>
        <x:v>0</x:v>
      </x:c>
    </x:row>
    <x:row r="1203" ht="21" customHeight="1">
      <x:c r="A1203" s="7" t="n">
        <x:v>1198</x:v>
      </x:c>
      <x:c r="B1203" s="2" t="str">
        <x:v>TXN-01198</x:v>
      </x:c>
      <x:c r="C1203" s="8" t="d">
        <x:v>2025-11-03T00:00:00.000Z</x:v>
      </x:c>
      <x:c r="D1203" s="2" t="str">
        <x:v>Lagos</x:v>
      </x:c>
      <x:c r="E1203" s="2" t="str">
        <x:v>Fashion</x:v>
      </x:c>
      <x:c r="F1203" s="2" t="str">
        <x:v>Handbag</x:v>
      </x:c>
      <x:c r="G1203" s="2" t="str">
        <x:v>Online</x:v>
      </x:c>
      <x:c r="H1203" s="7" t="n">
        <x:v>4</x:v>
      </x:c>
      <x:c r="I1203" s="9" t="n">
        <x:v>22000</x:v>
      </x:c>
      <x:c r="J1203" s="9" t="n">
        <x:v>13500</x:v>
      </x:c>
      <x:c r="K1203" s="10" t="n">
        <x:v>0</x:v>
      </x:c>
      <x:c r="L1203" s="2" t="str">
        <x:v>Completed</x:v>
      </x:c>
      <x:c r="M1203" s="12" t="n">
        <x:f>H1203*I1203</x:f>
        <x:v>88000</x:v>
      </x:c>
      <x:c r="N1203" s="12" t="n">
        <x:f>IF(L1203="Completed",ROUND(M1203*(1-K1203),2),0)</x:f>
        <x:v>88000</x:v>
      </x:c>
      <x:c r="O1203" s="12" t="n">
        <x:f>IF(L1203="Completed",H1203*J1203,0)</x:f>
        <x:v>54000</x:v>
      </x:c>
      <x:c r="P1203" s="12" t="n">
        <x:f>N1203-O1203</x:f>
        <x:v>34000</x:v>
      </x:c>
    </x:row>
    <x:row r="1204" ht="21" customHeight="1">
      <x:c r="A1204" s="7" t="n">
        <x:v>1199</x:v>
      </x:c>
      <x:c r="B1204" s="2" t="str">
        <x:v>TXN-01199</x:v>
      </x:c>
      <x:c r="C1204" s="8" t="d">
        <x:v>2025-11-10T00:00:00.000Z</x:v>
      </x:c>
      <x:c r="D1204" s="2" t="str">
        <x:v>Abuja</x:v>
      </x:c>
      <x:c r="E1204" s="2" t="str">
        <x:v>Fashion</x:v>
      </x:c>
      <x:c r="F1204" s="2" t="str">
        <x:v>Sneakers</x:v>
      </x:c>
      <x:c r="G1204" s="2" t="str">
        <x:v>In-store</x:v>
      </x:c>
      <x:c r="H1204" s="7" t="n">
        <x:v>1</x:v>
      </x:c>
      <x:c r="I1204" s="9" t="n">
        <x:v>28000</x:v>
      </x:c>
      <x:c r="J1204" s="9" t="n">
        <x:v>17500</x:v>
      </x:c>
      <x:c r="K1204" s="10" t="n">
        <x:v>0.05</x:v>
      </x:c>
      <x:c r="L1204" s="2" t="str">
        <x:v>Completed</x:v>
      </x:c>
      <x:c r="M1204" s="12" t="n">
        <x:f>H1204*I1204</x:f>
        <x:v>28000</x:v>
      </x:c>
      <x:c r="N1204" s="12" t="n">
        <x:f>IF(L1204="Completed",ROUND(M1204*(1-K1204),2),0)</x:f>
        <x:v>26600</x:v>
      </x:c>
      <x:c r="O1204" s="12" t="n">
        <x:f>IF(L1204="Completed",H1204*J1204,0)</x:f>
        <x:v>17500</x:v>
      </x:c>
      <x:c r="P1204" s="12" t="n">
        <x:f>N1204-O1204</x:f>
        <x:v>9100</x:v>
      </x:c>
    </x:row>
    <x:row r="1205" ht="21" customHeight="1">
      <x:c r="A1205" s="7" t="n">
        <x:v>1200</x:v>
      </x:c>
      <x:c r="B1205" s="2" t="str">
        <x:v>TXN-01200</x:v>
      </x:c>
      <x:c r="C1205" s="8" t="d">
        <x:v>2025-11-14T00:00:00.000Z</x:v>
      </x:c>
      <x:c r="D1205" s="2" t="str">
        <x:v>Port Harcourt</x:v>
      </x:c>
      <x:c r="E1205" s="2" t="str">
        <x:v>Fashion</x:v>
      </x:c>
      <x:c r="F1205" s="2" t="str">
        <x:v>Handbag</x:v>
      </x:c>
      <x:c r="G1205" s="2" t="str">
        <x:v>Online</x:v>
      </x:c>
      <x:c r="H1205" s="7" t="n">
        <x:v>4</x:v>
      </x:c>
      <x:c r="I1205" s="9" t="n">
        <x:v>22000</x:v>
      </x:c>
      <x:c r="J1205" s="9" t="n">
        <x:v>13500</x:v>
      </x:c>
      <x:c r="K1205" s="10" t="n">
        <x:v>0</x:v>
      </x:c>
      <x:c r="L1205" s="2" t="str">
        <x:v>Completed</x:v>
      </x:c>
      <x:c r="M1205" s="12" t="n">
        <x:f>H1205*I1205</x:f>
        <x:v>88000</x:v>
      </x:c>
      <x:c r="N1205" s="12" t="n">
        <x:f>IF(L1205="Completed",ROUND(M1205*(1-K1205),2),0)</x:f>
        <x:v>88000</x:v>
      </x:c>
      <x:c r="O1205" s="12" t="n">
        <x:f>IF(L1205="Completed",H1205*J1205,0)</x:f>
        <x:v>54000</x:v>
      </x:c>
      <x:c r="P1205" s="12" t="n">
        <x:f>N1205-O1205</x:f>
        <x:v>34000</x:v>
      </x:c>
    </x:row>
    <x:row r="1206" ht="21" customHeight="1">
      <x:c r="A1206" s="7" t="n">
        <x:v>1201</x:v>
      </x:c>
      <x:c r="B1206" s="2" t="str">
        <x:v>TXN-01201</x:v>
      </x:c>
      <x:c r="C1206" s="8" t="d">
        <x:v>2025-11-17T00:00:00.000Z</x:v>
      </x:c>
      <x:c r="D1206" s="2" t="str">
        <x:v>Port Harcourt</x:v>
      </x:c>
      <x:c r="E1206" s="2" t="str">
        <x:v>Beauty</x:v>
      </x:c>
      <x:c r="F1206" s="2" t="str">
        <x:v>Perfume</x:v>
      </x:c>
      <x:c r="G1206" s="2" t="str">
        <x:v>Online</x:v>
      </x:c>
      <x:c r="H1206" s="7" t="n">
        <x:v>1</x:v>
      </x:c>
      <x:c r="I1206" s="9" t="n">
        <x:v>17000</x:v>
      </x:c>
      <x:c r="J1206" s="9" t="n">
        <x:v>9000</x:v>
      </x:c>
      <x:c r="K1206" s="10" t="n">
        <x:v>0.1</x:v>
      </x:c>
      <x:c r="L1206" s="2" t="str">
        <x:v>Completed</x:v>
      </x:c>
      <x:c r="M1206" s="12" t="n">
        <x:f>H1206*I1206</x:f>
        <x:v>17000</x:v>
      </x:c>
      <x:c r="N1206" s="12" t="n">
        <x:f>IF(L1206="Completed",ROUND(M1206*(1-K1206),2),0)</x:f>
        <x:v>15300</x:v>
      </x:c>
      <x:c r="O1206" s="12" t="n">
        <x:f>IF(L1206="Completed",H1206*J1206,0)</x:f>
        <x:v>9000</x:v>
      </x:c>
      <x:c r="P1206" s="12" t="n">
        <x:f>N1206-O1206</x:f>
        <x:v>6300</x:v>
      </x:c>
    </x:row>
    <x:row r="1207" ht="21" customHeight="1">
      <x:c r="A1207" s="7" t="n">
        <x:v>1202</x:v>
      </x:c>
      <x:c r="B1207" s="2" t="str">
        <x:v>TXN-01202</x:v>
      </x:c>
      <x:c r="C1207" s="8" t="d">
        <x:v>2025-11-03T00:00:00.000Z</x:v>
      </x:c>
      <x:c r="D1207" s="2" t="str">
        <x:v>Lagos</x:v>
      </x:c>
      <x:c r="E1207" s="2" t="str">
        <x:v>Fashion</x:v>
      </x:c>
      <x:c r="F1207" s="2" t="str">
        <x:v>Sneakers</x:v>
      </x:c>
      <x:c r="G1207" s="2" t="str">
        <x:v>Online</x:v>
      </x:c>
      <x:c r="H1207" s="7" t="n">
        <x:v>1</x:v>
      </x:c>
      <x:c r="I1207" s="9" t="n">
        <x:v>28000</x:v>
      </x:c>
      <x:c r="J1207" s="9" t="n">
        <x:v>17500</x:v>
      </x:c>
      <x:c r="K1207" s="10" t="n">
        <x:v>0</x:v>
      </x:c>
      <x:c r="L1207" s="2" t="str">
        <x:v>Completed</x:v>
      </x:c>
      <x:c r="M1207" s="12" t="n">
        <x:f>H1207*I1207</x:f>
        <x:v>28000</x:v>
      </x:c>
      <x:c r="N1207" s="12" t="n">
        <x:f>IF(L1207="Completed",ROUND(M1207*(1-K1207),2),0)</x:f>
        <x:v>28000</x:v>
      </x:c>
      <x:c r="O1207" s="12" t="n">
        <x:f>IF(L1207="Completed",H1207*J1207,0)</x:f>
        <x:v>17500</x:v>
      </x:c>
      <x:c r="P1207" s="12" t="n">
        <x:f>N1207-O1207</x:f>
        <x:v>10500</x:v>
      </x:c>
    </x:row>
    <x:row r="1208" ht="21" customHeight="1">
      <x:c r="A1208" s="7" t="n">
        <x:v>1203</x:v>
      </x:c>
      <x:c r="B1208" s="2" t="str">
        <x:v>TXN-01203</x:v>
      </x:c>
      <x:c r="C1208" s="8" t="d">
        <x:v>2025-11-11T00:00:00.000Z</x:v>
      </x:c>
      <x:c r="D1208" s="2" t="str">
        <x:v>Lagos</x:v>
      </x:c>
      <x:c r="E1208" s="2" t="str">
        <x:v>Home</x:v>
      </x:c>
      <x:c r="F1208" s="2" t="str">
        <x:v>Cookware set</x:v>
      </x:c>
      <x:c r="G1208" s="2" t="str">
        <x:v>In-store</x:v>
      </x:c>
      <x:c r="H1208" s="7" t="n">
        <x:v>3</x:v>
      </x:c>
      <x:c r="I1208" s="9" t="n">
        <x:v>35000</x:v>
      </x:c>
      <x:c r="J1208" s="9" t="n">
        <x:v>22500</x:v>
      </x:c>
      <x:c r="K1208" s="10" t="n">
        <x:v>0</x:v>
      </x:c>
      <x:c r="L1208" s="2" t="str">
        <x:v>Completed</x:v>
      </x:c>
      <x:c r="M1208" s="12" t="n">
        <x:f>H1208*I1208</x:f>
        <x:v>105000</x:v>
      </x:c>
      <x:c r="N1208" s="12" t="n">
        <x:f>IF(L1208="Completed",ROUND(M1208*(1-K1208),2),0)</x:f>
        <x:v>105000</x:v>
      </x:c>
      <x:c r="O1208" s="12" t="n">
        <x:f>IF(L1208="Completed",H1208*J1208,0)</x:f>
        <x:v>67500</x:v>
      </x:c>
      <x:c r="P1208" s="12" t="n">
        <x:f>N1208-O1208</x:f>
        <x:v>37500</x:v>
      </x:c>
    </x:row>
    <x:row r="1209" ht="21" customHeight="1">
      <x:c r="A1209" s="7" t="n">
        <x:v>1204</x:v>
      </x:c>
      <x:c r="B1209" s="2" t="str">
        <x:v>TXN-01204</x:v>
      </x:c>
      <x:c r="C1209" s="8" t="d">
        <x:v>2025-11-20T00:00:00.000Z</x:v>
      </x:c>
      <x:c r="D1209" s="2" t="str">
        <x:v>Abuja</x:v>
      </x:c>
      <x:c r="E1209" s="2" t="str">
        <x:v>Home</x:v>
      </x:c>
      <x:c r="F1209" s="2" t="str">
        <x:v>Bedsheet</x:v>
      </x:c>
      <x:c r="G1209" s="2" t="str">
        <x:v>Online</x:v>
      </x:c>
      <x:c r="H1209" s="7" t="n">
        <x:v>2</x:v>
      </x:c>
      <x:c r="I1209" s="9" t="n">
        <x:v>14000</x:v>
      </x:c>
      <x:c r="J1209" s="9" t="n">
        <x:v>8500</x:v>
      </x:c>
      <x:c r="K1209" s="10" t="n">
        <x:v>0.1</x:v>
      </x:c>
      <x:c r="L1209" s="2" t="str">
        <x:v>Completed</x:v>
      </x:c>
      <x:c r="M1209" s="12" t="n">
        <x:f>H1209*I1209</x:f>
        <x:v>28000</x:v>
      </x:c>
      <x:c r="N1209" s="12" t="n">
        <x:f>IF(L1209="Completed",ROUND(M1209*(1-K1209),2),0)</x:f>
        <x:v>25200</x:v>
      </x:c>
      <x:c r="O1209" s="12" t="n">
        <x:f>IF(L1209="Completed",H1209*J1209,0)</x:f>
        <x:v>17000</x:v>
      </x:c>
      <x:c r="P1209" s="12" t="n">
        <x:f>N1209-O1209</x:f>
        <x:v>8200</x:v>
      </x:c>
    </x:row>
    <x:row r="1210" ht="21" customHeight="1">
      <x:c r="A1210" s="7" t="n">
        <x:v>1205</x:v>
      </x:c>
      <x:c r="B1210" s="2" t="str">
        <x:v>TXN-01205</x:v>
      </x:c>
      <x:c r="C1210" s="8" t="d">
        <x:v>2025-11-12T00:00:00.000Z</x:v>
      </x:c>
      <x:c r="D1210" s="2" t="str">
        <x:v>Abuja</x:v>
      </x:c>
      <x:c r="E1210" s="2" t="str">
        <x:v>Fashion</x:v>
      </x:c>
      <x:c r="F1210" s="2" t="str">
        <x:v>T-shirt</x:v>
      </x:c>
      <x:c r="G1210" s="2" t="str">
        <x:v>In-store</x:v>
      </x:c>
      <x:c r="H1210" s="7" t="n">
        <x:v>1</x:v>
      </x:c>
      <x:c r="I1210" s="9" t="n">
        <x:v>9000</x:v>
      </x:c>
      <x:c r="J1210" s="9" t="n">
        <x:v>5000</x:v>
      </x:c>
      <x:c r="K1210" s="10" t="n">
        <x:v>0.05</x:v>
      </x:c>
      <x:c r="L1210" s="2" t="str">
        <x:v>Completed</x:v>
      </x:c>
      <x:c r="M1210" s="12" t="n">
        <x:f>H1210*I1210</x:f>
        <x:v>9000</x:v>
      </x:c>
      <x:c r="N1210" s="12" t="n">
        <x:f>IF(L1210="Completed",ROUND(M1210*(1-K1210),2),0)</x:f>
        <x:v>8550</x:v>
      </x:c>
      <x:c r="O1210" s="12" t="n">
        <x:f>IF(L1210="Completed",H1210*J1210,0)</x:f>
        <x:v>5000</x:v>
      </x:c>
      <x:c r="P1210" s="12" t="n">
        <x:f>N1210-O1210</x:f>
        <x:v>3550</x:v>
      </x:c>
    </x:row>
    <x:row r="1211" ht="21" customHeight="1">
      <x:c r="A1211" s="7" t="n">
        <x:v>1206</x:v>
      </x:c>
      <x:c r="B1211" s="2" t="str">
        <x:v>TXN-01206</x:v>
      </x:c>
      <x:c r="C1211" s="8" t="d">
        <x:v>2025-11-20T00:00:00.000Z</x:v>
      </x:c>
      <x:c r="D1211" s="2" t="str">
        <x:v>Lagos</x:v>
      </x:c>
      <x:c r="E1211" s="2" t="str">
        <x:v>Electronics</x:v>
      </x:c>
      <x:c r="F1211" s="2" t="str">
        <x:v>Power bank</x:v>
      </x:c>
      <x:c r="G1211" s="2" t="str">
        <x:v>Online</x:v>
      </x:c>
      <x:c r="H1211" s="7" t="n">
        <x:v>1</x:v>
      </x:c>
      <x:c r="I1211" s="9" t="n">
        <x:v>15000</x:v>
      </x:c>
      <x:c r="J1211" s="9" t="n">
        <x:v>9500</x:v>
      </x:c>
      <x:c r="K1211" s="10" t="n">
        <x:v>0</x:v>
      </x:c>
      <x:c r="L1211" s="2" t="str">
        <x:v>Completed</x:v>
      </x:c>
      <x:c r="M1211" s="12" t="n">
        <x:f>H1211*I1211</x:f>
        <x:v>15000</x:v>
      </x:c>
      <x:c r="N1211" s="12" t="n">
        <x:f>IF(L1211="Completed",ROUND(M1211*(1-K1211),2),0)</x:f>
        <x:v>15000</x:v>
      </x:c>
      <x:c r="O1211" s="12" t="n">
        <x:f>IF(L1211="Completed",H1211*J1211,0)</x:f>
        <x:v>9500</x:v>
      </x:c>
      <x:c r="P1211" s="12" t="n">
        <x:f>N1211-O1211</x:f>
        <x:v>5500</x:v>
      </x:c>
    </x:row>
    <x:row r="1212" ht="21" customHeight="1">
      <x:c r="A1212" s="7" t="n">
        <x:v>1207</x:v>
      </x:c>
      <x:c r="B1212" s="2" t="str">
        <x:v>TXN-01207</x:v>
      </x:c>
      <x:c r="C1212" s="8" t="d">
        <x:v>2025-11-27T00:00:00.000Z</x:v>
      </x:c>
      <x:c r="D1212" s="2" t="str">
        <x:v>Lagos</x:v>
      </x:c>
      <x:c r="E1212" s="2" t="str">
        <x:v>Home</x:v>
      </x:c>
      <x:c r="F1212" s="2" t="str">
        <x:v>Bedsheet</x:v>
      </x:c>
      <x:c r="G1212" s="2" t="str">
        <x:v>Online</x:v>
      </x:c>
      <x:c r="H1212" s="7" t="n">
        <x:v>1</x:v>
      </x:c>
      <x:c r="I1212" s="9" t="n">
        <x:v>14000</x:v>
      </x:c>
      <x:c r="J1212" s="9" t="n">
        <x:v>8500</x:v>
      </x:c>
      <x:c r="K1212" s="10" t="n">
        <x:v>0.05</x:v>
      </x:c>
      <x:c r="L1212" s="2" t="str">
        <x:v>Returned</x:v>
      </x:c>
      <x:c r="M1212" s="12" t="n">
        <x:f>H1212*I1212</x:f>
        <x:v>14000</x:v>
      </x:c>
      <x:c r="N1212" s="12" t="n">
        <x:f>IF(L1212="Completed",ROUND(M1212*(1-K1212),2),0)</x:f>
        <x:v>0</x:v>
      </x:c>
      <x:c r="O1212" s="12" t="n">
        <x:f>IF(L1212="Completed",H1212*J1212,0)</x:f>
        <x:v>0</x:v>
      </x:c>
      <x:c r="P1212" s="12" t="n">
        <x:f>N1212-O1212</x:f>
        <x:v>0</x:v>
      </x:c>
    </x:row>
    <x:row r="1213" ht="21" customHeight="1">
      <x:c r="A1213" s="7" t="n">
        <x:v>1208</x:v>
      </x:c>
      <x:c r="B1213" s="2" t="str">
        <x:v>TXN-01208</x:v>
      </x:c>
      <x:c r="C1213" s="8" t="d">
        <x:v>2025-11-08T00:00:00.000Z</x:v>
      </x:c>
      <x:c r="D1213" s="2" t="str">
        <x:v>Abuja</x:v>
      </x:c>
      <x:c r="E1213" s="2" t="str">
        <x:v>Fashion</x:v>
      </x:c>
      <x:c r="F1213" s="2" t="str">
        <x:v>Sneakers</x:v>
      </x:c>
      <x:c r="G1213" s="2" t="str">
        <x:v>Online</x:v>
      </x:c>
      <x:c r="H1213" s="7" t="n">
        <x:v>1</x:v>
      </x:c>
      <x:c r="I1213" s="9" t="n">
        <x:v>28000</x:v>
      </x:c>
      <x:c r="J1213" s="9" t="n">
        <x:v>17500</x:v>
      </x:c>
      <x:c r="K1213" s="10" t="n">
        <x:v>0</x:v>
      </x:c>
      <x:c r="L1213" s="2" t="str">
        <x:v>Completed</x:v>
      </x:c>
      <x:c r="M1213" s="12" t="n">
        <x:f>H1213*I1213</x:f>
        <x:v>28000</x:v>
      </x:c>
      <x:c r="N1213" s="12" t="n">
        <x:f>IF(L1213="Completed",ROUND(M1213*(1-K1213),2),0)</x:f>
        <x:v>28000</x:v>
      </x:c>
      <x:c r="O1213" s="12" t="n">
        <x:f>IF(L1213="Completed",H1213*J1213,0)</x:f>
        <x:v>17500</x:v>
      </x:c>
      <x:c r="P1213" s="12" t="n">
        <x:f>N1213-O1213</x:f>
        <x:v>10500</x:v>
      </x:c>
    </x:row>
    <x:row r="1214" ht="21" customHeight="1">
      <x:c r="A1214" s="7" t="n">
        <x:v>1209</x:v>
      </x:c>
      <x:c r="B1214" s="2" t="str">
        <x:v>TXN-01209</x:v>
      </x:c>
      <x:c r="C1214" s="8" t="d">
        <x:v>2025-11-15T00:00:00.000Z</x:v>
      </x:c>
      <x:c r="D1214" s="2" t="str">
        <x:v>Abuja</x:v>
      </x:c>
      <x:c r="E1214" s="2" t="str">
        <x:v>Fashion</x:v>
      </x:c>
      <x:c r="F1214" s="2" t="str">
        <x:v>T-shirt</x:v>
      </x:c>
      <x:c r="G1214" s="2" t="str">
        <x:v>Online</x:v>
      </x:c>
      <x:c r="H1214" s="7" t="n">
        <x:v>3</x:v>
      </x:c>
      <x:c r="I1214" s="9" t="n">
        <x:v>9000</x:v>
      </x:c>
      <x:c r="J1214" s="9" t="n">
        <x:v>5000</x:v>
      </x:c>
      <x:c r="K1214" s="10" t="n">
        <x:v>0.05</x:v>
      </x:c>
      <x:c r="L1214" s="2" t="str">
        <x:v>Completed</x:v>
      </x:c>
      <x:c r="M1214" s="12" t="n">
        <x:f>H1214*I1214</x:f>
        <x:v>27000</x:v>
      </x:c>
      <x:c r="N1214" s="12" t="n">
        <x:f>IF(L1214="Completed",ROUND(M1214*(1-K1214),2),0)</x:f>
        <x:v>25650</x:v>
      </x:c>
      <x:c r="O1214" s="12" t="n">
        <x:f>IF(L1214="Completed",H1214*J1214,0)</x:f>
        <x:v>15000</x:v>
      </x:c>
      <x:c r="P1214" s="12" t="n">
        <x:f>N1214-O1214</x:f>
        <x:v>10650</x:v>
      </x:c>
    </x:row>
    <x:row r="1215" ht="21" customHeight="1">
      <x:c r="A1215" s="7" t="n">
        <x:v>1210</x:v>
      </x:c>
      <x:c r="B1215" s="2" t="str">
        <x:v>TXN-01210</x:v>
      </x:c>
      <x:c r="C1215" s="8" t="d">
        <x:v>2025-11-16T00:00:00.000Z</x:v>
      </x:c>
      <x:c r="D1215" s="2" t="str">
        <x:v>Lagos</x:v>
      </x:c>
      <x:c r="E1215" s="2" t="str">
        <x:v>Electronics</x:v>
      </x:c>
      <x:c r="F1215" s="2" t="str">
        <x:v>Headphones</x:v>
      </x:c>
      <x:c r="G1215" s="2" t="str">
        <x:v>In-store</x:v>
      </x:c>
      <x:c r="H1215" s="7" t="n">
        <x:v>1</x:v>
      </x:c>
      <x:c r="I1215" s="9" t="n">
        <x:v>18000</x:v>
      </x:c>
      <x:c r="J1215" s="9" t="n">
        <x:v>10500</x:v>
      </x:c>
      <x:c r="K1215" s="10" t="n">
        <x:v>0</x:v>
      </x:c>
      <x:c r="L1215" s="2" t="str">
        <x:v>Completed</x:v>
      </x:c>
      <x:c r="M1215" s="12" t="n">
        <x:f>H1215*I1215</x:f>
        <x:v>18000</x:v>
      </x:c>
      <x:c r="N1215" s="12" t="n">
        <x:f>IF(L1215="Completed",ROUND(M1215*(1-K1215),2),0)</x:f>
        <x:v>18000</x:v>
      </x:c>
      <x:c r="O1215" s="12" t="n">
        <x:f>IF(L1215="Completed",H1215*J1215,0)</x:f>
        <x:v>10500</x:v>
      </x:c>
      <x:c r="P1215" s="12" t="n">
        <x:f>N1215-O1215</x:f>
        <x:v>7500</x:v>
      </x:c>
    </x:row>
    <x:row r="1216" ht="21" customHeight="1">
      <x:c r="A1216" s="7" t="n">
        <x:v>1211</x:v>
      </x:c>
      <x:c r="B1216" s="2" t="str">
        <x:v>TXN-01211</x:v>
      </x:c>
      <x:c r="C1216" s="8" t="d">
        <x:v>2025-11-28T00:00:00.000Z</x:v>
      </x:c>
      <x:c r="D1216" s="2" t="str">
        <x:v>Lagos</x:v>
      </x:c>
      <x:c r="E1216" s="2" t="str">
        <x:v>Beauty</x:v>
      </x:c>
      <x:c r="F1216" s="2" t="str">
        <x:v>Perfume</x:v>
      </x:c>
      <x:c r="G1216" s="2" t="str">
        <x:v>In-store</x:v>
      </x:c>
      <x:c r="H1216" s="7" t="n">
        <x:v>1</x:v>
      </x:c>
      <x:c r="I1216" s="9" t="n">
        <x:v>17000</x:v>
      </x:c>
      <x:c r="J1216" s="9" t="n">
        <x:v>9000</x:v>
      </x:c>
      <x:c r="K1216" s="10" t="n">
        <x:v>0</x:v>
      </x:c>
      <x:c r="L1216" s="2" t="str">
        <x:v>Completed</x:v>
      </x:c>
      <x:c r="M1216" s="12" t="n">
        <x:f>H1216*I1216</x:f>
        <x:v>17000</x:v>
      </x:c>
      <x:c r="N1216" s="12" t="n">
        <x:f>IF(L1216="Completed",ROUND(M1216*(1-K1216),2),0)</x:f>
        <x:v>17000</x:v>
      </x:c>
      <x:c r="O1216" s="12" t="n">
        <x:f>IF(L1216="Completed",H1216*J1216,0)</x:f>
        <x:v>9000</x:v>
      </x:c>
      <x:c r="P1216" s="12" t="n">
        <x:f>N1216-O1216</x:f>
        <x:v>8000</x:v>
      </x:c>
    </x:row>
    <x:row r="1217" ht="21" customHeight="1">
      <x:c r="A1217" s="7" t="n">
        <x:v>1212</x:v>
      </x:c>
      <x:c r="B1217" s="2" t="str">
        <x:v>TXN-01212</x:v>
      </x:c>
      <x:c r="C1217" s="8" t="d">
        <x:v>2025-11-11T00:00:00.000Z</x:v>
      </x:c>
      <x:c r="D1217" s="2" t="str">
        <x:v>Lagos</x:v>
      </x:c>
      <x:c r="E1217" s="2" t="str">
        <x:v>Beauty</x:v>
      </x:c>
      <x:c r="F1217" s="2" t="str">
        <x:v>Perfume</x:v>
      </x:c>
      <x:c r="G1217" s="2" t="str">
        <x:v>In-store</x:v>
      </x:c>
      <x:c r="H1217" s="7" t="n">
        <x:v>1</x:v>
      </x:c>
      <x:c r="I1217" s="9" t="n">
        <x:v>17000</x:v>
      </x:c>
      <x:c r="J1217" s="9" t="n">
        <x:v>9000</x:v>
      </x:c>
      <x:c r="K1217" s="10" t="n">
        <x:v>0</x:v>
      </x:c>
      <x:c r="L1217" s="2" t="str">
        <x:v>Completed</x:v>
      </x:c>
      <x:c r="M1217" s="12" t="n">
        <x:f>H1217*I1217</x:f>
        <x:v>17000</x:v>
      </x:c>
      <x:c r="N1217" s="12" t="n">
        <x:f>IF(L1217="Completed",ROUND(M1217*(1-K1217),2),0)</x:f>
        <x:v>17000</x:v>
      </x:c>
      <x:c r="O1217" s="12" t="n">
        <x:f>IF(L1217="Completed",H1217*J1217,0)</x:f>
        <x:v>9000</x:v>
      </x:c>
      <x:c r="P1217" s="12" t="n">
        <x:f>N1217-O1217</x:f>
        <x:v>8000</x:v>
      </x:c>
    </x:row>
    <x:row r="1218" ht="21" customHeight="1">
      <x:c r="A1218" s="7" t="n">
        <x:v>1213</x:v>
      </x:c>
      <x:c r="B1218" s="2" t="str">
        <x:v>TXN-01213</x:v>
      </x:c>
      <x:c r="C1218" s="8" t="d">
        <x:v>2025-11-02T00:00:00.000Z</x:v>
      </x:c>
      <x:c r="D1218" s="2" t="str">
        <x:v>Lagos</x:v>
      </x:c>
      <x:c r="E1218" s="2" t="str">
        <x:v>Electronics</x:v>
      </x:c>
      <x:c r="F1218" s="2" t="str">
        <x:v>Headphones</x:v>
      </x:c>
      <x:c r="G1218" s="2" t="str">
        <x:v>Online</x:v>
      </x:c>
      <x:c r="H1218" s="7" t="n">
        <x:v>1</x:v>
      </x:c>
      <x:c r="I1218" s="9" t="n">
        <x:v>18000</x:v>
      </x:c>
      <x:c r="J1218" s="9" t="n">
        <x:v>10500</x:v>
      </x:c>
      <x:c r="K1218" s="10" t="n">
        <x:v>0.1</x:v>
      </x:c>
      <x:c r="L1218" s="2" t="str">
        <x:v>Completed</x:v>
      </x:c>
      <x:c r="M1218" s="12" t="n">
        <x:f>H1218*I1218</x:f>
        <x:v>18000</x:v>
      </x:c>
      <x:c r="N1218" s="12" t="n">
        <x:f>IF(L1218="Completed",ROUND(M1218*(1-K1218),2),0)</x:f>
        <x:v>16200</x:v>
      </x:c>
      <x:c r="O1218" s="12" t="n">
        <x:f>IF(L1218="Completed",H1218*J1218,0)</x:f>
        <x:v>10500</x:v>
      </x:c>
      <x:c r="P1218" s="12" t="n">
        <x:f>N1218-O1218</x:f>
        <x:v>5700</x:v>
      </x:c>
    </x:row>
    <x:row r="1219" ht="21" customHeight="1">
      <x:c r="A1219" s="7" t="n">
        <x:v>1214</x:v>
      </x:c>
      <x:c r="B1219" s="2" t="str">
        <x:v>TXN-01214</x:v>
      </x:c>
      <x:c r="C1219" s="8" t="d">
        <x:v>2025-11-26T00:00:00.000Z</x:v>
      </x:c>
      <x:c r="D1219" s="2" t="str">
        <x:v>Port Harcourt</x:v>
      </x:c>
      <x:c r="E1219" s="2" t="str">
        <x:v>Home</x:v>
      </x:c>
      <x:c r="F1219" s="2" t="str">
        <x:v>Cookware set</x:v>
      </x:c>
      <x:c r="G1219" s="2" t="str">
        <x:v>Online</x:v>
      </x:c>
      <x:c r="H1219" s="7" t="n">
        <x:v>2</x:v>
      </x:c>
      <x:c r="I1219" s="9" t="n">
        <x:v>35000</x:v>
      </x:c>
      <x:c r="J1219" s="9" t="n">
        <x:v>22500</x:v>
      </x:c>
      <x:c r="K1219" s="10" t="n">
        <x:v>0</x:v>
      </x:c>
      <x:c r="L1219" s="2" t="str">
        <x:v>Completed</x:v>
      </x:c>
      <x:c r="M1219" s="12" t="n">
        <x:f>H1219*I1219</x:f>
        <x:v>70000</x:v>
      </x:c>
      <x:c r="N1219" s="12" t="n">
        <x:f>IF(L1219="Completed",ROUND(M1219*(1-K1219),2),0)</x:f>
        <x:v>70000</x:v>
      </x:c>
      <x:c r="O1219" s="12" t="n">
        <x:f>IF(L1219="Completed",H1219*J1219,0)</x:f>
        <x:v>45000</x:v>
      </x:c>
      <x:c r="P1219" s="12" t="n">
        <x:f>N1219-O1219</x:f>
        <x:v>25000</x:v>
      </x:c>
    </x:row>
    <x:row r="1220" ht="21" customHeight="1">
      <x:c r="A1220" s="7" t="n">
        <x:v>1215</x:v>
      </x:c>
      <x:c r="B1220" s="2" t="str">
        <x:v>TXN-01215</x:v>
      </x:c>
      <x:c r="C1220" s="8" t="d">
        <x:v>2025-11-19T00:00:00.000Z</x:v>
      </x:c>
      <x:c r="D1220" s="2" t="str">
        <x:v>Lagos</x:v>
      </x:c>
      <x:c r="E1220" s="2" t="str">
        <x:v>Home</x:v>
      </x:c>
      <x:c r="F1220" s="2" t="str">
        <x:v>Desk lamp</x:v>
      </x:c>
      <x:c r="G1220" s="2" t="str">
        <x:v>In-store</x:v>
      </x:c>
      <x:c r="H1220" s="7" t="n">
        <x:v>1</x:v>
      </x:c>
      <x:c r="I1220" s="9" t="n">
        <x:v>12000</x:v>
      </x:c>
      <x:c r="J1220" s="9" t="n">
        <x:v>7200</x:v>
      </x:c>
      <x:c r="K1220" s="10" t="n">
        <x:v>0</x:v>
      </x:c>
      <x:c r="L1220" s="2" t="str">
        <x:v>Completed</x:v>
      </x:c>
      <x:c r="M1220" s="12" t="n">
        <x:f>H1220*I1220</x:f>
        <x:v>12000</x:v>
      </x:c>
      <x:c r="N1220" s="12" t="n">
        <x:f>IF(L1220="Completed",ROUND(M1220*(1-K1220),2),0)</x:f>
        <x:v>12000</x:v>
      </x:c>
      <x:c r="O1220" s="12" t="n">
        <x:f>IF(L1220="Completed",H1220*J1220,0)</x:f>
        <x:v>7200</x:v>
      </x:c>
      <x:c r="P1220" s="12" t="n">
        <x:f>N1220-O1220</x:f>
        <x:v>4800</x:v>
      </x:c>
    </x:row>
    <x:row r="1221" ht="21" customHeight="1">
      <x:c r="A1221" s="7" t="n">
        <x:v>1216</x:v>
      </x:c>
      <x:c r="B1221" s="2" t="str">
        <x:v>TXN-01216</x:v>
      </x:c>
      <x:c r="C1221" s="8" t="d">
        <x:v>2025-11-21T00:00:00.000Z</x:v>
      </x:c>
      <x:c r="D1221" s="2" t="str">
        <x:v>Lagos</x:v>
      </x:c>
      <x:c r="E1221" s="2" t="str">
        <x:v>Electronics</x:v>
      </x:c>
      <x:c r="F1221" s="2" t="str">
        <x:v>Bluetooth speaker</x:v>
      </x:c>
      <x:c r="G1221" s="2" t="str">
        <x:v>Online</x:v>
      </x:c>
      <x:c r="H1221" s="7" t="n">
        <x:v>2</x:v>
      </x:c>
      <x:c r="I1221" s="9" t="n">
        <x:v>26000</x:v>
      </x:c>
      <x:c r="J1221" s="9" t="n">
        <x:v>17000</x:v>
      </x:c>
      <x:c r="K1221" s="10" t="n">
        <x:v>0</x:v>
      </x:c>
      <x:c r="L1221" s="2" t="str">
        <x:v>Completed</x:v>
      </x:c>
      <x:c r="M1221" s="12" t="n">
        <x:f>H1221*I1221</x:f>
        <x:v>52000</x:v>
      </x:c>
      <x:c r="N1221" s="12" t="n">
        <x:f>IF(L1221="Completed",ROUND(M1221*(1-K1221),2),0)</x:f>
        <x:v>52000</x:v>
      </x:c>
      <x:c r="O1221" s="12" t="n">
        <x:f>IF(L1221="Completed",H1221*J1221,0)</x:f>
        <x:v>34000</x:v>
      </x:c>
      <x:c r="P1221" s="12" t="n">
        <x:f>N1221-O1221</x:f>
        <x:v>18000</x:v>
      </x:c>
    </x:row>
    <x:row r="1222" ht="21" customHeight="1">
      <x:c r="A1222" s="7" t="n">
        <x:v>1217</x:v>
      </x:c>
      <x:c r="B1222" s="2" t="str">
        <x:v>TXN-01217</x:v>
      </x:c>
      <x:c r="C1222" s="8" t="d">
        <x:v>2025-11-13T00:00:00.000Z</x:v>
      </x:c>
      <x:c r="D1222" s="2" t="str">
        <x:v>Abuja</x:v>
      </x:c>
      <x:c r="E1222" s="2" t="str">
        <x:v>Home</x:v>
      </x:c>
      <x:c r="F1222" s="2" t="str">
        <x:v>Cookware set</x:v>
      </x:c>
      <x:c r="G1222" s="2" t="str">
        <x:v>In-store</x:v>
      </x:c>
      <x:c r="H1222" s="7" t="n">
        <x:v>1</x:v>
      </x:c>
      <x:c r="I1222" s="9" t="n">
        <x:v>35000</x:v>
      </x:c>
      <x:c r="J1222" s="9" t="n">
        <x:v>22500</x:v>
      </x:c>
      <x:c r="K1222" s="10" t="n">
        <x:v>0.15</x:v>
      </x:c>
      <x:c r="L1222" s="2" t="str">
        <x:v>Completed</x:v>
      </x:c>
      <x:c r="M1222" s="12" t="n">
        <x:f>H1222*I1222</x:f>
        <x:v>35000</x:v>
      </x:c>
      <x:c r="N1222" s="12" t="n">
        <x:f>IF(L1222="Completed",ROUND(M1222*(1-K1222),2),0)</x:f>
        <x:v>29750</x:v>
      </x:c>
      <x:c r="O1222" s="12" t="n">
        <x:f>IF(L1222="Completed",H1222*J1222,0)</x:f>
        <x:v>22500</x:v>
      </x:c>
      <x:c r="P1222" s="12" t="n">
        <x:f>N1222-O1222</x:f>
        <x:v>7250</x:v>
      </x:c>
    </x:row>
    <x:row r="1223" ht="21" customHeight="1">
      <x:c r="A1223" s="7" t="n">
        <x:v>1218</x:v>
      </x:c>
      <x:c r="B1223" s="2" t="str">
        <x:v>TXN-01218</x:v>
      </x:c>
      <x:c r="C1223" s="8" t="d">
        <x:v>2025-11-06T00:00:00.000Z</x:v>
      </x:c>
      <x:c r="D1223" s="2" t="str">
        <x:v>Port Harcourt</x:v>
      </x:c>
      <x:c r="E1223" s="2" t="str">
        <x:v>Electronics</x:v>
      </x:c>
      <x:c r="F1223" s="2" t="str">
        <x:v>Headphones</x:v>
      </x:c>
      <x:c r="G1223" s="2" t="str">
        <x:v>Online</x:v>
      </x:c>
      <x:c r="H1223" s="7" t="n">
        <x:v>1</x:v>
      </x:c>
      <x:c r="I1223" s="9" t="n">
        <x:v>18000</x:v>
      </x:c>
      <x:c r="J1223" s="9" t="n">
        <x:v>10500</x:v>
      </x:c>
      <x:c r="K1223" s="10" t="n">
        <x:v>0.1</x:v>
      </x:c>
      <x:c r="L1223" s="2" t="str">
        <x:v>Completed</x:v>
      </x:c>
      <x:c r="M1223" s="12" t="n">
        <x:f>H1223*I1223</x:f>
        <x:v>18000</x:v>
      </x:c>
      <x:c r="N1223" s="12" t="n">
        <x:f>IF(L1223="Completed",ROUND(M1223*(1-K1223),2),0)</x:f>
        <x:v>16200</x:v>
      </x:c>
      <x:c r="O1223" s="12" t="n">
        <x:f>IF(L1223="Completed",H1223*J1223,0)</x:f>
        <x:v>10500</x:v>
      </x:c>
      <x:c r="P1223" s="12" t="n">
        <x:f>N1223-O1223</x:f>
        <x:v>5700</x:v>
      </x:c>
    </x:row>
    <x:row r="1224" ht="21" customHeight="1">
      <x:c r="A1224" s="7" t="n">
        <x:v>1219</x:v>
      </x:c>
      <x:c r="B1224" s="2" t="str">
        <x:v>TXN-01219</x:v>
      </x:c>
      <x:c r="C1224" s="8" t="d">
        <x:v>2025-11-17T00:00:00.000Z</x:v>
      </x:c>
      <x:c r="D1224" s="2" t="str">
        <x:v>Lagos</x:v>
      </x:c>
      <x:c r="E1224" s="2" t="str">
        <x:v>Beauty</x:v>
      </x:c>
      <x:c r="F1224" s="2" t="str">
        <x:v>Body wash</x:v>
      </x:c>
      <x:c r="G1224" s="2" t="str">
        <x:v>Online</x:v>
      </x:c>
      <x:c r="H1224" s="7" t="n">
        <x:v>1</x:v>
      </x:c>
      <x:c r="I1224" s="9" t="n">
        <x:v>4500</x:v>
      </x:c>
      <x:c r="J1224" s="9" t="n">
        <x:v>2300</x:v>
      </x:c>
      <x:c r="K1224" s="10" t="n">
        <x:v>0</x:v>
      </x:c>
      <x:c r="L1224" s="2" t="str">
        <x:v>Completed</x:v>
      </x:c>
      <x:c r="M1224" s="12" t="n">
        <x:f>H1224*I1224</x:f>
        <x:v>4500</x:v>
      </x:c>
      <x:c r="N1224" s="12" t="n">
        <x:f>IF(L1224="Completed",ROUND(M1224*(1-K1224),2),0)</x:f>
        <x:v>4500</x:v>
      </x:c>
      <x:c r="O1224" s="12" t="n">
        <x:f>IF(L1224="Completed",H1224*J1224,0)</x:f>
        <x:v>2300</x:v>
      </x:c>
      <x:c r="P1224" s="12" t="n">
        <x:f>N1224-O1224</x:f>
        <x:v>2200</x:v>
      </x:c>
    </x:row>
    <x:row r="1225" ht="21" customHeight="1">
      <x:c r="A1225" s="7" t="n">
        <x:v>1220</x:v>
      </x:c>
      <x:c r="B1225" s="2" t="str">
        <x:v>TXN-01220</x:v>
      </x:c>
      <x:c r="C1225" s="8" t="d">
        <x:v>2025-11-28T00:00:00.000Z</x:v>
      </x:c>
      <x:c r="D1225" s="2" t="str">
        <x:v>Lagos</x:v>
      </x:c>
      <x:c r="E1225" s="2" t="str">
        <x:v>Fashion</x:v>
      </x:c>
      <x:c r="F1225" s="2" t="str">
        <x:v>Handbag</x:v>
      </x:c>
      <x:c r="G1225" s="2" t="str">
        <x:v>In-store</x:v>
      </x:c>
      <x:c r="H1225" s="7" t="n">
        <x:v>1</x:v>
      </x:c>
      <x:c r="I1225" s="9" t="n">
        <x:v>22000</x:v>
      </x:c>
      <x:c r="J1225" s="9" t="n">
        <x:v>13500</x:v>
      </x:c>
      <x:c r="K1225" s="10" t="n">
        <x:v>0</x:v>
      </x:c>
      <x:c r="L1225" s="2" t="str">
        <x:v>Completed</x:v>
      </x:c>
      <x:c r="M1225" s="12" t="n">
        <x:f>H1225*I1225</x:f>
        <x:v>22000</x:v>
      </x:c>
      <x:c r="N1225" s="12" t="n">
        <x:f>IF(L1225="Completed",ROUND(M1225*(1-K1225),2),0)</x:f>
        <x:v>22000</x:v>
      </x:c>
      <x:c r="O1225" s="12" t="n">
        <x:f>IF(L1225="Completed",H1225*J1225,0)</x:f>
        <x:v>13500</x:v>
      </x:c>
      <x:c r="P1225" s="12" t="n">
        <x:f>N1225-O1225</x:f>
        <x:v>8500</x:v>
      </x:c>
    </x:row>
    <x:row r="1226" ht="21" customHeight="1">
      <x:c r="A1226" s="7" t="n">
        <x:v>1221</x:v>
      </x:c>
      <x:c r="B1226" s="2" t="str">
        <x:v>TXN-01221</x:v>
      </x:c>
      <x:c r="C1226" s="8" t="d">
        <x:v>2025-11-08T00:00:00.000Z</x:v>
      </x:c>
      <x:c r="D1226" s="2" t="str">
        <x:v>Kano</x:v>
      </x:c>
      <x:c r="E1226" s="2" t="str">
        <x:v>Fashion</x:v>
      </x:c>
      <x:c r="F1226" s="2" t="str">
        <x:v>T-shirt</x:v>
      </x:c>
      <x:c r="G1226" s="2" t="str">
        <x:v>In-store</x:v>
      </x:c>
      <x:c r="H1226" s="7" t="n">
        <x:v>2</x:v>
      </x:c>
      <x:c r="I1226" s="9" t="n">
        <x:v>9000</x:v>
      </x:c>
      <x:c r="J1226" s="9" t="n">
        <x:v>5000</x:v>
      </x:c>
      <x:c r="K1226" s="10" t="n">
        <x:v>0.05</x:v>
      </x:c>
      <x:c r="L1226" s="2" t="str">
        <x:v>Completed</x:v>
      </x:c>
      <x:c r="M1226" s="12" t="n">
        <x:f>H1226*I1226</x:f>
        <x:v>18000</x:v>
      </x:c>
      <x:c r="N1226" s="12" t="n">
        <x:f>IF(L1226="Completed",ROUND(M1226*(1-K1226),2),0)</x:f>
        <x:v>17100</x:v>
      </x:c>
      <x:c r="O1226" s="12" t="n">
        <x:f>IF(L1226="Completed",H1226*J1226,0)</x:f>
        <x:v>10000</x:v>
      </x:c>
      <x:c r="P1226" s="12" t="n">
        <x:f>N1226-O1226</x:f>
        <x:v>7100</x:v>
      </x:c>
    </x:row>
    <x:row r="1227" ht="21" customHeight="1">
      <x:c r="A1227" s="7" t="n">
        <x:v>1222</x:v>
      </x:c>
      <x:c r="B1227" s="2" t="str">
        <x:v>TXN-01222</x:v>
      </x:c>
      <x:c r="C1227" s="8" t="d">
        <x:v>2025-11-19T00:00:00.000Z</x:v>
      </x:c>
      <x:c r="D1227" s="2" t="str">
        <x:v>Port Harcourt</x:v>
      </x:c>
      <x:c r="E1227" s="2" t="str">
        <x:v>Beauty</x:v>
      </x:c>
      <x:c r="F1227" s="2" t="str">
        <x:v>Perfume</x:v>
      </x:c>
      <x:c r="G1227" s="2" t="str">
        <x:v>Online</x:v>
      </x:c>
      <x:c r="H1227" s="7" t="n">
        <x:v>2</x:v>
      </x:c>
      <x:c r="I1227" s="9" t="n">
        <x:v>17000</x:v>
      </x:c>
      <x:c r="J1227" s="9" t="n">
        <x:v>9000</x:v>
      </x:c>
      <x:c r="K1227" s="10" t="n">
        <x:v>0</x:v>
      </x:c>
      <x:c r="L1227" s="2" t="str">
        <x:v>Completed</x:v>
      </x:c>
      <x:c r="M1227" s="12" t="n">
        <x:f>H1227*I1227</x:f>
        <x:v>34000</x:v>
      </x:c>
      <x:c r="N1227" s="12" t="n">
        <x:f>IF(L1227="Completed",ROUND(M1227*(1-K1227),2),0)</x:f>
        <x:v>34000</x:v>
      </x:c>
      <x:c r="O1227" s="12" t="n">
        <x:f>IF(L1227="Completed",H1227*J1227,0)</x:f>
        <x:v>18000</x:v>
      </x:c>
      <x:c r="P1227" s="12" t="n">
        <x:f>N1227-O1227</x:f>
        <x:v>16000</x:v>
      </x:c>
    </x:row>
    <x:row r="1228" ht="21" customHeight="1">
      <x:c r="A1228" s="7" t="n">
        <x:v>1223</x:v>
      </x:c>
      <x:c r="B1228" s="2" t="str">
        <x:v>TXN-01223</x:v>
      </x:c>
      <x:c r="C1228" s="8" t="d">
        <x:v>2025-11-04T00:00:00.000Z</x:v>
      </x:c>
      <x:c r="D1228" s="2" t="str">
        <x:v>Abuja</x:v>
      </x:c>
      <x:c r="E1228" s="2" t="str">
        <x:v>Fashion</x:v>
      </x:c>
      <x:c r="F1228" s="2" t="str">
        <x:v>Handbag</x:v>
      </x:c>
      <x:c r="G1228" s="2" t="str">
        <x:v>In-store</x:v>
      </x:c>
      <x:c r="H1228" s="7" t="n">
        <x:v>1</x:v>
      </x:c>
      <x:c r="I1228" s="9" t="n">
        <x:v>22000</x:v>
      </x:c>
      <x:c r="J1228" s="9" t="n">
        <x:v>13500</x:v>
      </x:c>
      <x:c r="K1228" s="10" t="n">
        <x:v>0</x:v>
      </x:c>
      <x:c r="L1228" s="2" t="str">
        <x:v>Completed</x:v>
      </x:c>
      <x:c r="M1228" s="12" t="n">
        <x:f>H1228*I1228</x:f>
        <x:v>22000</x:v>
      </x:c>
      <x:c r="N1228" s="12" t="n">
        <x:f>IF(L1228="Completed",ROUND(M1228*(1-K1228),2),0)</x:f>
        <x:v>22000</x:v>
      </x:c>
      <x:c r="O1228" s="12" t="n">
        <x:f>IF(L1228="Completed",H1228*J1228,0)</x:f>
        <x:v>13500</x:v>
      </x:c>
      <x:c r="P1228" s="12" t="n">
        <x:f>N1228-O1228</x:f>
        <x:v>8500</x:v>
      </x:c>
    </x:row>
    <x:row r="1229" ht="21" customHeight="1">
      <x:c r="A1229" s="7" t="n">
        <x:v>1224</x:v>
      </x:c>
      <x:c r="B1229" s="2" t="str">
        <x:v>TXN-01224</x:v>
      </x:c>
      <x:c r="C1229" s="8" t="d">
        <x:v>2025-11-19T00:00:00.000Z</x:v>
      </x:c>
      <x:c r="D1229" s="2" t="str">
        <x:v>Abuja</x:v>
      </x:c>
      <x:c r="E1229" s="2" t="str">
        <x:v>Fashion</x:v>
      </x:c>
      <x:c r="F1229" s="2" t="str">
        <x:v>T-shirt</x:v>
      </x:c>
      <x:c r="G1229" s="2" t="str">
        <x:v>In-store</x:v>
      </x:c>
      <x:c r="H1229" s="7" t="n">
        <x:v>3</x:v>
      </x:c>
      <x:c r="I1229" s="9" t="n">
        <x:v>9000</x:v>
      </x:c>
      <x:c r="J1229" s="9" t="n">
        <x:v>5000</x:v>
      </x:c>
      <x:c r="K1229" s="10" t="n">
        <x:v>0.15</x:v>
      </x:c>
      <x:c r="L1229" s="2" t="str">
        <x:v>Completed</x:v>
      </x:c>
      <x:c r="M1229" s="12" t="n">
        <x:f>H1229*I1229</x:f>
        <x:v>27000</x:v>
      </x:c>
      <x:c r="N1229" s="12" t="n">
        <x:f>IF(L1229="Completed",ROUND(M1229*(1-K1229),2),0)</x:f>
        <x:v>22950</x:v>
      </x:c>
      <x:c r="O1229" s="12" t="n">
        <x:f>IF(L1229="Completed",H1229*J1229,0)</x:f>
        <x:v>15000</x:v>
      </x:c>
      <x:c r="P1229" s="12" t="n">
        <x:f>N1229-O1229</x:f>
        <x:v>7950</x:v>
      </x:c>
    </x:row>
    <x:row r="1230" ht="21" customHeight="1">
      <x:c r="A1230" s="7" t="n">
        <x:v>1225</x:v>
      </x:c>
      <x:c r="B1230" s="2" t="str">
        <x:v>TXN-01225</x:v>
      </x:c>
      <x:c r="C1230" s="8" t="d">
        <x:v>2025-11-23T00:00:00.000Z</x:v>
      </x:c>
      <x:c r="D1230" s="2" t="str">
        <x:v>Port Harcourt</x:v>
      </x:c>
      <x:c r="E1230" s="2" t="str">
        <x:v>Home</x:v>
      </x:c>
      <x:c r="F1230" s="2" t="str">
        <x:v>Desk lamp</x:v>
      </x:c>
      <x:c r="G1230" s="2" t="str">
        <x:v>Online</x:v>
      </x:c>
      <x:c r="H1230" s="7" t="n">
        <x:v>1</x:v>
      </x:c>
      <x:c r="I1230" s="9" t="n">
        <x:v>12000</x:v>
      </x:c>
      <x:c r="J1230" s="9" t="n">
        <x:v>7200</x:v>
      </x:c>
      <x:c r="K1230" s="10" t="n">
        <x:v>0</x:v>
      </x:c>
      <x:c r="L1230" s="2" t="str">
        <x:v>Completed</x:v>
      </x:c>
      <x:c r="M1230" s="12" t="n">
        <x:f>H1230*I1230</x:f>
        <x:v>12000</x:v>
      </x:c>
      <x:c r="N1230" s="12" t="n">
        <x:f>IF(L1230="Completed",ROUND(M1230*(1-K1230),2),0)</x:f>
        <x:v>12000</x:v>
      </x:c>
      <x:c r="O1230" s="12" t="n">
        <x:f>IF(L1230="Completed",H1230*J1230,0)</x:f>
        <x:v>7200</x:v>
      </x:c>
      <x:c r="P1230" s="12" t="n">
        <x:f>N1230-O1230</x:f>
        <x:v>4800</x:v>
      </x:c>
    </x:row>
    <x:row r="1231" ht="21" customHeight="1">
      <x:c r="A1231" s="7" t="n">
        <x:v>1226</x:v>
      </x:c>
      <x:c r="B1231" s="2" t="str">
        <x:v>TXN-01226</x:v>
      </x:c>
      <x:c r="C1231" s="8" t="d">
        <x:v>2025-11-21T00:00:00.000Z</x:v>
      </x:c>
      <x:c r="D1231" s="2" t="str">
        <x:v>Lagos</x:v>
      </x:c>
      <x:c r="E1231" s="2" t="str">
        <x:v>Beauty</x:v>
      </x:c>
      <x:c r="F1231" s="2" t="str">
        <x:v>Moisturizer</x:v>
      </x:c>
      <x:c r="G1231" s="2" t="str">
        <x:v>Online</x:v>
      </x:c>
      <x:c r="H1231" s="7" t="n">
        <x:v>3</x:v>
      </x:c>
      <x:c r="I1231" s="9" t="n">
        <x:v>6500</x:v>
      </x:c>
      <x:c r="J1231" s="9" t="n">
        <x:v>3500</x:v>
      </x:c>
      <x:c r="K1231" s="10" t="n">
        <x:v>0.15</x:v>
      </x:c>
      <x:c r="L1231" s="2" t="str">
        <x:v>Completed</x:v>
      </x:c>
      <x:c r="M1231" s="12" t="n">
        <x:f>H1231*I1231</x:f>
        <x:v>19500</x:v>
      </x:c>
      <x:c r="N1231" s="12" t="n">
        <x:f>IF(L1231="Completed",ROUND(M1231*(1-K1231),2),0)</x:f>
        <x:v>16575</x:v>
      </x:c>
      <x:c r="O1231" s="12" t="n">
        <x:f>IF(L1231="Completed",H1231*J1231,0)</x:f>
        <x:v>10500</x:v>
      </x:c>
      <x:c r="P1231" s="12" t="n">
        <x:f>N1231-O1231</x:f>
        <x:v>6075</x:v>
      </x:c>
    </x:row>
    <x:row r="1232" ht="21" customHeight="1">
      <x:c r="A1232" s="7" t="n">
        <x:v>1227</x:v>
      </x:c>
      <x:c r="B1232" s="2" t="str">
        <x:v>TXN-01227</x:v>
      </x:c>
      <x:c r="C1232" s="8" t="d">
        <x:v>2025-11-07T00:00:00.000Z</x:v>
      </x:c>
      <x:c r="D1232" s="2" t="str">
        <x:v>Lagos</x:v>
      </x:c>
      <x:c r="E1232" s="2" t="str">
        <x:v>Fashion</x:v>
      </x:c>
      <x:c r="F1232" s="2" t="str">
        <x:v>Handbag</x:v>
      </x:c>
      <x:c r="G1232" s="2" t="str">
        <x:v>Online</x:v>
      </x:c>
      <x:c r="H1232" s="7" t="n">
        <x:v>1</x:v>
      </x:c>
      <x:c r="I1232" s="9" t="n">
        <x:v>22000</x:v>
      </x:c>
      <x:c r="J1232" s="9" t="n">
        <x:v>13500</x:v>
      </x:c>
      <x:c r="K1232" s="10" t="n">
        <x:v>0.05</x:v>
      </x:c>
      <x:c r="L1232" s="2" t="str">
        <x:v>Completed</x:v>
      </x:c>
      <x:c r="M1232" s="12" t="n">
        <x:f>H1232*I1232</x:f>
        <x:v>22000</x:v>
      </x:c>
      <x:c r="N1232" s="12" t="n">
        <x:f>IF(L1232="Completed",ROUND(M1232*(1-K1232),2),0)</x:f>
        <x:v>20900</x:v>
      </x:c>
      <x:c r="O1232" s="12" t="n">
        <x:f>IF(L1232="Completed",H1232*J1232,0)</x:f>
        <x:v>13500</x:v>
      </x:c>
      <x:c r="P1232" s="12" t="n">
        <x:f>N1232-O1232</x:f>
        <x:v>7400</x:v>
      </x:c>
    </x:row>
    <x:row r="1233" ht="21" customHeight="1">
      <x:c r="A1233" s="7" t="n">
        <x:v>1228</x:v>
      </x:c>
      <x:c r="B1233" s="2" t="str">
        <x:v>TXN-01228</x:v>
      </x:c>
      <x:c r="C1233" s="8" t="d">
        <x:v>2025-11-07T00:00:00.000Z</x:v>
      </x:c>
      <x:c r="D1233" s="2" t="str">
        <x:v>Lagos</x:v>
      </x:c>
      <x:c r="E1233" s="2" t="str">
        <x:v>Electronics</x:v>
      </x:c>
      <x:c r="F1233" s="2" t="str">
        <x:v>Power bank</x:v>
      </x:c>
      <x:c r="G1233" s="2" t="str">
        <x:v>Online</x:v>
      </x:c>
      <x:c r="H1233" s="7" t="n">
        <x:v>1</x:v>
      </x:c>
      <x:c r="I1233" s="9" t="n">
        <x:v>15000</x:v>
      </x:c>
      <x:c r="J1233" s="9" t="n">
        <x:v>9500</x:v>
      </x:c>
      <x:c r="K1233" s="10" t="n">
        <x:v>0.1</x:v>
      </x:c>
      <x:c r="L1233" s="2" t="str">
        <x:v>Completed</x:v>
      </x:c>
      <x:c r="M1233" s="12" t="n">
        <x:f>H1233*I1233</x:f>
        <x:v>15000</x:v>
      </x:c>
      <x:c r="N1233" s="12" t="n">
        <x:f>IF(L1233="Completed",ROUND(M1233*(1-K1233),2),0)</x:f>
        <x:v>13500</x:v>
      </x:c>
      <x:c r="O1233" s="12" t="n">
        <x:f>IF(L1233="Completed",H1233*J1233,0)</x:f>
        <x:v>9500</x:v>
      </x:c>
      <x:c r="P1233" s="12" t="n">
        <x:f>N1233-O1233</x:f>
        <x:v>4000</x:v>
      </x:c>
    </x:row>
    <x:row r="1234" ht="21" customHeight="1">
      <x:c r="A1234" s="7" t="n">
        <x:v>1229</x:v>
      </x:c>
      <x:c r="B1234" s="2" t="str">
        <x:v>TXN-01229</x:v>
      </x:c>
      <x:c r="C1234" s="8" t="d">
        <x:v>2025-11-01T00:00:00.000Z</x:v>
      </x:c>
      <x:c r="D1234" s="2" t="str">
        <x:v>Port Harcourt</x:v>
      </x:c>
      <x:c r="E1234" s="2" t="str">
        <x:v>Electronics</x:v>
      </x:c>
      <x:c r="F1234" s="2" t="str">
        <x:v>Headphones</x:v>
      </x:c>
      <x:c r="G1234" s="2" t="str">
        <x:v>In-store</x:v>
      </x:c>
      <x:c r="H1234" s="7" t="n">
        <x:v>3</x:v>
      </x:c>
      <x:c r="I1234" s="9" t="n">
        <x:v>18000</x:v>
      </x:c>
      <x:c r="J1234" s="9" t="n">
        <x:v>10500</x:v>
      </x:c>
      <x:c r="K1234" s="10" t="n">
        <x:v>0.1</x:v>
      </x:c>
      <x:c r="L1234" s="2" t="str">
        <x:v>Completed</x:v>
      </x:c>
      <x:c r="M1234" s="12" t="n">
        <x:f>H1234*I1234</x:f>
        <x:v>54000</x:v>
      </x:c>
      <x:c r="N1234" s="12" t="n">
        <x:f>IF(L1234="Completed",ROUND(M1234*(1-K1234),2),0)</x:f>
        <x:v>48600</x:v>
      </x:c>
      <x:c r="O1234" s="12" t="n">
        <x:f>IF(L1234="Completed",H1234*J1234,0)</x:f>
        <x:v>31500</x:v>
      </x:c>
      <x:c r="P1234" s="12" t="n">
        <x:f>N1234-O1234</x:f>
        <x:v>17100</x:v>
      </x:c>
    </x:row>
    <x:row r="1235" ht="21" customHeight="1">
      <x:c r="A1235" s="7" t="n">
        <x:v>1230</x:v>
      </x:c>
      <x:c r="B1235" s="2" t="str">
        <x:v>TXN-01230</x:v>
      </x:c>
      <x:c r="C1235" s="8" t="d">
        <x:v>2025-11-13T00:00:00.000Z</x:v>
      </x:c>
      <x:c r="D1235" s="2" t="str">
        <x:v>Abuja</x:v>
      </x:c>
      <x:c r="E1235" s="2" t="str">
        <x:v>Fashion</x:v>
      </x:c>
      <x:c r="F1235" s="2" t="str">
        <x:v>T-shirt</x:v>
      </x:c>
      <x:c r="G1235" s="2" t="str">
        <x:v>Online</x:v>
      </x:c>
      <x:c r="H1235" s="7" t="n">
        <x:v>1</x:v>
      </x:c>
      <x:c r="I1235" s="9" t="n">
        <x:v>9000</x:v>
      </x:c>
      <x:c r="J1235" s="9" t="n">
        <x:v>5000</x:v>
      </x:c>
      <x:c r="K1235" s="10" t="n">
        <x:v>0.15</x:v>
      </x:c>
      <x:c r="L1235" s="2" t="str">
        <x:v>Completed</x:v>
      </x:c>
      <x:c r="M1235" s="12" t="n">
        <x:f>H1235*I1235</x:f>
        <x:v>9000</x:v>
      </x:c>
      <x:c r="N1235" s="12" t="n">
        <x:f>IF(L1235="Completed",ROUND(M1235*(1-K1235),2),0)</x:f>
        <x:v>7650</x:v>
      </x:c>
      <x:c r="O1235" s="12" t="n">
        <x:f>IF(L1235="Completed",H1235*J1235,0)</x:f>
        <x:v>5000</x:v>
      </x:c>
      <x:c r="P1235" s="12" t="n">
        <x:f>N1235-O1235</x:f>
        <x:v>2650</x:v>
      </x:c>
    </x:row>
    <x:row r="1236" ht="21" customHeight="1">
      <x:c r="A1236" s="7" t="n">
        <x:v>1231</x:v>
      </x:c>
      <x:c r="B1236" s="2" t="str">
        <x:v>TXN-01231</x:v>
      </x:c>
      <x:c r="C1236" s="8" t="d">
        <x:v>2025-11-22T00:00:00.000Z</x:v>
      </x:c>
      <x:c r="D1236" s="2" t="str">
        <x:v>Lagos</x:v>
      </x:c>
      <x:c r="E1236" s="2" t="str">
        <x:v>Electronics</x:v>
      </x:c>
      <x:c r="F1236" s="2" t="str">
        <x:v>Bluetooth speaker</x:v>
      </x:c>
      <x:c r="G1236" s="2" t="str">
        <x:v>Online</x:v>
      </x:c>
      <x:c r="H1236" s="7" t="n">
        <x:v>1</x:v>
      </x:c>
      <x:c r="I1236" s="9" t="n">
        <x:v>26000</x:v>
      </x:c>
      <x:c r="J1236" s="9" t="n">
        <x:v>17000</x:v>
      </x:c>
      <x:c r="K1236" s="10" t="n">
        <x:v>0.05</x:v>
      </x:c>
      <x:c r="L1236" s="2" t="str">
        <x:v>Completed</x:v>
      </x:c>
      <x:c r="M1236" s="12" t="n">
        <x:f>H1236*I1236</x:f>
        <x:v>26000</x:v>
      </x:c>
      <x:c r="N1236" s="12" t="n">
        <x:f>IF(L1236="Completed",ROUND(M1236*(1-K1236),2),0)</x:f>
        <x:v>24700</x:v>
      </x:c>
      <x:c r="O1236" s="12" t="n">
        <x:f>IF(L1236="Completed",H1236*J1236,0)</x:f>
        <x:v>17000</x:v>
      </x:c>
      <x:c r="P1236" s="12" t="n">
        <x:f>N1236-O1236</x:f>
        <x:v>7700</x:v>
      </x:c>
    </x:row>
    <x:row r="1237" ht="21" customHeight="1">
      <x:c r="A1237" s="7" t="n">
        <x:v>1232</x:v>
      </x:c>
      <x:c r="B1237" s="2" t="str">
        <x:v>TXN-01232</x:v>
      </x:c>
      <x:c r="C1237" s="8" t="d">
        <x:v>2025-11-28T00:00:00.000Z</x:v>
      </x:c>
      <x:c r="D1237" s="2" t="str">
        <x:v>Lagos</x:v>
      </x:c>
      <x:c r="E1237" s="2" t="str">
        <x:v>Electronics</x:v>
      </x:c>
      <x:c r="F1237" s="2" t="str">
        <x:v>Power bank</x:v>
      </x:c>
      <x:c r="G1237" s="2" t="str">
        <x:v>In-store</x:v>
      </x:c>
      <x:c r="H1237" s="7" t="n">
        <x:v>3</x:v>
      </x:c>
      <x:c r="I1237" s="9" t="n">
        <x:v>15000</x:v>
      </x:c>
      <x:c r="J1237" s="9" t="n">
        <x:v>9500</x:v>
      </x:c>
      <x:c r="K1237" s="10" t="n">
        <x:v>0</x:v>
      </x:c>
      <x:c r="L1237" s="2" t="str">
        <x:v>Completed</x:v>
      </x:c>
      <x:c r="M1237" s="12" t="n">
        <x:f>H1237*I1237</x:f>
        <x:v>45000</x:v>
      </x:c>
      <x:c r="N1237" s="12" t="n">
        <x:f>IF(L1237="Completed",ROUND(M1237*(1-K1237),2),0)</x:f>
        <x:v>45000</x:v>
      </x:c>
      <x:c r="O1237" s="12" t="n">
        <x:f>IF(L1237="Completed",H1237*J1237,0)</x:f>
        <x:v>28500</x:v>
      </x:c>
      <x:c r="P1237" s="12" t="n">
        <x:f>N1237-O1237</x:f>
        <x:v>16500</x:v>
      </x:c>
    </x:row>
    <x:row r="1238" ht="21" customHeight="1">
      <x:c r="A1238" s="7" t="n">
        <x:v>1233</x:v>
      </x:c>
      <x:c r="B1238" s="2" t="str">
        <x:v>TXN-01233</x:v>
      </x:c>
      <x:c r="C1238" s="8" t="d">
        <x:v>2025-11-25T00:00:00.000Z</x:v>
      </x:c>
      <x:c r="D1238" s="2" t="str">
        <x:v>Kano</x:v>
      </x:c>
      <x:c r="E1238" s="2" t="str">
        <x:v>Electronics</x:v>
      </x:c>
      <x:c r="F1238" s="2" t="str">
        <x:v>Bluetooth speaker</x:v>
      </x:c>
      <x:c r="G1238" s="2" t="str">
        <x:v>In-store</x:v>
      </x:c>
      <x:c r="H1238" s="7" t="n">
        <x:v>2</x:v>
      </x:c>
      <x:c r="I1238" s="9" t="n">
        <x:v>26000</x:v>
      </x:c>
      <x:c r="J1238" s="9" t="n">
        <x:v>17000</x:v>
      </x:c>
      <x:c r="K1238" s="10" t="n">
        <x:v>0</x:v>
      </x:c>
      <x:c r="L1238" s="2" t="str">
        <x:v>Completed</x:v>
      </x:c>
      <x:c r="M1238" s="12" t="n">
        <x:f>H1238*I1238</x:f>
        <x:v>52000</x:v>
      </x:c>
      <x:c r="N1238" s="12" t="n">
        <x:f>IF(L1238="Completed",ROUND(M1238*(1-K1238),2),0)</x:f>
        <x:v>52000</x:v>
      </x:c>
      <x:c r="O1238" s="12" t="n">
        <x:f>IF(L1238="Completed",H1238*J1238,0)</x:f>
        <x:v>34000</x:v>
      </x:c>
      <x:c r="P1238" s="12" t="n">
        <x:f>N1238-O1238</x:f>
        <x:v>18000</x:v>
      </x:c>
    </x:row>
    <x:row r="1239" ht="21" customHeight="1">
      <x:c r="A1239" s="7" t="n">
        <x:v>1234</x:v>
      </x:c>
      <x:c r="B1239" s="2" t="str">
        <x:v>TXN-01234</x:v>
      </x:c>
      <x:c r="C1239" s="8" t="d">
        <x:v>2025-11-08T00:00:00.000Z</x:v>
      </x:c>
      <x:c r="D1239" s="2" t="str">
        <x:v>Kano</x:v>
      </x:c>
      <x:c r="E1239" s="2" t="str">
        <x:v>Electronics</x:v>
      </x:c>
      <x:c r="F1239" s="2" t="str">
        <x:v>Headphones</x:v>
      </x:c>
      <x:c r="G1239" s="2" t="str">
        <x:v>Online</x:v>
      </x:c>
      <x:c r="H1239" s="7" t="n">
        <x:v>2</x:v>
      </x:c>
      <x:c r="I1239" s="9" t="n">
        <x:v>18000</x:v>
      </x:c>
      <x:c r="J1239" s="9" t="n">
        <x:v>10500</x:v>
      </x:c>
      <x:c r="K1239" s="10" t="n">
        <x:v>0</x:v>
      </x:c>
      <x:c r="L1239" s="2" t="str">
        <x:v>Completed</x:v>
      </x:c>
      <x:c r="M1239" s="12" t="n">
        <x:f>H1239*I1239</x:f>
        <x:v>36000</x:v>
      </x:c>
      <x:c r="N1239" s="12" t="n">
        <x:f>IF(L1239="Completed",ROUND(M1239*(1-K1239),2),0)</x:f>
        <x:v>36000</x:v>
      </x:c>
      <x:c r="O1239" s="12" t="n">
        <x:f>IF(L1239="Completed",H1239*J1239,0)</x:f>
        <x:v>21000</x:v>
      </x:c>
      <x:c r="P1239" s="12" t="n">
        <x:f>N1239-O1239</x:f>
        <x:v>15000</x:v>
      </x:c>
    </x:row>
    <x:row r="1240" ht="21" customHeight="1">
      <x:c r="A1240" s="7" t="n">
        <x:v>1235</x:v>
      </x:c>
      <x:c r="B1240" s="2" t="str">
        <x:v>TXN-01235</x:v>
      </x:c>
      <x:c r="C1240" s="8" t="d">
        <x:v>2025-11-19T00:00:00.000Z</x:v>
      </x:c>
      <x:c r="D1240" s="2" t="str">
        <x:v>Kano</x:v>
      </x:c>
      <x:c r="E1240" s="2" t="str">
        <x:v>Home</x:v>
      </x:c>
      <x:c r="F1240" s="2" t="str">
        <x:v>Bedsheet</x:v>
      </x:c>
      <x:c r="G1240" s="2" t="str">
        <x:v>Online</x:v>
      </x:c>
      <x:c r="H1240" s="7" t="n">
        <x:v>2</x:v>
      </x:c>
      <x:c r="I1240" s="9" t="n">
        <x:v>14000</x:v>
      </x:c>
      <x:c r="J1240" s="9" t="n">
        <x:v>8500</x:v>
      </x:c>
      <x:c r="K1240" s="10" t="n">
        <x:v>0.05</x:v>
      </x:c>
      <x:c r="L1240" s="2" t="str">
        <x:v>Completed</x:v>
      </x:c>
      <x:c r="M1240" s="12" t="n">
        <x:f>H1240*I1240</x:f>
        <x:v>28000</x:v>
      </x:c>
      <x:c r="N1240" s="12" t="n">
        <x:f>IF(L1240="Completed",ROUND(M1240*(1-K1240),2),0)</x:f>
        <x:v>26600</x:v>
      </x:c>
      <x:c r="O1240" s="12" t="n">
        <x:f>IF(L1240="Completed",H1240*J1240,0)</x:f>
        <x:v>17000</x:v>
      </x:c>
      <x:c r="P1240" s="12" t="n">
        <x:f>N1240-O1240</x:f>
        <x:v>9600</x:v>
      </x:c>
    </x:row>
    <x:row r="1241" ht="21" customHeight="1">
      <x:c r="A1241" s="7" t="n">
        <x:v>1236</x:v>
      </x:c>
      <x:c r="B1241" s="2" t="str">
        <x:v>TXN-01236</x:v>
      </x:c>
      <x:c r="C1241" s="8" t="d">
        <x:v>2025-11-16T00:00:00.000Z</x:v>
      </x:c>
      <x:c r="D1241" s="2" t="str">
        <x:v>Lagos</x:v>
      </x:c>
      <x:c r="E1241" s="2" t="str">
        <x:v>Beauty</x:v>
      </x:c>
      <x:c r="F1241" s="2" t="str">
        <x:v>Perfume</x:v>
      </x:c>
      <x:c r="G1241" s="2" t="str">
        <x:v>Online</x:v>
      </x:c>
      <x:c r="H1241" s="7" t="n">
        <x:v>4</x:v>
      </x:c>
      <x:c r="I1241" s="9" t="n">
        <x:v>17000</x:v>
      </x:c>
      <x:c r="J1241" s="9" t="n">
        <x:v>9000</x:v>
      </x:c>
      <x:c r="K1241" s="10" t="n">
        <x:v>0.1</x:v>
      </x:c>
      <x:c r="L1241" s="2" t="str">
        <x:v>Completed</x:v>
      </x:c>
      <x:c r="M1241" s="12" t="n">
        <x:f>H1241*I1241</x:f>
        <x:v>68000</x:v>
      </x:c>
      <x:c r="N1241" s="12" t="n">
        <x:f>IF(L1241="Completed",ROUND(M1241*(1-K1241),2),0)</x:f>
        <x:v>61200</x:v>
      </x:c>
      <x:c r="O1241" s="12" t="n">
        <x:f>IF(L1241="Completed",H1241*J1241,0)</x:f>
        <x:v>36000</x:v>
      </x:c>
      <x:c r="P1241" s="12" t="n">
        <x:f>N1241-O1241</x:f>
        <x:v>25200</x:v>
      </x:c>
    </x:row>
    <x:row r="1242" ht="21" customHeight="1">
      <x:c r="A1242" s="7" t="n">
        <x:v>1237</x:v>
      </x:c>
      <x:c r="B1242" s="2" t="str">
        <x:v>TXN-01237</x:v>
      </x:c>
      <x:c r="C1242" s="8" t="d">
        <x:v>2025-11-30T00:00:00.000Z</x:v>
      </x:c>
      <x:c r="D1242" s="2" t="str">
        <x:v>Kano</x:v>
      </x:c>
      <x:c r="E1242" s="2" t="str">
        <x:v>Beauty</x:v>
      </x:c>
      <x:c r="F1242" s="2" t="str">
        <x:v>Perfume</x:v>
      </x:c>
      <x:c r="G1242" s="2" t="str">
        <x:v>In-store</x:v>
      </x:c>
      <x:c r="H1242" s="7" t="n">
        <x:v>1</x:v>
      </x:c>
      <x:c r="I1242" s="9" t="n">
        <x:v>17000</x:v>
      </x:c>
      <x:c r="J1242" s="9" t="n">
        <x:v>9000</x:v>
      </x:c>
      <x:c r="K1242" s="10" t="n">
        <x:v>0</x:v>
      </x:c>
      <x:c r="L1242" s="2" t="str">
        <x:v>Completed</x:v>
      </x:c>
      <x:c r="M1242" s="12" t="n">
        <x:f>H1242*I1242</x:f>
        <x:v>17000</x:v>
      </x:c>
      <x:c r="N1242" s="12" t="n">
        <x:f>IF(L1242="Completed",ROUND(M1242*(1-K1242),2),0)</x:f>
        <x:v>17000</x:v>
      </x:c>
      <x:c r="O1242" s="12" t="n">
        <x:f>IF(L1242="Completed",H1242*J1242,0)</x:f>
        <x:v>9000</x:v>
      </x:c>
      <x:c r="P1242" s="12" t="n">
        <x:f>N1242-O1242</x:f>
        <x:v>8000</x:v>
      </x:c>
    </x:row>
    <x:row r="1243" ht="21" customHeight="1">
      <x:c r="A1243" s="7" t="n">
        <x:v>1238</x:v>
      </x:c>
      <x:c r="B1243" s="2" t="str">
        <x:v>TXN-01238</x:v>
      </x:c>
      <x:c r="C1243" s="8" t="d">
        <x:v>2025-11-17T00:00:00.000Z</x:v>
      </x:c>
      <x:c r="D1243" s="2" t="str">
        <x:v>Abuja</x:v>
      </x:c>
      <x:c r="E1243" s="2" t="str">
        <x:v>Beauty</x:v>
      </x:c>
      <x:c r="F1243" s="2" t="str">
        <x:v>Moisturizer</x:v>
      </x:c>
      <x:c r="G1243" s="2" t="str">
        <x:v>Online</x:v>
      </x:c>
      <x:c r="H1243" s="7" t="n">
        <x:v>2</x:v>
      </x:c>
      <x:c r="I1243" s="9" t="n">
        <x:v>6500</x:v>
      </x:c>
      <x:c r="J1243" s="9" t="n">
        <x:v>3500</x:v>
      </x:c>
      <x:c r="K1243" s="10" t="n">
        <x:v>0</x:v>
      </x:c>
      <x:c r="L1243" s="2" t="str">
        <x:v>Returned</x:v>
      </x:c>
      <x:c r="M1243" s="12" t="n">
        <x:f>H1243*I1243</x:f>
        <x:v>13000</x:v>
      </x:c>
      <x:c r="N1243" s="12" t="n">
        <x:f>IF(L1243="Completed",ROUND(M1243*(1-K1243),2),0)</x:f>
        <x:v>0</x:v>
      </x:c>
      <x:c r="O1243" s="12" t="n">
        <x:f>IF(L1243="Completed",H1243*J1243,0)</x:f>
        <x:v>0</x:v>
      </x:c>
      <x:c r="P1243" s="12" t="n">
        <x:f>N1243-O1243</x:f>
        <x:v>0</x:v>
      </x:c>
    </x:row>
    <x:row r="1244" ht="21" customHeight="1">
      <x:c r="A1244" s="7" t="n">
        <x:v>1239</x:v>
      </x:c>
      <x:c r="B1244" s="2" t="str">
        <x:v>TXN-01239</x:v>
      </x:c>
      <x:c r="C1244" s="8" t="d">
        <x:v>2025-11-17T00:00:00.000Z</x:v>
      </x:c>
      <x:c r="D1244" s="2" t="str">
        <x:v>Lagos</x:v>
      </x:c>
      <x:c r="E1244" s="2" t="str">
        <x:v>Home</x:v>
      </x:c>
      <x:c r="F1244" s="2" t="str">
        <x:v>Cookware set</x:v>
      </x:c>
      <x:c r="G1244" s="2" t="str">
        <x:v>Online</x:v>
      </x:c>
      <x:c r="H1244" s="7" t="n">
        <x:v>1</x:v>
      </x:c>
      <x:c r="I1244" s="9" t="n">
        <x:v>35000</x:v>
      </x:c>
      <x:c r="J1244" s="9" t="n">
        <x:v>22500</x:v>
      </x:c>
      <x:c r="K1244" s="10" t="n">
        <x:v>0.05</x:v>
      </x:c>
      <x:c r="L1244" s="2" t="str">
        <x:v>Completed</x:v>
      </x:c>
      <x:c r="M1244" s="12" t="n">
        <x:f>H1244*I1244</x:f>
        <x:v>35000</x:v>
      </x:c>
      <x:c r="N1244" s="12" t="n">
        <x:f>IF(L1244="Completed",ROUND(M1244*(1-K1244),2),0)</x:f>
        <x:v>33250</x:v>
      </x:c>
      <x:c r="O1244" s="12" t="n">
        <x:f>IF(L1244="Completed",H1244*J1244,0)</x:f>
        <x:v>22500</x:v>
      </x:c>
      <x:c r="P1244" s="12" t="n">
        <x:f>N1244-O1244</x:f>
        <x:v>10750</x:v>
      </x:c>
    </x:row>
    <x:row r="1245" ht="21" customHeight="1">
      <x:c r="A1245" s="7" t="n">
        <x:v>1240</x:v>
      </x:c>
      <x:c r="B1245" s="2" t="str">
        <x:v>TXN-01240</x:v>
      </x:c>
      <x:c r="C1245" s="8" t="d">
        <x:v>2025-11-30T00:00:00.000Z</x:v>
      </x:c>
      <x:c r="D1245" s="2" t="str">
        <x:v>Port Harcourt</x:v>
      </x:c>
      <x:c r="E1245" s="2" t="str">
        <x:v>Fashion</x:v>
      </x:c>
      <x:c r="F1245" s="2" t="str">
        <x:v>Sneakers</x:v>
      </x:c>
      <x:c r="G1245" s="2" t="str">
        <x:v>In-store</x:v>
      </x:c>
      <x:c r="H1245" s="7" t="n">
        <x:v>1</x:v>
      </x:c>
      <x:c r="I1245" s="9" t="n">
        <x:v>28000</x:v>
      </x:c>
      <x:c r="J1245" s="9" t="n">
        <x:v>17500</x:v>
      </x:c>
      <x:c r="K1245" s="10" t="n">
        <x:v>0</x:v>
      </x:c>
      <x:c r="L1245" s="2" t="str">
        <x:v>Completed</x:v>
      </x:c>
      <x:c r="M1245" s="12" t="n">
        <x:f>H1245*I1245</x:f>
        <x:v>28000</x:v>
      </x:c>
      <x:c r="N1245" s="12" t="n">
        <x:f>IF(L1245="Completed",ROUND(M1245*(1-K1245),2),0)</x:f>
        <x:v>28000</x:v>
      </x:c>
      <x:c r="O1245" s="12" t="n">
        <x:f>IF(L1245="Completed",H1245*J1245,0)</x:f>
        <x:v>17500</x:v>
      </x:c>
      <x:c r="P1245" s="12" t="n">
        <x:f>N1245-O1245</x:f>
        <x:v>10500</x:v>
      </x:c>
    </x:row>
    <x:row r="1246" ht="21" customHeight="1">
      <x:c r="A1246" s="7" t="n">
        <x:v>1241</x:v>
      </x:c>
      <x:c r="B1246" s="2" t="str">
        <x:v>TXN-01241</x:v>
      </x:c>
      <x:c r="C1246" s="8" t="d">
        <x:v>2025-11-28T00:00:00.000Z</x:v>
      </x:c>
      <x:c r="D1246" s="2" t="str">
        <x:v>Abuja</x:v>
      </x:c>
      <x:c r="E1246" s="2" t="str">
        <x:v>Electronics</x:v>
      </x:c>
      <x:c r="F1246" s="2" t="str">
        <x:v>Power bank</x:v>
      </x:c>
      <x:c r="G1246" s="2" t="str">
        <x:v>Online</x:v>
      </x:c>
      <x:c r="H1246" s="7" t="n">
        <x:v>1</x:v>
      </x:c>
      <x:c r="I1246" s="9" t="n">
        <x:v>15000</x:v>
      </x:c>
      <x:c r="J1246" s="9" t="n">
        <x:v>9500</x:v>
      </x:c>
      <x:c r="K1246" s="10" t="n">
        <x:v>0.05</x:v>
      </x:c>
      <x:c r="L1246" s="2" t="str">
        <x:v>Completed</x:v>
      </x:c>
      <x:c r="M1246" s="12" t="n">
        <x:f>H1246*I1246</x:f>
        <x:v>15000</x:v>
      </x:c>
      <x:c r="N1246" s="12" t="n">
        <x:f>IF(L1246="Completed",ROUND(M1246*(1-K1246),2),0)</x:f>
        <x:v>14250</x:v>
      </x:c>
      <x:c r="O1246" s="12" t="n">
        <x:f>IF(L1246="Completed",H1246*J1246,0)</x:f>
        <x:v>9500</x:v>
      </x:c>
      <x:c r="P1246" s="12" t="n">
        <x:f>N1246-O1246</x:f>
        <x:v>4750</x:v>
      </x:c>
    </x:row>
    <x:row r="1247" ht="21" customHeight="1">
      <x:c r="A1247" s="7" t="n">
        <x:v>1242</x:v>
      </x:c>
      <x:c r="B1247" s="2" t="str">
        <x:v>TXN-01242</x:v>
      </x:c>
      <x:c r="C1247" s="8" t="d">
        <x:v>2025-11-15T00:00:00.000Z</x:v>
      </x:c>
      <x:c r="D1247" s="2" t="str">
        <x:v>Port Harcourt</x:v>
      </x:c>
      <x:c r="E1247" s="2" t="str">
        <x:v>Electronics</x:v>
      </x:c>
      <x:c r="F1247" s="2" t="str">
        <x:v>Headphones</x:v>
      </x:c>
      <x:c r="G1247" s="2" t="str">
        <x:v>In-store</x:v>
      </x:c>
      <x:c r="H1247" s="7" t="n">
        <x:v>1</x:v>
      </x:c>
      <x:c r="I1247" s="9" t="n">
        <x:v>18000</x:v>
      </x:c>
      <x:c r="J1247" s="9" t="n">
        <x:v>10500</x:v>
      </x:c>
      <x:c r="K1247" s="10" t="n">
        <x:v>0</x:v>
      </x:c>
      <x:c r="L1247" s="2" t="str">
        <x:v>Returned</x:v>
      </x:c>
      <x:c r="M1247" s="12" t="n">
        <x:f>H1247*I1247</x:f>
        <x:v>18000</x:v>
      </x:c>
      <x:c r="N1247" s="12" t="n">
        <x:f>IF(L1247="Completed",ROUND(M1247*(1-K1247),2),0)</x:f>
        <x:v>0</x:v>
      </x:c>
      <x:c r="O1247" s="12" t="n">
        <x:f>IF(L1247="Completed",H1247*J1247,0)</x:f>
        <x:v>0</x:v>
      </x:c>
      <x:c r="P1247" s="12" t="n">
        <x:f>N1247-O1247</x:f>
        <x:v>0</x:v>
      </x:c>
    </x:row>
    <x:row r="1248" ht="21" customHeight="1">
      <x:c r="A1248" s="7" t="n">
        <x:v>1243</x:v>
      </x:c>
      <x:c r="B1248" s="2" t="str">
        <x:v>TXN-01243</x:v>
      </x:c>
      <x:c r="C1248" s="8" t="d">
        <x:v>2025-11-08T00:00:00.000Z</x:v>
      </x:c>
      <x:c r="D1248" s="2" t="str">
        <x:v>Lagos</x:v>
      </x:c>
      <x:c r="E1248" s="2" t="str">
        <x:v>Beauty</x:v>
      </x:c>
      <x:c r="F1248" s="2" t="str">
        <x:v>Perfume</x:v>
      </x:c>
      <x:c r="G1248" s="2" t="str">
        <x:v>Online</x:v>
      </x:c>
      <x:c r="H1248" s="7" t="n">
        <x:v>2</x:v>
      </x:c>
      <x:c r="I1248" s="9" t="n">
        <x:v>17000</x:v>
      </x:c>
      <x:c r="J1248" s="9" t="n">
        <x:v>9000</x:v>
      </x:c>
      <x:c r="K1248" s="10" t="n">
        <x:v>0</x:v>
      </x:c>
      <x:c r="L1248" s="2" t="str">
        <x:v>Completed</x:v>
      </x:c>
      <x:c r="M1248" s="12" t="n">
        <x:f>H1248*I1248</x:f>
        <x:v>34000</x:v>
      </x:c>
      <x:c r="N1248" s="12" t="n">
        <x:f>IF(L1248="Completed",ROUND(M1248*(1-K1248),2),0)</x:f>
        <x:v>34000</x:v>
      </x:c>
      <x:c r="O1248" s="12" t="n">
        <x:f>IF(L1248="Completed",H1248*J1248,0)</x:f>
        <x:v>18000</x:v>
      </x:c>
      <x:c r="P1248" s="12" t="n">
        <x:f>N1248-O1248</x:f>
        <x:v>16000</x:v>
      </x:c>
    </x:row>
    <x:row r="1249" ht="21" customHeight="1">
      <x:c r="A1249" s="7" t="n">
        <x:v>1244</x:v>
      </x:c>
      <x:c r="B1249" s="2" t="str">
        <x:v>TXN-01244</x:v>
      </x:c>
      <x:c r="C1249" s="8" t="d">
        <x:v>2025-11-14T00:00:00.000Z</x:v>
      </x:c>
      <x:c r="D1249" s="2" t="str">
        <x:v>Lagos</x:v>
      </x:c>
      <x:c r="E1249" s="2" t="str">
        <x:v>Electronics</x:v>
      </x:c>
      <x:c r="F1249" s="2" t="str">
        <x:v>Bluetooth speaker</x:v>
      </x:c>
      <x:c r="G1249" s="2" t="str">
        <x:v>Online</x:v>
      </x:c>
      <x:c r="H1249" s="7" t="n">
        <x:v>1</x:v>
      </x:c>
      <x:c r="I1249" s="9" t="n">
        <x:v>26000</x:v>
      </x:c>
      <x:c r="J1249" s="9" t="n">
        <x:v>17000</x:v>
      </x:c>
      <x:c r="K1249" s="10" t="n">
        <x:v>0</x:v>
      </x:c>
      <x:c r="L1249" s="2" t="str">
        <x:v>Completed</x:v>
      </x:c>
      <x:c r="M1249" s="12" t="n">
        <x:f>H1249*I1249</x:f>
        <x:v>26000</x:v>
      </x:c>
      <x:c r="N1249" s="12" t="n">
        <x:f>IF(L1249="Completed",ROUND(M1249*(1-K1249),2),0)</x:f>
        <x:v>26000</x:v>
      </x:c>
      <x:c r="O1249" s="12" t="n">
        <x:f>IF(L1249="Completed",H1249*J1249,0)</x:f>
        <x:v>17000</x:v>
      </x:c>
      <x:c r="P1249" s="12" t="n">
        <x:f>N1249-O1249</x:f>
        <x:v>9000</x:v>
      </x:c>
    </x:row>
    <x:row r="1250" ht="21" customHeight="1">
      <x:c r="A1250" s="7" t="n">
        <x:v>1245</x:v>
      </x:c>
      <x:c r="B1250" s="2" t="str">
        <x:v>TXN-01245</x:v>
      </x:c>
      <x:c r="C1250" s="8" t="d">
        <x:v>2025-11-18T00:00:00.000Z</x:v>
      </x:c>
      <x:c r="D1250" s="2" t="str">
        <x:v>Abuja</x:v>
      </x:c>
      <x:c r="E1250" s="2" t="str">
        <x:v>Beauty</x:v>
      </x:c>
      <x:c r="F1250" s="2" t="str">
        <x:v>Moisturizer</x:v>
      </x:c>
      <x:c r="G1250" s="2" t="str">
        <x:v>In-store</x:v>
      </x:c>
      <x:c r="H1250" s="7" t="n">
        <x:v>1</x:v>
      </x:c>
      <x:c r="I1250" s="9" t="n">
        <x:v>6500</x:v>
      </x:c>
      <x:c r="J1250" s="9" t="n">
        <x:v>3500</x:v>
      </x:c>
      <x:c r="K1250" s="10" t="n">
        <x:v>0</x:v>
      </x:c>
      <x:c r="L1250" s="2" t="str">
        <x:v>Completed</x:v>
      </x:c>
      <x:c r="M1250" s="12" t="n">
        <x:f>H1250*I1250</x:f>
        <x:v>6500</x:v>
      </x:c>
      <x:c r="N1250" s="12" t="n">
        <x:f>IF(L1250="Completed",ROUND(M1250*(1-K1250),2),0)</x:f>
        <x:v>6500</x:v>
      </x:c>
      <x:c r="O1250" s="12" t="n">
        <x:f>IF(L1250="Completed",H1250*J1250,0)</x:f>
        <x:v>3500</x:v>
      </x:c>
      <x:c r="P1250" s="12" t="n">
        <x:f>N1250-O1250</x:f>
        <x:v>3000</x:v>
      </x:c>
    </x:row>
    <x:row r="1251" ht="21" customHeight="1">
      <x:c r="A1251" s="7" t="n">
        <x:v>1246</x:v>
      </x:c>
      <x:c r="B1251" s="2" t="str">
        <x:v>TXN-01246</x:v>
      </x:c>
      <x:c r="C1251" s="8" t="d">
        <x:v>2025-11-09T00:00:00.000Z</x:v>
      </x:c>
      <x:c r="D1251" s="2" t="str">
        <x:v>Lagos</x:v>
      </x:c>
      <x:c r="E1251" s="2" t="str">
        <x:v>Home</x:v>
      </x:c>
      <x:c r="F1251" s="2" t="str">
        <x:v>Desk lamp</x:v>
      </x:c>
      <x:c r="G1251" s="2" t="str">
        <x:v>In-store</x:v>
      </x:c>
      <x:c r="H1251" s="7" t="n">
        <x:v>2</x:v>
      </x:c>
      <x:c r="I1251" s="9" t="n">
        <x:v>12000</x:v>
      </x:c>
      <x:c r="J1251" s="9" t="n">
        <x:v>7200</x:v>
      </x:c>
      <x:c r="K1251" s="10" t="n">
        <x:v>0</x:v>
      </x:c>
      <x:c r="L1251" s="2" t="str">
        <x:v>Completed</x:v>
      </x:c>
      <x:c r="M1251" s="12" t="n">
        <x:f>H1251*I1251</x:f>
        <x:v>24000</x:v>
      </x:c>
      <x:c r="N1251" s="12" t="n">
        <x:f>IF(L1251="Completed",ROUND(M1251*(1-K1251),2),0)</x:f>
        <x:v>24000</x:v>
      </x:c>
      <x:c r="O1251" s="12" t="n">
        <x:f>IF(L1251="Completed",H1251*J1251,0)</x:f>
        <x:v>14400</x:v>
      </x:c>
      <x:c r="P1251" s="12" t="n">
        <x:f>N1251-O1251</x:f>
        <x:v>9600</x:v>
      </x:c>
    </x:row>
    <x:row r="1252" ht="21" customHeight="1">
      <x:c r="A1252" s="7" t="n">
        <x:v>1247</x:v>
      </x:c>
      <x:c r="B1252" s="2" t="str">
        <x:v>TXN-01247</x:v>
      </x:c>
      <x:c r="C1252" s="8" t="d">
        <x:v>2025-11-15T00:00:00.000Z</x:v>
      </x:c>
      <x:c r="D1252" s="2" t="str">
        <x:v>Abuja</x:v>
      </x:c>
      <x:c r="E1252" s="2" t="str">
        <x:v>Home</x:v>
      </x:c>
      <x:c r="F1252" s="2" t="str">
        <x:v>Bedsheet</x:v>
      </x:c>
      <x:c r="G1252" s="2" t="str">
        <x:v>Online</x:v>
      </x:c>
      <x:c r="H1252" s="7" t="n">
        <x:v>2</x:v>
      </x:c>
      <x:c r="I1252" s="9" t="n">
        <x:v>14000</x:v>
      </x:c>
      <x:c r="J1252" s="9" t="n">
        <x:v>8500</x:v>
      </x:c>
      <x:c r="K1252" s="10" t="n">
        <x:v>0</x:v>
      </x:c>
      <x:c r="L1252" s="2" t="str">
        <x:v>Completed</x:v>
      </x:c>
      <x:c r="M1252" s="12" t="n">
        <x:f>H1252*I1252</x:f>
        <x:v>28000</x:v>
      </x:c>
      <x:c r="N1252" s="12" t="n">
        <x:f>IF(L1252="Completed",ROUND(M1252*(1-K1252),2),0)</x:f>
        <x:v>28000</x:v>
      </x:c>
      <x:c r="O1252" s="12" t="n">
        <x:f>IF(L1252="Completed",H1252*J1252,0)</x:f>
        <x:v>17000</x:v>
      </x:c>
      <x:c r="P1252" s="12" t="n">
        <x:f>N1252-O1252</x:f>
        <x:v>11000</x:v>
      </x:c>
    </x:row>
    <x:row r="1253" ht="21" customHeight="1">
      <x:c r="A1253" s="7" t="n">
        <x:v>1248</x:v>
      </x:c>
      <x:c r="B1253" s="2" t="str">
        <x:v>TXN-01248</x:v>
      </x:c>
      <x:c r="C1253" s="8" t="d">
        <x:v>2025-11-21T00:00:00.000Z</x:v>
      </x:c>
      <x:c r="D1253" s="2" t="str">
        <x:v>Lagos</x:v>
      </x:c>
      <x:c r="E1253" s="2" t="str">
        <x:v>Electronics</x:v>
      </x:c>
      <x:c r="F1253" s="2" t="str">
        <x:v>Bluetooth speaker</x:v>
      </x:c>
      <x:c r="G1253" s="2" t="str">
        <x:v>Online</x:v>
      </x:c>
      <x:c r="H1253" s="7" t="n">
        <x:v>1</x:v>
      </x:c>
      <x:c r="I1253" s="9" t="n">
        <x:v>26000</x:v>
      </x:c>
      <x:c r="J1253" s="9" t="n">
        <x:v>17000</x:v>
      </x:c>
      <x:c r="K1253" s="10" t="n">
        <x:v>0.05</x:v>
      </x:c>
      <x:c r="L1253" s="2" t="str">
        <x:v>Completed</x:v>
      </x:c>
      <x:c r="M1253" s="12" t="n">
        <x:f>H1253*I1253</x:f>
        <x:v>26000</x:v>
      </x:c>
      <x:c r="N1253" s="12" t="n">
        <x:f>IF(L1253="Completed",ROUND(M1253*(1-K1253),2),0)</x:f>
        <x:v>24700</x:v>
      </x:c>
      <x:c r="O1253" s="12" t="n">
        <x:f>IF(L1253="Completed",H1253*J1253,0)</x:f>
        <x:v>17000</x:v>
      </x:c>
      <x:c r="P1253" s="12" t="n">
        <x:f>N1253-O1253</x:f>
        <x:v>7700</x:v>
      </x:c>
    </x:row>
    <x:row r="1254" ht="21" customHeight="1">
      <x:c r="A1254" s="7" t="n">
        <x:v>1249</x:v>
      </x:c>
      <x:c r="B1254" s="2" t="str">
        <x:v>TXN-01249</x:v>
      </x:c>
      <x:c r="C1254" s="8" t="d">
        <x:v>2025-11-13T00:00:00.000Z</x:v>
      </x:c>
      <x:c r="D1254" s="2" t="str">
        <x:v>Lagos</x:v>
      </x:c>
      <x:c r="E1254" s="2" t="str">
        <x:v>Beauty</x:v>
      </x:c>
      <x:c r="F1254" s="2" t="str">
        <x:v>Body wash</x:v>
      </x:c>
      <x:c r="G1254" s="2" t="str">
        <x:v>Online</x:v>
      </x:c>
      <x:c r="H1254" s="7" t="n">
        <x:v>2</x:v>
      </x:c>
      <x:c r="I1254" s="9" t="n">
        <x:v>4500</x:v>
      </x:c>
      <x:c r="J1254" s="9" t="n">
        <x:v>2300</x:v>
      </x:c>
      <x:c r="K1254" s="10" t="n">
        <x:v>0</x:v>
      </x:c>
      <x:c r="L1254" s="2" t="str">
        <x:v>Completed</x:v>
      </x:c>
      <x:c r="M1254" s="12" t="n">
        <x:f>H1254*I1254</x:f>
        <x:v>9000</x:v>
      </x:c>
      <x:c r="N1254" s="12" t="n">
        <x:f>IF(L1254="Completed",ROUND(M1254*(1-K1254),2),0)</x:f>
        <x:v>9000</x:v>
      </x:c>
      <x:c r="O1254" s="12" t="n">
        <x:f>IF(L1254="Completed",H1254*J1254,0)</x:f>
        <x:v>4600</x:v>
      </x:c>
      <x:c r="P1254" s="12" t="n">
        <x:f>N1254-O1254</x:f>
        <x:v>4400</x:v>
      </x:c>
    </x:row>
    <x:row r="1255" ht="21" customHeight="1">
      <x:c r="A1255" s="7" t="n">
        <x:v>1250</x:v>
      </x:c>
      <x:c r="B1255" s="2" t="str">
        <x:v>TXN-01250</x:v>
      </x:c>
      <x:c r="C1255" s="8" t="d">
        <x:v>2025-11-05T00:00:00.000Z</x:v>
      </x:c>
      <x:c r="D1255" s="2" t="str">
        <x:v>Lagos</x:v>
      </x:c>
      <x:c r="E1255" s="2" t="str">
        <x:v>Electronics</x:v>
      </x:c>
      <x:c r="F1255" s="2" t="str">
        <x:v>Headphones</x:v>
      </x:c>
      <x:c r="G1255" s="2" t="str">
        <x:v>Online</x:v>
      </x:c>
      <x:c r="H1255" s="7" t="n">
        <x:v>3</x:v>
      </x:c>
      <x:c r="I1255" s="9" t="n">
        <x:v>18000</x:v>
      </x:c>
      <x:c r="J1255" s="9" t="n">
        <x:v>10500</x:v>
      </x:c>
      <x:c r="K1255" s="10" t="n">
        <x:v>0</x:v>
      </x:c>
      <x:c r="L1255" s="2" t="str">
        <x:v>Completed</x:v>
      </x:c>
      <x:c r="M1255" s="12" t="n">
        <x:f>H1255*I1255</x:f>
        <x:v>54000</x:v>
      </x:c>
      <x:c r="N1255" s="12" t="n">
        <x:f>IF(L1255="Completed",ROUND(M1255*(1-K1255),2),0)</x:f>
        <x:v>54000</x:v>
      </x:c>
      <x:c r="O1255" s="12" t="n">
        <x:f>IF(L1255="Completed",H1255*J1255,0)</x:f>
        <x:v>31500</x:v>
      </x:c>
      <x:c r="P1255" s="12" t="n">
        <x:f>N1255-O1255</x:f>
        <x:v>22500</x:v>
      </x:c>
    </x:row>
    <x:row r="1256" ht="21" customHeight="1">
      <x:c r="A1256" s="7" t="n">
        <x:v>1251</x:v>
      </x:c>
      <x:c r="B1256" s="2" t="str">
        <x:v>TXN-01251</x:v>
      </x:c>
      <x:c r="C1256" s="8" t="d">
        <x:v>2025-11-12T00:00:00.000Z</x:v>
      </x:c>
      <x:c r="D1256" s="2" t="str">
        <x:v>Lagos</x:v>
      </x:c>
      <x:c r="E1256" s="2" t="str">
        <x:v>Electronics</x:v>
      </x:c>
      <x:c r="F1256" s="2" t="str">
        <x:v>Bluetooth speaker</x:v>
      </x:c>
      <x:c r="G1256" s="2" t="str">
        <x:v>In-store</x:v>
      </x:c>
      <x:c r="H1256" s="7" t="n">
        <x:v>1</x:v>
      </x:c>
      <x:c r="I1256" s="9" t="n">
        <x:v>26000</x:v>
      </x:c>
      <x:c r="J1256" s="9" t="n">
        <x:v>17000</x:v>
      </x:c>
      <x:c r="K1256" s="10" t="n">
        <x:v>0.05</x:v>
      </x:c>
      <x:c r="L1256" s="2" t="str">
        <x:v>Completed</x:v>
      </x:c>
      <x:c r="M1256" s="12" t="n">
        <x:f>H1256*I1256</x:f>
        <x:v>26000</x:v>
      </x:c>
      <x:c r="N1256" s="12" t="n">
        <x:f>IF(L1256="Completed",ROUND(M1256*(1-K1256),2),0)</x:f>
        <x:v>24700</x:v>
      </x:c>
      <x:c r="O1256" s="12" t="n">
        <x:f>IF(L1256="Completed",H1256*J1256,0)</x:f>
        <x:v>17000</x:v>
      </x:c>
      <x:c r="P1256" s="12" t="n">
        <x:f>N1256-O1256</x:f>
        <x:v>7700</x:v>
      </x:c>
    </x:row>
    <x:row r="1257" ht="21" customHeight="1">
      <x:c r="A1257" s="7" t="n">
        <x:v>1252</x:v>
      </x:c>
      <x:c r="B1257" s="2" t="str">
        <x:v>TXN-01252</x:v>
      </x:c>
      <x:c r="C1257" s="8" t="d">
        <x:v>2025-11-14T00:00:00.000Z</x:v>
      </x:c>
      <x:c r="D1257" s="2" t="str">
        <x:v>Lagos</x:v>
      </x:c>
      <x:c r="E1257" s="2" t="str">
        <x:v>Fashion</x:v>
      </x:c>
      <x:c r="F1257" s="2" t="str">
        <x:v>Handbag</x:v>
      </x:c>
      <x:c r="G1257" s="2" t="str">
        <x:v>Online</x:v>
      </x:c>
      <x:c r="H1257" s="7" t="n">
        <x:v>3</x:v>
      </x:c>
      <x:c r="I1257" s="9" t="n">
        <x:v>22000</x:v>
      </x:c>
      <x:c r="J1257" s="9" t="n">
        <x:v>13500</x:v>
      </x:c>
      <x:c r="K1257" s="10" t="n">
        <x:v>0</x:v>
      </x:c>
      <x:c r="L1257" s="2" t="str">
        <x:v>Completed</x:v>
      </x:c>
      <x:c r="M1257" s="12" t="n">
        <x:f>H1257*I1257</x:f>
        <x:v>66000</x:v>
      </x:c>
      <x:c r="N1257" s="12" t="n">
        <x:f>IF(L1257="Completed",ROUND(M1257*(1-K1257),2),0)</x:f>
        <x:v>66000</x:v>
      </x:c>
      <x:c r="O1257" s="12" t="n">
        <x:f>IF(L1257="Completed",H1257*J1257,0)</x:f>
        <x:v>40500</x:v>
      </x:c>
      <x:c r="P1257" s="12" t="n">
        <x:f>N1257-O1257</x:f>
        <x:v>25500</x:v>
      </x:c>
    </x:row>
    <x:row r="1258" ht="21" customHeight="1">
      <x:c r="A1258" s="7" t="n">
        <x:v>1253</x:v>
      </x:c>
      <x:c r="B1258" s="2" t="str">
        <x:v>TXN-01253</x:v>
      </x:c>
      <x:c r="C1258" s="8" t="d">
        <x:v>2025-11-09T00:00:00.000Z</x:v>
      </x:c>
      <x:c r="D1258" s="2" t="str">
        <x:v>Abuja</x:v>
      </x:c>
      <x:c r="E1258" s="2" t="str">
        <x:v>Electronics</x:v>
      </x:c>
      <x:c r="F1258" s="2" t="str">
        <x:v>Headphones</x:v>
      </x:c>
      <x:c r="G1258" s="2" t="str">
        <x:v>Online</x:v>
      </x:c>
      <x:c r="H1258" s="7" t="n">
        <x:v>1</x:v>
      </x:c>
      <x:c r="I1258" s="9" t="n">
        <x:v>18000</x:v>
      </x:c>
      <x:c r="J1258" s="9" t="n">
        <x:v>10500</x:v>
      </x:c>
      <x:c r="K1258" s="10" t="n">
        <x:v>0</x:v>
      </x:c>
      <x:c r="L1258" s="2" t="str">
        <x:v>Completed</x:v>
      </x:c>
      <x:c r="M1258" s="12" t="n">
        <x:f>H1258*I1258</x:f>
        <x:v>18000</x:v>
      </x:c>
      <x:c r="N1258" s="12" t="n">
        <x:f>IF(L1258="Completed",ROUND(M1258*(1-K1258),2),0)</x:f>
        <x:v>18000</x:v>
      </x:c>
      <x:c r="O1258" s="12" t="n">
        <x:f>IF(L1258="Completed",H1258*J1258,0)</x:f>
        <x:v>10500</x:v>
      </x:c>
      <x:c r="P1258" s="12" t="n">
        <x:f>N1258-O1258</x:f>
        <x:v>7500</x:v>
      </x:c>
    </x:row>
    <x:row r="1259" ht="21" customHeight="1">
      <x:c r="A1259" s="7" t="n">
        <x:v>1254</x:v>
      </x:c>
      <x:c r="B1259" s="2" t="str">
        <x:v>TXN-01254</x:v>
      </x:c>
      <x:c r="C1259" s="8" t="d">
        <x:v>2025-11-26T00:00:00.000Z</x:v>
      </x:c>
      <x:c r="D1259" s="2" t="str">
        <x:v>Abuja</x:v>
      </x:c>
      <x:c r="E1259" s="2" t="str">
        <x:v>Beauty</x:v>
      </x:c>
      <x:c r="F1259" s="2" t="str">
        <x:v>Body wash</x:v>
      </x:c>
      <x:c r="G1259" s="2" t="str">
        <x:v>In-store</x:v>
      </x:c>
      <x:c r="H1259" s="7" t="n">
        <x:v>4</x:v>
      </x:c>
      <x:c r="I1259" s="9" t="n">
        <x:v>4500</x:v>
      </x:c>
      <x:c r="J1259" s="9" t="n">
        <x:v>2300</x:v>
      </x:c>
      <x:c r="K1259" s="10" t="n">
        <x:v>0</x:v>
      </x:c>
      <x:c r="L1259" s="2" t="str">
        <x:v>Completed</x:v>
      </x:c>
      <x:c r="M1259" s="12" t="n">
        <x:f>H1259*I1259</x:f>
        <x:v>18000</x:v>
      </x:c>
      <x:c r="N1259" s="12" t="n">
        <x:f>IF(L1259="Completed",ROUND(M1259*(1-K1259),2),0)</x:f>
        <x:v>18000</x:v>
      </x:c>
      <x:c r="O1259" s="12" t="n">
        <x:f>IF(L1259="Completed",H1259*J1259,0)</x:f>
        <x:v>9200</x:v>
      </x:c>
      <x:c r="P1259" s="12" t="n">
        <x:f>N1259-O1259</x:f>
        <x:v>8800</x:v>
      </x:c>
    </x:row>
    <x:row r="1260" ht="21" customHeight="1">
      <x:c r="A1260" s="7" t="n">
        <x:v>1255</x:v>
      </x:c>
      <x:c r="B1260" s="2" t="str">
        <x:v>TXN-01255</x:v>
      </x:c>
      <x:c r="C1260" s="8" t="d">
        <x:v>2025-11-14T00:00:00.000Z</x:v>
      </x:c>
      <x:c r="D1260" s="2" t="str">
        <x:v>Port Harcourt</x:v>
      </x:c>
      <x:c r="E1260" s="2" t="str">
        <x:v>Electronics</x:v>
      </x:c>
      <x:c r="F1260" s="2" t="str">
        <x:v>Power bank</x:v>
      </x:c>
      <x:c r="G1260" s="2" t="str">
        <x:v>In-store</x:v>
      </x:c>
      <x:c r="H1260" s="7" t="n">
        <x:v>4</x:v>
      </x:c>
      <x:c r="I1260" s="9" t="n">
        <x:v>15000</x:v>
      </x:c>
      <x:c r="J1260" s="9" t="n">
        <x:v>9500</x:v>
      </x:c>
      <x:c r="K1260" s="10" t="n">
        <x:v>0</x:v>
      </x:c>
      <x:c r="L1260" s="2" t="str">
        <x:v>Completed</x:v>
      </x:c>
      <x:c r="M1260" s="12" t="n">
        <x:f>H1260*I1260</x:f>
        <x:v>60000</x:v>
      </x:c>
      <x:c r="N1260" s="12" t="n">
        <x:f>IF(L1260="Completed",ROUND(M1260*(1-K1260),2),0)</x:f>
        <x:v>60000</x:v>
      </x:c>
      <x:c r="O1260" s="12" t="n">
        <x:f>IF(L1260="Completed",H1260*J1260,0)</x:f>
        <x:v>38000</x:v>
      </x:c>
      <x:c r="P1260" s="12" t="n">
        <x:f>N1260-O1260</x:f>
        <x:v>22000</x:v>
      </x:c>
    </x:row>
    <x:row r="1261" ht="21" customHeight="1">
      <x:c r="A1261" s="7" t="n">
        <x:v>1256</x:v>
      </x:c>
      <x:c r="B1261" s="2" t="str">
        <x:v>TXN-01256</x:v>
      </x:c>
      <x:c r="C1261" s="8" t="d">
        <x:v>2025-11-27T00:00:00.000Z</x:v>
      </x:c>
      <x:c r="D1261" s="2" t="str">
        <x:v>Lagos</x:v>
      </x:c>
      <x:c r="E1261" s="2" t="str">
        <x:v>Beauty</x:v>
      </x:c>
      <x:c r="F1261" s="2" t="str">
        <x:v>Body wash</x:v>
      </x:c>
      <x:c r="G1261" s="2" t="str">
        <x:v>Online</x:v>
      </x:c>
      <x:c r="H1261" s="7" t="n">
        <x:v>1</x:v>
      </x:c>
      <x:c r="I1261" s="9" t="n">
        <x:v>4500</x:v>
      </x:c>
      <x:c r="J1261" s="9" t="n">
        <x:v>2300</x:v>
      </x:c>
      <x:c r="K1261" s="10" t="n">
        <x:v>0</x:v>
      </x:c>
      <x:c r="L1261" s="2" t="str">
        <x:v>Completed</x:v>
      </x:c>
      <x:c r="M1261" s="12" t="n">
        <x:f>H1261*I1261</x:f>
        <x:v>4500</x:v>
      </x:c>
      <x:c r="N1261" s="12" t="n">
        <x:f>IF(L1261="Completed",ROUND(M1261*(1-K1261),2),0)</x:f>
        <x:v>4500</x:v>
      </x:c>
      <x:c r="O1261" s="12" t="n">
        <x:f>IF(L1261="Completed",H1261*J1261,0)</x:f>
        <x:v>2300</x:v>
      </x:c>
      <x:c r="P1261" s="12" t="n">
        <x:f>N1261-O1261</x:f>
        <x:v>2200</x:v>
      </x:c>
    </x:row>
    <x:row r="1262" ht="21" customHeight="1">
      <x:c r="A1262" s="7" t="n">
        <x:v>1257</x:v>
      </x:c>
      <x:c r="B1262" s="2" t="str">
        <x:v>TXN-01257</x:v>
      </x:c>
      <x:c r="C1262" s="8" t="d">
        <x:v>2025-11-25T00:00:00.000Z</x:v>
      </x:c>
      <x:c r="D1262" s="2" t="str">
        <x:v>Abuja</x:v>
      </x:c>
      <x:c r="E1262" s="2" t="str">
        <x:v>Fashion</x:v>
      </x:c>
      <x:c r="F1262" s="2" t="str">
        <x:v>T-shirt</x:v>
      </x:c>
      <x:c r="G1262" s="2" t="str">
        <x:v>Online</x:v>
      </x:c>
      <x:c r="H1262" s="7" t="n">
        <x:v>1</x:v>
      </x:c>
      <x:c r="I1262" s="9" t="n">
        <x:v>9000</x:v>
      </x:c>
      <x:c r="J1262" s="9" t="n">
        <x:v>5000</x:v>
      </x:c>
      <x:c r="K1262" s="10" t="n">
        <x:v>0.15</x:v>
      </x:c>
      <x:c r="L1262" s="2" t="str">
        <x:v>Returned</x:v>
      </x:c>
      <x:c r="M1262" s="12" t="n">
        <x:f>H1262*I1262</x:f>
        <x:v>9000</x:v>
      </x:c>
      <x:c r="N1262" s="12" t="n">
        <x:f>IF(L1262="Completed",ROUND(M1262*(1-K1262),2),0)</x:f>
        <x:v>0</x:v>
      </x:c>
      <x:c r="O1262" s="12" t="n">
        <x:f>IF(L1262="Completed",H1262*J1262,0)</x:f>
        <x:v>0</x:v>
      </x:c>
      <x:c r="P1262" s="12" t="n">
        <x:f>N1262-O1262</x:f>
        <x:v>0</x:v>
      </x:c>
    </x:row>
    <x:row r="1263" ht="21" customHeight="1">
      <x:c r="A1263" s="7" t="n">
        <x:v>1258</x:v>
      </x:c>
      <x:c r="B1263" s="2" t="str">
        <x:v>TXN-01258</x:v>
      </x:c>
      <x:c r="C1263" s="8" t="d">
        <x:v>2025-11-18T00:00:00.000Z</x:v>
      </x:c>
      <x:c r="D1263" s="2" t="str">
        <x:v>Port Harcourt</x:v>
      </x:c>
      <x:c r="E1263" s="2" t="str">
        <x:v>Fashion</x:v>
      </x:c>
      <x:c r="F1263" s="2" t="str">
        <x:v>Sneakers</x:v>
      </x:c>
      <x:c r="G1263" s="2" t="str">
        <x:v>Online</x:v>
      </x:c>
      <x:c r="H1263" s="7" t="n">
        <x:v>1</x:v>
      </x:c>
      <x:c r="I1263" s="9" t="n">
        <x:v>28000</x:v>
      </x:c>
      <x:c r="J1263" s="9" t="n">
        <x:v>17500</x:v>
      </x:c>
      <x:c r="K1263" s="10" t="n">
        <x:v>0.05</x:v>
      </x:c>
      <x:c r="L1263" s="2" t="str">
        <x:v>Returned</x:v>
      </x:c>
      <x:c r="M1263" s="12" t="n">
        <x:f>H1263*I1263</x:f>
        <x:v>28000</x:v>
      </x:c>
      <x:c r="N1263" s="12" t="n">
        <x:f>IF(L1263="Completed",ROUND(M1263*(1-K1263),2),0)</x:f>
        <x:v>0</x:v>
      </x:c>
      <x:c r="O1263" s="12" t="n">
        <x:f>IF(L1263="Completed",H1263*J1263,0)</x:f>
        <x:v>0</x:v>
      </x:c>
      <x:c r="P1263" s="12" t="n">
        <x:f>N1263-O1263</x:f>
        <x:v>0</x:v>
      </x:c>
    </x:row>
    <x:row r="1264" ht="21" customHeight="1">
      <x:c r="A1264" s="7" t="n">
        <x:v>1259</x:v>
      </x:c>
      <x:c r="B1264" s="2" t="str">
        <x:v>TXN-01259</x:v>
      </x:c>
      <x:c r="C1264" s="8" t="d">
        <x:v>2025-11-23T00:00:00.000Z</x:v>
      </x:c>
      <x:c r="D1264" s="2" t="str">
        <x:v>Kano</x:v>
      </x:c>
      <x:c r="E1264" s="2" t="str">
        <x:v>Home</x:v>
      </x:c>
      <x:c r="F1264" s="2" t="str">
        <x:v>Cookware set</x:v>
      </x:c>
      <x:c r="G1264" s="2" t="str">
        <x:v>In-store</x:v>
      </x:c>
      <x:c r="H1264" s="7" t="n">
        <x:v>2</x:v>
      </x:c>
      <x:c r="I1264" s="9" t="n">
        <x:v>35000</x:v>
      </x:c>
      <x:c r="J1264" s="9" t="n">
        <x:v>22500</x:v>
      </x:c>
      <x:c r="K1264" s="10" t="n">
        <x:v>0</x:v>
      </x:c>
      <x:c r="L1264" s="2" t="str">
        <x:v>Completed</x:v>
      </x:c>
      <x:c r="M1264" s="12" t="n">
        <x:f>H1264*I1264</x:f>
        <x:v>70000</x:v>
      </x:c>
      <x:c r="N1264" s="12" t="n">
        <x:f>IF(L1264="Completed",ROUND(M1264*(1-K1264),2),0)</x:f>
        <x:v>70000</x:v>
      </x:c>
      <x:c r="O1264" s="12" t="n">
        <x:f>IF(L1264="Completed",H1264*J1264,0)</x:f>
        <x:v>45000</x:v>
      </x:c>
      <x:c r="P1264" s="12" t="n">
        <x:f>N1264-O1264</x:f>
        <x:v>25000</x:v>
      </x:c>
    </x:row>
    <x:row r="1265" ht="21" customHeight="1">
      <x:c r="A1265" s="7" t="n">
        <x:v>1260</x:v>
      </x:c>
      <x:c r="B1265" s="2" t="str">
        <x:v>TXN-01260</x:v>
      </x:c>
      <x:c r="C1265" s="8" t="d">
        <x:v>2025-11-11T00:00:00.000Z</x:v>
      </x:c>
      <x:c r="D1265" s="2" t="str">
        <x:v>Lagos</x:v>
      </x:c>
      <x:c r="E1265" s="2" t="str">
        <x:v>Beauty</x:v>
      </x:c>
      <x:c r="F1265" s="2" t="str">
        <x:v>Body wash</x:v>
      </x:c>
      <x:c r="G1265" s="2" t="str">
        <x:v>Online</x:v>
      </x:c>
      <x:c r="H1265" s="7" t="n">
        <x:v>4</x:v>
      </x:c>
      <x:c r="I1265" s="9" t="n">
        <x:v>4500</x:v>
      </x:c>
      <x:c r="J1265" s="9" t="n">
        <x:v>2300</x:v>
      </x:c>
      <x:c r="K1265" s="10" t="n">
        <x:v>0.05</x:v>
      </x:c>
      <x:c r="L1265" s="2" t="str">
        <x:v>Completed</x:v>
      </x:c>
      <x:c r="M1265" s="12" t="n">
        <x:f>H1265*I1265</x:f>
        <x:v>18000</x:v>
      </x:c>
      <x:c r="N1265" s="12" t="n">
        <x:f>IF(L1265="Completed",ROUND(M1265*(1-K1265),2),0)</x:f>
        <x:v>17100</x:v>
      </x:c>
      <x:c r="O1265" s="12" t="n">
        <x:f>IF(L1265="Completed",H1265*J1265,0)</x:f>
        <x:v>9200</x:v>
      </x:c>
      <x:c r="P1265" s="12" t="n">
        <x:f>N1265-O1265</x:f>
        <x:v>7900</x:v>
      </x:c>
    </x:row>
    <x:row r="1266" ht="21" customHeight="1">
      <x:c r="A1266" s="7" t="n">
        <x:v>1261</x:v>
      </x:c>
      <x:c r="B1266" s="2" t="str">
        <x:v>TXN-01261</x:v>
      </x:c>
      <x:c r="C1266" s="8" t="d">
        <x:v>2025-11-08T00:00:00.000Z</x:v>
      </x:c>
      <x:c r="D1266" s="2" t="str">
        <x:v>Abuja</x:v>
      </x:c>
      <x:c r="E1266" s="2" t="str">
        <x:v>Beauty</x:v>
      </x:c>
      <x:c r="F1266" s="2" t="str">
        <x:v>Perfume</x:v>
      </x:c>
      <x:c r="G1266" s="2" t="str">
        <x:v>In-store</x:v>
      </x:c>
      <x:c r="H1266" s="7" t="n">
        <x:v>2</x:v>
      </x:c>
      <x:c r="I1266" s="9" t="n">
        <x:v>17000</x:v>
      </x:c>
      <x:c r="J1266" s="9" t="n">
        <x:v>9000</x:v>
      </x:c>
      <x:c r="K1266" s="10" t="n">
        <x:v>0.1</x:v>
      </x:c>
      <x:c r="L1266" s="2" t="str">
        <x:v>Completed</x:v>
      </x:c>
      <x:c r="M1266" s="12" t="n">
        <x:f>H1266*I1266</x:f>
        <x:v>34000</x:v>
      </x:c>
      <x:c r="N1266" s="12" t="n">
        <x:f>IF(L1266="Completed",ROUND(M1266*(1-K1266),2),0)</x:f>
        <x:v>30600</x:v>
      </x:c>
      <x:c r="O1266" s="12" t="n">
        <x:f>IF(L1266="Completed",H1266*J1266,0)</x:f>
        <x:v>18000</x:v>
      </x:c>
      <x:c r="P1266" s="12" t="n">
        <x:f>N1266-O1266</x:f>
        <x:v>12600</x:v>
      </x:c>
    </x:row>
    <x:row r="1267" ht="21" customHeight="1">
      <x:c r="A1267" s="7" t="n">
        <x:v>1262</x:v>
      </x:c>
      <x:c r="B1267" s="2" t="str">
        <x:v>TXN-01262</x:v>
      </x:c>
      <x:c r="C1267" s="8" t="d">
        <x:v>2025-11-03T00:00:00.000Z</x:v>
      </x:c>
      <x:c r="D1267" s="2" t="str">
        <x:v>Lagos</x:v>
      </x:c>
      <x:c r="E1267" s="2" t="str">
        <x:v>Beauty</x:v>
      </x:c>
      <x:c r="F1267" s="2" t="str">
        <x:v>Body wash</x:v>
      </x:c>
      <x:c r="G1267" s="2" t="str">
        <x:v>In-store</x:v>
      </x:c>
      <x:c r="H1267" s="7" t="n">
        <x:v>2</x:v>
      </x:c>
      <x:c r="I1267" s="9" t="n">
        <x:v>4500</x:v>
      </x:c>
      <x:c r="J1267" s="9" t="n">
        <x:v>2300</x:v>
      </x:c>
      <x:c r="K1267" s="10" t="n">
        <x:v>0</x:v>
      </x:c>
      <x:c r="L1267" s="2" t="str">
        <x:v>Completed</x:v>
      </x:c>
      <x:c r="M1267" s="12" t="n">
        <x:f>H1267*I1267</x:f>
        <x:v>9000</x:v>
      </x:c>
      <x:c r="N1267" s="12" t="n">
        <x:f>IF(L1267="Completed",ROUND(M1267*(1-K1267),2),0)</x:f>
        <x:v>9000</x:v>
      </x:c>
      <x:c r="O1267" s="12" t="n">
        <x:f>IF(L1267="Completed",H1267*J1267,0)</x:f>
        <x:v>4600</x:v>
      </x:c>
      <x:c r="P1267" s="12" t="n">
        <x:f>N1267-O1267</x:f>
        <x:v>4400</x:v>
      </x:c>
    </x:row>
    <x:row r="1268" ht="21" customHeight="1">
      <x:c r="A1268" s="7" t="n">
        <x:v>1263</x:v>
      </x:c>
      <x:c r="B1268" s="2" t="str">
        <x:v>TXN-01263</x:v>
      </x:c>
      <x:c r="C1268" s="8" t="d">
        <x:v>2025-11-02T00:00:00.000Z</x:v>
      </x:c>
      <x:c r="D1268" s="2" t="str">
        <x:v>Port Harcourt</x:v>
      </x:c>
      <x:c r="E1268" s="2" t="str">
        <x:v>Electronics</x:v>
      </x:c>
      <x:c r="F1268" s="2" t="str">
        <x:v>Headphones</x:v>
      </x:c>
      <x:c r="G1268" s="2" t="str">
        <x:v>Online</x:v>
      </x:c>
      <x:c r="H1268" s="7" t="n">
        <x:v>2</x:v>
      </x:c>
      <x:c r="I1268" s="9" t="n">
        <x:v>18000</x:v>
      </x:c>
      <x:c r="J1268" s="9" t="n">
        <x:v>10500</x:v>
      </x:c>
      <x:c r="K1268" s="10" t="n">
        <x:v>0</x:v>
      </x:c>
      <x:c r="L1268" s="2" t="str">
        <x:v>Completed</x:v>
      </x:c>
      <x:c r="M1268" s="12" t="n">
        <x:f>H1268*I1268</x:f>
        <x:v>36000</x:v>
      </x:c>
      <x:c r="N1268" s="12" t="n">
        <x:f>IF(L1268="Completed",ROUND(M1268*(1-K1268),2),0)</x:f>
        <x:v>36000</x:v>
      </x:c>
      <x:c r="O1268" s="12" t="n">
        <x:f>IF(L1268="Completed",H1268*J1268,0)</x:f>
        <x:v>21000</x:v>
      </x:c>
      <x:c r="P1268" s="12" t="n">
        <x:f>N1268-O1268</x:f>
        <x:v>15000</x:v>
      </x:c>
    </x:row>
    <x:row r="1269" ht="21" customHeight="1">
      <x:c r="A1269" s="7" t="n">
        <x:v>1264</x:v>
      </x:c>
      <x:c r="B1269" s="2" t="str">
        <x:v>TXN-01264</x:v>
      </x:c>
      <x:c r="C1269" s="8" t="d">
        <x:v>2025-11-24T00:00:00.000Z</x:v>
      </x:c>
      <x:c r="D1269" s="2" t="str">
        <x:v>Abuja</x:v>
      </x:c>
      <x:c r="E1269" s="2" t="str">
        <x:v>Fashion</x:v>
      </x:c>
      <x:c r="F1269" s="2" t="str">
        <x:v>Handbag</x:v>
      </x:c>
      <x:c r="G1269" s="2" t="str">
        <x:v>In-store</x:v>
      </x:c>
      <x:c r="H1269" s="7" t="n">
        <x:v>1</x:v>
      </x:c>
      <x:c r="I1269" s="9" t="n">
        <x:v>22000</x:v>
      </x:c>
      <x:c r="J1269" s="9" t="n">
        <x:v>13500</x:v>
      </x:c>
      <x:c r="K1269" s="10" t="n">
        <x:v>0</x:v>
      </x:c>
      <x:c r="L1269" s="2" t="str">
        <x:v>Completed</x:v>
      </x:c>
      <x:c r="M1269" s="12" t="n">
        <x:f>H1269*I1269</x:f>
        <x:v>22000</x:v>
      </x:c>
      <x:c r="N1269" s="12" t="n">
        <x:f>IF(L1269="Completed",ROUND(M1269*(1-K1269),2),0)</x:f>
        <x:v>22000</x:v>
      </x:c>
      <x:c r="O1269" s="12" t="n">
        <x:f>IF(L1269="Completed",H1269*J1269,0)</x:f>
        <x:v>13500</x:v>
      </x:c>
      <x:c r="P1269" s="12" t="n">
        <x:f>N1269-O1269</x:f>
        <x:v>8500</x:v>
      </x:c>
    </x:row>
    <x:row r="1270" ht="21" customHeight="1">
      <x:c r="A1270" s="7" t="n">
        <x:v>1265</x:v>
      </x:c>
      <x:c r="B1270" s="2" t="str">
        <x:v>TXN-01265</x:v>
      </x:c>
      <x:c r="C1270" s="8" t="d">
        <x:v>2025-11-13T00:00:00.000Z</x:v>
      </x:c>
      <x:c r="D1270" s="2" t="str">
        <x:v>Abuja</x:v>
      </x:c>
      <x:c r="E1270" s="2" t="str">
        <x:v>Home</x:v>
      </x:c>
      <x:c r="F1270" s="2" t="str">
        <x:v>Bedsheet</x:v>
      </x:c>
      <x:c r="G1270" s="2" t="str">
        <x:v>In-store</x:v>
      </x:c>
      <x:c r="H1270" s="7" t="n">
        <x:v>2</x:v>
      </x:c>
      <x:c r="I1270" s="9" t="n">
        <x:v>14000</x:v>
      </x:c>
      <x:c r="J1270" s="9" t="n">
        <x:v>8500</x:v>
      </x:c>
      <x:c r="K1270" s="10" t="n">
        <x:v>0</x:v>
      </x:c>
      <x:c r="L1270" s="2" t="str">
        <x:v>Completed</x:v>
      </x:c>
      <x:c r="M1270" s="12" t="n">
        <x:f>H1270*I1270</x:f>
        <x:v>28000</x:v>
      </x:c>
      <x:c r="N1270" s="12" t="n">
        <x:f>IF(L1270="Completed",ROUND(M1270*(1-K1270),2),0)</x:f>
        <x:v>28000</x:v>
      </x:c>
      <x:c r="O1270" s="12" t="n">
        <x:f>IF(L1270="Completed",H1270*J1270,0)</x:f>
        <x:v>17000</x:v>
      </x:c>
      <x:c r="P1270" s="12" t="n">
        <x:f>N1270-O1270</x:f>
        <x:v>11000</x:v>
      </x:c>
    </x:row>
    <x:row r="1271" ht="21" customHeight="1">
      <x:c r="A1271" s="7" t="n">
        <x:v>1266</x:v>
      </x:c>
      <x:c r="B1271" s="2" t="str">
        <x:v>TXN-01266</x:v>
      </x:c>
      <x:c r="C1271" s="8" t="d">
        <x:v>2025-11-13T00:00:00.000Z</x:v>
      </x:c>
      <x:c r="D1271" s="2" t="str">
        <x:v>Abuja</x:v>
      </x:c>
      <x:c r="E1271" s="2" t="str">
        <x:v>Fashion</x:v>
      </x:c>
      <x:c r="F1271" s="2" t="str">
        <x:v>Sneakers</x:v>
      </x:c>
      <x:c r="G1271" s="2" t="str">
        <x:v>In-store</x:v>
      </x:c>
      <x:c r="H1271" s="7" t="n">
        <x:v>1</x:v>
      </x:c>
      <x:c r="I1271" s="9" t="n">
        <x:v>28000</x:v>
      </x:c>
      <x:c r="J1271" s="9" t="n">
        <x:v>17500</x:v>
      </x:c>
      <x:c r="K1271" s="10" t="n">
        <x:v>0</x:v>
      </x:c>
      <x:c r="L1271" s="2" t="str">
        <x:v>Completed</x:v>
      </x:c>
      <x:c r="M1271" s="12" t="n">
        <x:f>H1271*I1271</x:f>
        <x:v>28000</x:v>
      </x:c>
      <x:c r="N1271" s="12" t="n">
        <x:f>IF(L1271="Completed",ROUND(M1271*(1-K1271),2),0)</x:f>
        <x:v>28000</x:v>
      </x:c>
      <x:c r="O1271" s="12" t="n">
        <x:f>IF(L1271="Completed",H1271*J1271,0)</x:f>
        <x:v>17500</x:v>
      </x:c>
      <x:c r="P1271" s="12" t="n">
        <x:f>N1271-O1271</x:f>
        <x:v>10500</x:v>
      </x:c>
    </x:row>
    <x:row r="1272" ht="21" customHeight="1">
      <x:c r="A1272" s="7" t="n">
        <x:v>1267</x:v>
      </x:c>
      <x:c r="B1272" s="2" t="str">
        <x:v>TXN-01267</x:v>
      </x:c>
      <x:c r="C1272" s="8" t="d">
        <x:v>2025-11-03T00:00:00.000Z</x:v>
      </x:c>
      <x:c r="D1272" s="2" t="str">
        <x:v>Port Harcourt</x:v>
      </x:c>
      <x:c r="E1272" s="2" t="str">
        <x:v>Fashion</x:v>
      </x:c>
      <x:c r="F1272" s="2" t="str">
        <x:v>Handbag</x:v>
      </x:c>
      <x:c r="G1272" s="2" t="str">
        <x:v>In-store</x:v>
      </x:c>
      <x:c r="H1272" s="7" t="n">
        <x:v>1</x:v>
      </x:c>
      <x:c r="I1272" s="9" t="n">
        <x:v>22000</x:v>
      </x:c>
      <x:c r="J1272" s="9" t="n">
        <x:v>13500</x:v>
      </x:c>
      <x:c r="K1272" s="10" t="n">
        <x:v>0</x:v>
      </x:c>
      <x:c r="L1272" s="2" t="str">
        <x:v>Completed</x:v>
      </x:c>
      <x:c r="M1272" s="12" t="n">
        <x:f>H1272*I1272</x:f>
        <x:v>22000</x:v>
      </x:c>
      <x:c r="N1272" s="12" t="n">
        <x:f>IF(L1272="Completed",ROUND(M1272*(1-K1272),2),0)</x:f>
        <x:v>22000</x:v>
      </x:c>
      <x:c r="O1272" s="12" t="n">
        <x:f>IF(L1272="Completed",H1272*J1272,0)</x:f>
        <x:v>13500</x:v>
      </x:c>
      <x:c r="P1272" s="12" t="n">
        <x:f>N1272-O1272</x:f>
        <x:v>8500</x:v>
      </x:c>
    </x:row>
    <x:row r="1273" ht="21" customHeight="1">
      <x:c r="A1273" s="7" t="n">
        <x:v>1268</x:v>
      </x:c>
      <x:c r="B1273" s="2" t="str">
        <x:v>TXN-01268</x:v>
      </x:c>
      <x:c r="C1273" s="8" t="d">
        <x:v>2025-11-11T00:00:00.000Z</x:v>
      </x:c>
      <x:c r="D1273" s="2" t="str">
        <x:v>Lagos</x:v>
      </x:c>
      <x:c r="E1273" s="2" t="str">
        <x:v>Home</x:v>
      </x:c>
      <x:c r="F1273" s="2" t="str">
        <x:v>Cookware set</x:v>
      </x:c>
      <x:c r="G1273" s="2" t="str">
        <x:v>Online</x:v>
      </x:c>
      <x:c r="H1273" s="7" t="n">
        <x:v>1</x:v>
      </x:c>
      <x:c r="I1273" s="9" t="n">
        <x:v>35000</x:v>
      </x:c>
      <x:c r="J1273" s="9" t="n">
        <x:v>22500</x:v>
      </x:c>
      <x:c r="K1273" s="10" t="n">
        <x:v>0</x:v>
      </x:c>
      <x:c r="L1273" s="2" t="str">
        <x:v>Completed</x:v>
      </x:c>
      <x:c r="M1273" s="12" t="n">
        <x:f>H1273*I1273</x:f>
        <x:v>35000</x:v>
      </x:c>
      <x:c r="N1273" s="12" t="n">
        <x:f>IF(L1273="Completed",ROUND(M1273*(1-K1273),2),0)</x:f>
        <x:v>35000</x:v>
      </x:c>
      <x:c r="O1273" s="12" t="n">
        <x:f>IF(L1273="Completed",H1273*J1273,0)</x:f>
        <x:v>22500</x:v>
      </x:c>
      <x:c r="P1273" s="12" t="n">
        <x:f>N1273-O1273</x:f>
        <x:v>12500</x:v>
      </x:c>
    </x:row>
    <x:row r="1274" ht="21" customHeight="1">
      <x:c r="A1274" s="7" t="n">
        <x:v>1269</x:v>
      </x:c>
      <x:c r="B1274" s="2" t="str">
        <x:v>TXN-01269</x:v>
      </x:c>
      <x:c r="C1274" s="8" t="d">
        <x:v>2025-11-12T00:00:00.000Z</x:v>
      </x:c>
      <x:c r="D1274" s="2" t="str">
        <x:v>Abuja</x:v>
      </x:c>
      <x:c r="E1274" s="2" t="str">
        <x:v>Home</x:v>
      </x:c>
      <x:c r="F1274" s="2" t="str">
        <x:v>Bedsheet</x:v>
      </x:c>
      <x:c r="G1274" s="2" t="str">
        <x:v>Online</x:v>
      </x:c>
      <x:c r="H1274" s="7" t="n">
        <x:v>2</x:v>
      </x:c>
      <x:c r="I1274" s="9" t="n">
        <x:v>14000</x:v>
      </x:c>
      <x:c r="J1274" s="9" t="n">
        <x:v>8500</x:v>
      </x:c>
      <x:c r="K1274" s="10" t="n">
        <x:v>0.1</x:v>
      </x:c>
      <x:c r="L1274" s="2" t="str">
        <x:v>Completed</x:v>
      </x:c>
      <x:c r="M1274" s="12" t="n">
        <x:f>H1274*I1274</x:f>
        <x:v>28000</x:v>
      </x:c>
      <x:c r="N1274" s="12" t="n">
        <x:f>IF(L1274="Completed",ROUND(M1274*(1-K1274),2),0)</x:f>
        <x:v>25200</x:v>
      </x:c>
      <x:c r="O1274" s="12" t="n">
        <x:f>IF(L1274="Completed",H1274*J1274,0)</x:f>
        <x:v>17000</x:v>
      </x:c>
      <x:c r="P1274" s="12" t="n">
        <x:f>N1274-O1274</x:f>
        <x:v>8200</x:v>
      </x:c>
    </x:row>
    <x:row r="1275" ht="21" customHeight="1">
      <x:c r="A1275" s="7" t="n">
        <x:v>1270</x:v>
      </x:c>
      <x:c r="B1275" s="2" t="str">
        <x:v>TXN-01270</x:v>
      </x:c>
      <x:c r="C1275" s="8" t="d">
        <x:v>2025-11-14T00:00:00.000Z</x:v>
      </x:c>
      <x:c r="D1275" s="2" t="str">
        <x:v>Kano</x:v>
      </x:c>
      <x:c r="E1275" s="2" t="str">
        <x:v>Home</x:v>
      </x:c>
      <x:c r="F1275" s="2" t="str">
        <x:v>Desk lamp</x:v>
      </x:c>
      <x:c r="G1275" s="2" t="str">
        <x:v>In-store</x:v>
      </x:c>
      <x:c r="H1275" s="7" t="n">
        <x:v>2</x:v>
      </x:c>
      <x:c r="I1275" s="9" t="n">
        <x:v>12000</x:v>
      </x:c>
      <x:c r="J1275" s="9" t="n">
        <x:v>7200</x:v>
      </x:c>
      <x:c r="K1275" s="10" t="n">
        <x:v>0</x:v>
      </x:c>
      <x:c r="L1275" s="2" t="str">
        <x:v>Completed</x:v>
      </x:c>
      <x:c r="M1275" s="12" t="n">
        <x:f>H1275*I1275</x:f>
        <x:v>24000</x:v>
      </x:c>
      <x:c r="N1275" s="12" t="n">
        <x:f>IF(L1275="Completed",ROUND(M1275*(1-K1275),2),0)</x:f>
        <x:v>24000</x:v>
      </x:c>
      <x:c r="O1275" s="12" t="n">
        <x:f>IF(L1275="Completed",H1275*J1275,0)</x:f>
        <x:v>14400</x:v>
      </x:c>
      <x:c r="P1275" s="12" t="n">
        <x:f>N1275-O1275</x:f>
        <x:v>9600</x:v>
      </x:c>
    </x:row>
    <x:row r="1276" ht="21" customHeight="1">
      <x:c r="A1276" s="7" t="n">
        <x:v>1271</x:v>
      </x:c>
      <x:c r="B1276" s="2" t="str">
        <x:v>TXN-01271</x:v>
      </x:c>
      <x:c r="C1276" s="8" t="d">
        <x:v>2025-11-07T00:00:00.000Z</x:v>
      </x:c>
      <x:c r="D1276" s="2" t="str">
        <x:v>Lagos</x:v>
      </x:c>
      <x:c r="E1276" s="2" t="str">
        <x:v>Home</x:v>
      </x:c>
      <x:c r="F1276" s="2" t="str">
        <x:v>Desk lamp</x:v>
      </x:c>
      <x:c r="G1276" s="2" t="str">
        <x:v>Online</x:v>
      </x:c>
      <x:c r="H1276" s="7" t="n">
        <x:v>1</x:v>
      </x:c>
      <x:c r="I1276" s="9" t="n">
        <x:v>12000</x:v>
      </x:c>
      <x:c r="J1276" s="9" t="n">
        <x:v>7200</x:v>
      </x:c>
      <x:c r="K1276" s="10" t="n">
        <x:v>0.05</x:v>
      </x:c>
      <x:c r="L1276" s="2" t="str">
        <x:v>Completed</x:v>
      </x:c>
      <x:c r="M1276" s="12" t="n">
        <x:f>H1276*I1276</x:f>
        <x:v>12000</x:v>
      </x:c>
      <x:c r="N1276" s="12" t="n">
        <x:f>IF(L1276="Completed",ROUND(M1276*(1-K1276),2),0)</x:f>
        <x:v>11400</x:v>
      </x:c>
      <x:c r="O1276" s="12" t="n">
        <x:f>IF(L1276="Completed",H1276*J1276,0)</x:f>
        <x:v>7200</x:v>
      </x:c>
      <x:c r="P1276" s="12" t="n">
        <x:f>N1276-O1276</x:f>
        <x:v>4200</x:v>
      </x:c>
    </x:row>
    <x:row r="1277" ht="21" customHeight="1">
      <x:c r="A1277" s="7" t="n">
        <x:v>1272</x:v>
      </x:c>
      <x:c r="B1277" s="2" t="str">
        <x:v>TXN-01272</x:v>
      </x:c>
      <x:c r="C1277" s="8" t="d">
        <x:v>2025-11-05T00:00:00.000Z</x:v>
      </x:c>
      <x:c r="D1277" s="2" t="str">
        <x:v>Lagos</x:v>
      </x:c>
      <x:c r="E1277" s="2" t="str">
        <x:v>Electronics</x:v>
      </x:c>
      <x:c r="F1277" s="2" t="str">
        <x:v>Headphones</x:v>
      </x:c>
      <x:c r="G1277" s="2" t="str">
        <x:v>Online</x:v>
      </x:c>
      <x:c r="H1277" s="7" t="n">
        <x:v>2</x:v>
      </x:c>
      <x:c r="I1277" s="9" t="n">
        <x:v>18000</x:v>
      </x:c>
      <x:c r="J1277" s="9" t="n">
        <x:v>10500</x:v>
      </x:c>
      <x:c r="K1277" s="10" t="n">
        <x:v>0</x:v>
      </x:c>
      <x:c r="L1277" s="2" t="str">
        <x:v>Completed</x:v>
      </x:c>
      <x:c r="M1277" s="12" t="n">
        <x:f>H1277*I1277</x:f>
        <x:v>36000</x:v>
      </x:c>
      <x:c r="N1277" s="12" t="n">
        <x:f>IF(L1277="Completed",ROUND(M1277*(1-K1277),2),0)</x:f>
        <x:v>36000</x:v>
      </x:c>
      <x:c r="O1277" s="12" t="n">
        <x:f>IF(L1277="Completed",H1277*J1277,0)</x:f>
        <x:v>21000</x:v>
      </x:c>
      <x:c r="P1277" s="12" t="n">
        <x:f>N1277-O1277</x:f>
        <x:v>15000</x:v>
      </x:c>
    </x:row>
    <x:row r="1278" ht="21" customHeight="1">
      <x:c r="A1278" s="7" t="n">
        <x:v>1273</x:v>
      </x:c>
      <x:c r="B1278" s="2" t="str">
        <x:v>TXN-01273</x:v>
      </x:c>
      <x:c r="C1278" s="8" t="d">
        <x:v>2025-11-16T00:00:00.000Z</x:v>
      </x:c>
      <x:c r="D1278" s="2" t="str">
        <x:v>Unknown</x:v>
      </x:c>
      <x:c r="E1278" s="2" t="str">
        <x:v>Beauty</x:v>
      </x:c>
      <x:c r="F1278" s="2" t="str">
        <x:v>Body wash</x:v>
      </x:c>
      <x:c r="G1278" s="2" t="str">
        <x:v>Online</x:v>
      </x:c>
      <x:c r="H1278" s="7" t="n">
        <x:v>2</x:v>
      </x:c>
      <x:c r="I1278" s="9" t="n">
        <x:v>4500</x:v>
      </x:c>
      <x:c r="J1278" s="9" t="n">
        <x:v>2300</x:v>
      </x:c>
      <x:c r="K1278" s="10" t="n">
        <x:v>0</x:v>
      </x:c>
      <x:c r="L1278" s="2" t="str">
        <x:v>Completed</x:v>
      </x:c>
      <x:c r="M1278" s="12" t="n">
        <x:f>H1278*I1278</x:f>
        <x:v>9000</x:v>
      </x:c>
      <x:c r="N1278" s="12" t="n">
        <x:f>IF(L1278="Completed",ROUND(M1278*(1-K1278),2),0)</x:f>
        <x:v>9000</x:v>
      </x:c>
      <x:c r="O1278" s="12" t="n">
        <x:f>IF(L1278="Completed",H1278*J1278,0)</x:f>
        <x:v>4600</x:v>
      </x:c>
      <x:c r="P1278" s="12" t="n">
        <x:f>N1278-O1278</x:f>
        <x:v>4400</x:v>
      </x:c>
    </x:row>
    <x:row r="1279" ht="21" customHeight="1">
      <x:c r="A1279" s="7" t="n">
        <x:v>1274</x:v>
      </x:c>
      <x:c r="B1279" s="2" t="str">
        <x:v>TXN-01274</x:v>
      </x:c>
      <x:c r="C1279" s="8" t="d">
        <x:v>2025-11-24T00:00:00.000Z</x:v>
      </x:c>
      <x:c r="D1279" s="2" t="str">
        <x:v>Lagos</x:v>
      </x:c>
      <x:c r="E1279" s="2" t="str">
        <x:v>Beauty</x:v>
      </x:c>
      <x:c r="F1279" s="2" t="str">
        <x:v>Perfume</x:v>
      </x:c>
      <x:c r="G1279" s="2" t="str">
        <x:v>In-store</x:v>
      </x:c>
      <x:c r="H1279" s="7" t="n">
        <x:v>1</x:v>
      </x:c>
      <x:c r="I1279" s="9" t="n">
        <x:v>17000</x:v>
      </x:c>
      <x:c r="J1279" s="9" t="n">
        <x:v>9000</x:v>
      </x:c>
      <x:c r="K1279" s="10" t="n">
        <x:v>0</x:v>
      </x:c>
      <x:c r="L1279" s="2" t="str">
        <x:v>Completed</x:v>
      </x:c>
      <x:c r="M1279" s="12" t="n">
        <x:f>H1279*I1279</x:f>
        <x:v>17000</x:v>
      </x:c>
      <x:c r="N1279" s="12" t="n">
        <x:f>IF(L1279="Completed",ROUND(M1279*(1-K1279),2),0)</x:f>
        <x:v>17000</x:v>
      </x:c>
      <x:c r="O1279" s="12" t="n">
        <x:f>IF(L1279="Completed",H1279*J1279,0)</x:f>
        <x:v>9000</x:v>
      </x:c>
      <x:c r="P1279" s="12" t="n">
        <x:f>N1279-O1279</x:f>
        <x:v>8000</x:v>
      </x:c>
    </x:row>
    <x:row r="1280" ht="21" customHeight="1">
      <x:c r="A1280" s="7" t="n">
        <x:v>1275</x:v>
      </x:c>
      <x:c r="B1280" s="2" t="str">
        <x:v>TXN-01275</x:v>
      </x:c>
      <x:c r="C1280" s="8" t="d">
        <x:v>2025-11-23T00:00:00.000Z</x:v>
      </x:c>
      <x:c r="D1280" s="2" t="str">
        <x:v>Lagos</x:v>
      </x:c>
      <x:c r="E1280" s="2" t="str">
        <x:v>Electronics</x:v>
      </x:c>
      <x:c r="F1280" s="2" t="str">
        <x:v>Headphones</x:v>
      </x:c>
      <x:c r="G1280" s="2" t="str">
        <x:v>Online</x:v>
      </x:c>
      <x:c r="H1280" s="7" t="n">
        <x:v>2</x:v>
      </x:c>
      <x:c r="I1280" s="9" t="n">
        <x:v>18000</x:v>
      </x:c>
      <x:c r="J1280" s="9" t="n">
        <x:v>10500</x:v>
      </x:c>
      <x:c r="K1280" s="10" t="n">
        <x:v>0</x:v>
      </x:c>
      <x:c r="L1280" s="2" t="str">
        <x:v>Completed</x:v>
      </x:c>
      <x:c r="M1280" s="12" t="n">
        <x:f>H1280*I1280</x:f>
        <x:v>36000</x:v>
      </x:c>
      <x:c r="N1280" s="12" t="n">
        <x:f>IF(L1280="Completed",ROUND(M1280*(1-K1280),2),0)</x:f>
        <x:v>36000</x:v>
      </x:c>
      <x:c r="O1280" s="12" t="n">
        <x:f>IF(L1280="Completed",H1280*J1280,0)</x:f>
        <x:v>21000</x:v>
      </x:c>
      <x:c r="P1280" s="12" t="n">
        <x:f>N1280-O1280</x:f>
        <x:v>15000</x:v>
      </x:c>
    </x:row>
    <x:row r="1281" ht="21" customHeight="1">
      <x:c r="A1281" s="7" t="n">
        <x:v>1276</x:v>
      </x:c>
      <x:c r="B1281" s="2" t="str">
        <x:v>TXN-01276</x:v>
      </x:c>
      <x:c r="C1281" s="8" t="d">
        <x:v>2025-11-16T00:00:00.000Z</x:v>
      </x:c>
      <x:c r="D1281" s="2" t="str">
        <x:v>Abuja</x:v>
      </x:c>
      <x:c r="E1281" s="2" t="str">
        <x:v>Beauty</x:v>
      </x:c>
      <x:c r="F1281" s="2" t="str">
        <x:v>Body wash</x:v>
      </x:c>
      <x:c r="G1281" s="2" t="str">
        <x:v>Online</x:v>
      </x:c>
      <x:c r="H1281" s="7" t="n">
        <x:v>2</x:v>
      </x:c>
      <x:c r="I1281" s="9" t="n">
        <x:v>4500</x:v>
      </x:c>
      <x:c r="J1281" s="9" t="n">
        <x:v>2300</x:v>
      </x:c>
      <x:c r="K1281" s="10" t="n">
        <x:v>0.05</x:v>
      </x:c>
      <x:c r="L1281" s="2" t="str">
        <x:v>Completed</x:v>
      </x:c>
      <x:c r="M1281" s="12" t="n">
        <x:f>H1281*I1281</x:f>
        <x:v>9000</x:v>
      </x:c>
      <x:c r="N1281" s="12" t="n">
        <x:f>IF(L1281="Completed",ROUND(M1281*(1-K1281),2),0)</x:f>
        <x:v>8550</x:v>
      </x:c>
      <x:c r="O1281" s="12" t="n">
        <x:f>IF(L1281="Completed",H1281*J1281,0)</x:f>
        <x:v>4600</x:v>
      </x:c>
      <x:c r="P1281" s="12" t="n">
        <x:f>N1281-O1281</x:f>
        <x:v>3950</x:v>
      </x:c>
    </x:row>
    <x:row r="1282" ht="21" customHeight="1">
      <x:c r="A1282" s="7" t="n">
        <x:v>1277</x:v>
      </x:c>
      <x:c r="B1282" s="2" t="str">
        <x:v>TXN-01277</x:v>
      </x:c>
      <x:c r="C1282" s="8" t="d">
        <x:v>2025-11-18T00:00:00.000Z</x:v>
      </x:c>
      <x:c r="D1282" s="2" t="str">
        <x:v>Lagos</x:v>
      </x:c>
      <x:c r="E1282" s="2" t="str">
        <x:v>Electronics</x:v>
      </x:c>
      <x:c r="F1282" s="2" t="str">
        <x:v>Power bank</x:v>
      </x:c>
      <x:c r="G1282" s="2" t="str">
        <x:v>Online</x:v>
      </x:c>
      <x:c r="H1282" s="7" t="n">
        <x:v>2</x:v>
      </x:c>
      <x:c r="I1282" s="9" t="n">
        <x:v>15000</x:v>
      </x:c>
      <x:c r="J1282" s="9" t="n">
        <x:v>9500</x:v>
      </x:c>
      <x:c r="K1282" s="10" t="n">
        <x:v>0</x:v>
      </x:c>
      <x:c r="L1282" s="2" t="str">
        <x:v>Completed</x:v>
      </x:c>
      <x:c r="M1282" s="12" t="n">
        <x:f>H1282*I1282</x:f>
        <x:v>30000</x:v>
      </x:c>
      <x:c r="N1282" s="12" t="n">
        <x:f>IF(L1282="Completed",ROUND(M1282*(1-K1282),2),0)</x:f>
        <x:v>30000</x:v>
      </x:c>
      <x:c r="O1282" s="12" t="n">
        <x:f>IF(L1282="Completed",H1282*J1282,0)</x:f>
        <x:v>19000</x:v>
      </x:c>
      <x:c r="P1282" s="12" t="n">
        <x:f>N1282-O1282</x:f>
        <x:v>11000</x:v>
      </x:c>
    </x:row>
    <x:row r="1283" ht="21" customHeight="1">
      <x:c r="A1283" s="7" t="n">
        <x:v>1278</x:v>
      </x:c>
      <x:c r="B1283" s="2" t="str">
        <x:v>TXN-01278</x:v>
      </x:c>
      <x:c r="C1283" s="8" t="d">
        <x:v>2025-11-09T00:00:00.000Z</x:v>
      </x:c>
      <x:c r="D1283" s="2" t="str">
        <x:v>Lagos</x:v>
      </x:c>
      <x:c r="E1283" s="2" t="str">
        <x:v>Beauty</x:v>
      </x:c>
      <x:c r="F1283" s="2" t="str">
        <x:v>Body wash</x:v>
      </x:c>
      <x:c r="G1283" s="2" t="str">
        <x:v>In-store</x:v>
      </x:c>
      <x:c r="H1283" s="7" t="n">
        <x:v>1</x:v>
      </x:c>
      <x:c r="I1283" s="9" t="n">
        <x:v>4500</x:v>
      </x:c>
      <x:c r="J1283" s="9" t="n">
        <x:v>2300</x:v>
      </x:c>
      <x:c r="K1283" s="10" t="n">
        <x:v>0</x:v>
      </x:c>
      <x:c r="L1283" s="2" t="str">
        <x:v>Completed</x:v>
      </x:c>
      <x:c r="M1283" s="12" t="n">
        <x:f>H1283*I1283</x:f>
        <x:v>4500</x:v>
      </x:c>
      <x:c r="N1283" s="12" t="n">
        <x:f>IF(L1283="Completed",ROUND(M1283*(1-K1283),2),0)</x:f>
        <x:v>4500</x:v>
      </x:c>
      <x:c r="O1283" s="12" t="n">
        <x:f>IF(L1283="Completed",H1283*J1283,0)</x:f>
        <x:v>2300</x:v>
      </x:c>
      <x:c r="P1283" s="12" t="n">
        <x:f>N1283-O1283</x:f>
        <x:v>2200</x:v>
      </x:c>
    </x:row>
    <x:row r="1284" ht="21" customHeight="1">
      <x:c r="A1284" s="7" t="n">
        <x:v>1279</x:v>
      </x:c>
      <x:c r="B1284" s="2" t="str">
        <x:v>TXN-01279</x:v>
      </x:c>
      <x:c r="C1284" s="8" t="d">
        <x:v>2025-11-01T00:00:00.000Z</x:v>
      </x:c>
      <x:c r="D1284" s="2" t="str">
        <x:v>Abuja</x:v>
      </x:c>
      <x:c r="E1284" s="2" t="str">
        <x:v>Fashion</x:v>
      </x:c>
      <x:c r="F1284" s="2" t="str">
        <x:v>Handbag</x:v>
      </x:c>
      <x:c r="G1284" s="2" t="str">
        <x:v>Online</x:v>
      </x:c>
      <x:c r="H1284" s="7" t="n">
        <x:v>1</x:v>
      </x:c>
      <x:c r="I1284" s="9" t="n">
        <x:v>22000</x:v>
      </x:c>
      <x:c r="J1284" s="9" t="n">
        <x:v>13500</x:v>
      </x:c>
      <x:c r="K1284" s="10" t="n">
        <x:v>0.1</x:v>
      </x:c>
      <x:c r="L1284" s="2" t="str">
        <x:v>Completed</x:v>
      </x:c>
      <x:c r="M1284" s="12" t="n">
        <x:f>H1284*I1284</x:f>
        <x:v>22000</x:v>
      </x:c>
      <x:c r="N1284" s="12" t="n">
        <x:f>IF(L1284="Completed",ROUND(M1284*(1-K1284),2),0)</x:f>
        <x:v>19800</x:v>
      </x:c>
      <x:c r="O1284" s="12" t="n">
        <x:f>IF(L1284="Completed",H1284*J1284,0)</x:f>
        <x:v>13500</x:v>
      </x:c>
      <x:c r="P1284" s="12" t="n">
        <x:f>N1284-O1284</x:f>
        <x:v>6300</x:v>
      </x:c>
    </x:row>
    <x:row r="1285" ht="21" customHeight="1">
      <x:c r="A1285" s="7" t="n">
        <x:v>1280</x:v>
      </x:c>
      <x:c r="B1285" s="2" t="str">
        <x:v>TXN-01280</x:v>
      </x:c>
      <x:c r="C1285" s="8" t="d">
        <x:v>2025-11-21T00:00:00.000Z</x:v>
      </x:c>
      <x:c r="D1285" s="2" t="str">
        <x:v>Lagos</x:v>
      </x:c>
      <x:c r="E1285" s="2" t="str">
        <x:v>Beauty</x:v>
      </x:c>
      <x:c r="F1285" s="2" t="str">
        <x:v>Perfume</x:v>
      </x:c>
      <x:c r="G1285" s="2" t="str">
        <x:v>Online</x:v>
      </x:c>
      <x:c r="H1285" s="7" t="n">
        <x:v>1</x:v>
      </x:c>
      <x:c r="I1285" s="9" t="n">
        <x:v>17000</x:v>
      </x:c>
      <x:c r="J1285" s="9" t="n">
        <x:v>9000</x:v>
      </x:c>
      <x:c r="K1285" s="10" t="n">
        <x:v>0</x:v>
      </x:c>
      <x:c r="L1285" s="2" t="str">
        <x:v>Completed</x:v>
      </x:c>
      <x:c r="M1285" s="12" t="n">
        <x:f>H1285*I1285</x:f>
        <x:v>17000</x:v>
      </x:c>
      <x:c r="N1285" s="12" t="n">
        <x:f>IF(L1285="Completed",ROUND(M1285*(1-K1285),2),0)</x:f>
        <x:v>17000</x:v>
      </x:c>
      <x:c r="O1285" s="12" t="n">
        <x:f>IF(L1285="Completed",H1285*J1285,0)</x:f>
        <x:v>9000</x:v>
      </x:c>
      <x:c r="P1285" s="12" t="n">
        <x:f>N1285-O1285</x:f>
        <x:v>8000</x:v>
      </x:c>
    </x:row>
    <x:row r="1286" ht="21" customHeight="1">
      <x:c r="A1286" s="7" t="n">
        <x:v>1281</x:v>
      </x:c>
      <x:c r="B1286" s="2" t="str">
        <x:v>TXN-01281</x:v>
      </x:c>
      <x:c r="C1286" s="8" t="d">
        <x:v>2025-11-19T00:00:00.000Z</x:v>
      </x:c>
      <x:c r="D1286" s="2" t="str">
        <x:v>Kano</x:v>
      </x:c>
      <x:c r="E1286" s="2" t="str">
        <x:v>Fashion</x:v>
      </x:c>
      <x:c r="F1286" s="2" t="str">
        <x:v>Sneakers</x:v>
      </x:c>
      <x:c r="G1286" s="2" t="str">
        <x:v>Online</x:v>
      </x:c>
      <x:c r="H1286" s="7" t="n">
        <x:v>2</x:v>
      </x:c>
      <x:c r="I1286" s="9" t="n">
        <x:v>28000</x:v>
      </x:c>
      <x:c r="J1286" s="9" t="n">
        <x:v>17500</x:v>
      </x:c>
      <x:c r="K1286" s="10" t="n">
        <x:v>0.1</x:v>
      </x:c>
      <x:c r="L1286" s="2" t="str">
        <x:v>Completed</x:v>
      </x:c>
      <x:c r="M1286" s="12" t="n">
        <x:f>H1286*I1286</x:f>
        <x:v>56000</x:v>
      </x:c>
      <x:c r="N1286" s="12" t="n">
        <x:f>IF(L1286="Completed",ROUND(M1286*(1-K1286),2),0)</x:f>
        <x:v>50400</x:v>
      </x:c>
      <x:c r="O1286" s="12" t="n">
        <x:f>IF(L1286="Completed",H1286*J1286,0)</x:f>
        <x:v>35000</x:v>
      </x:c>
      <x:c r="P1286" s="12" t="n">
        <x:f>N1286-O1286</x:f>
        <x:v>15400</x:v>
      </x:c>
    </x:row>
    <x:row r="1287" ht="21" customHeight="1">
      <x:c r="A1287" s="7" t="n">
        <x:v>1282</x:v>
      </x:c>
      <x:c r="B1287" s="2" t="str">
        <x:v>TXN-01282</x:v>
      </x:c>
      <x:c r="C1287" s="8" t="d">
        <x:v>2025-11-25T00:00:00.000Z</x:v>
      </x:c>
      <x:c r="D1287" s="2" t="str">
        <x:v>Port Harcourt</x:v>
      </x:c>
      <x:c r="E1287" s="2" t="str">
        <x:v>Electronics</x:v>
      </x:c>
      <x:c r="F1287" s="2" t="str">
        <x:v>Bluetooth speaker</x:v>
      </x:c>
      <x:c r="G1287" s="2" t="str">
        <x:v>Online</x:v>
      </x:c>
      <x:c r="H1287" s="7" t="n">
        <x:v>1</x:v>
      </x:c>
      <x:c r="I1287" s="9" t="n">
        <x:v>26000</x:v>
      </x:c>
      <x:c r="J1287" s="9" t="n">
        <x:v>17000</x:v>
      </x:c>
      <x:c r="K1287" s="10" t="n">
        <x:v>0.15</x:v>
      </x:c>
      <x:c r="L1287" s="2" t="str">
        <x:v>Completed</x:v>
      </x:c>
      <x:c r="M1287" s="12" t="n">
        <x:f>H1287*I1287</x:f>
        <x:v>26000</x:v>
      </x:c>
      <x:c r="N1287" s="12" t="n">
        <x:f>IF(L1287="Completed",ROUND(M1287*(1-K1287),2),0)</x:f>
        <x:v>22100</x:v>
      </x:c>
      <x:c r="O1287" s="12" t="n">
        <x:f>IF(L1287="Completed",H1287*J1287,0)</x:f>
        <x:v>17000</x:v>
      </x:c>
      <x:c r="P1287" s="12" t="n">
        <x:f>N1287-O1287</x:f>
        <x:v>5100</x:v>
      </x:c>
    </x:row>
    <x:row r="1288" ht="21" customHeight="1">
      <x:c r="A1288" s="7" t="n">
        <x:v>1283</x:v>
      </x:c>
      <x:c r="B1288" s="2" t="str">
        <x:v>TXN-01283</x:v>
      </x:c>
      <x:c r="C1288" s="8" t="d">
        <x:v>2025-11-12T00:00:00.000Z</x:v>
      </x:c>
      <x:c r="D1288" s="2" t="str">
        <x:v>Abuja</x:v>
      </x:c>
      <x:c r="E1288" s="2" t="str">
        <x:v>Beauty</x:v>
      </x:c>
      <x:c r="F1288" s="2" t="str">
        <x:v>Body wash</x:v>
      </x:c>
      <x:c r="G1288" s="2" t="str">
        <x:v>Online</x:v>
      </x:c>
      <x:c r="H1288" s="7" t="n">
        <x:v>1</x:v>
      </x:c>
      <x:c r="I1288" s="9" t="n">
        <x:v>4500</x:v>
      </x:c>
      <x:c r="J1288" s="9" t="n">
        <x:v>2300</x:v>
      </x:c>
      <x:c r="K1288" s="10" t="n">
        <x:v>0</x:v>
      </x:c>
      <x:c r="L1288" s="2" t="str">
        <x:v>Completed</x:v>
      </x:c>
      <x:c r="M1288" s="12" t="n">
        <x:f>H1288*I1288</x:f>
        <x:v>4500</x:v>
      </x:c>
      <x:c r="N1288" s="12" t="n">
        <x:f>IF(L1288="Completed",ROUND(M1288*(1-K1288),2),0)</x:f>
        <x:v>4500</x:v>
      </x:c>
      <x:c r="O1288" s="12" t="n">
        <x:f>IF(L1288="Completed",H1288*J1288,0)</x:f>
        <x:v>2300</x:v>
      </x:c>
      <x:c r="P1288" s="12" t="n">
        <x:f>N1288-O1288</x:f>
        <x:v>2200</x:v>
      </x:c>
    </x:row>
    <x:row r="1289" ht="21" customHeight="1">
      <x:c r="A1289" s="7" t="n">
        <x:v>1284</x:v>
      </x:c>
      <x:c r="B1289" s="2" t="str">
        <x:v>TXN-01284</x:v>
      </x:c>
      <x:c r="C1289" s="8" t="d">
        <x:v>2025-11-12T00:00:00.000Z</x:v>
      </x:c>
      <x:c r="D1289" s="2" t="str">
        <x:v>Abuja</x:v>
      </x:c>
      <x:c r="E1289" s="2" t="str">
        <x:v>Fashion</x:v>
      </x:c>
      <x:c r="F1289" s="2" t="str">
        <x:v>T-shirt</x:v>
      </x:c>
      <x:c r="G1289" s="2" t="str">
        <x:v>Online</x:v>
      </x:c>
      <x:c r="H1289" s="7" t="n">
        <x:v>2</x:v>
      </x:c>
      <x:c r="I1289" s="9" t="n">
        <x:v>9000</x:v>
      </x:c>
      <x:c r="J1289" s="9" t="n">
        <x:v>5000</x:v>
      </x:c>
      <x:c r="K1289" s="10" t="n">
        <x:v>0.05</x:v>
      </x:c>
      <x:c r="L1289" s="2" t="str">
        <x:v>Completed</x:v>
      </x:c>
      <x:c r="M1289" s="12" t="n">
        <x:f>H1289*I1289</x:f>
        <x:v>18000</x:v>
      </x:c>
      <x:c r="N1289" s="12" t="n">
        <x:f>IF(L1289="Completed",ROUND(M1289*(1-K1289),2),0)</x:f>
        <x:v>17100</x:v>
      </x:c>
      <x:c r="O1289" s="12" t="n">
        <x:f>IF(L1289="Completed",H1289*J1289,0)</x:f>
        <x:v>10000</x:v>
      </x:c>
      <x:c r="P1289" s="12" t="n">
        <x:f>N1289-O1289</x:f>
        <x:v>7100</x:v>
      </x:c>
    </x:row>
    <x:row r="1290" ht="21" customHeight="1">
      <x:c r="A1290" s="7" t="n">
        <x:v>1285</x:v>
      </x:c>
      <x:c r="B1290" s="2" t="str">
        <x:v>TXN-01285</x:v>
      </x:c>
      <x:c r="C1290" s="8" t="d">
        <x:v>2025-11-06T00:00:00.000Z</x:v>
      </x:c>
      <x:c r="D1290" s="2" t="str">
        <x:v>Lagos</x:v>
      </x:c>
      <x:c r="E1290" s="2" t="str">
        <x:v>Fashion</x:v>
      </x:c>
      <x:c r="F1290" s="2" t="str">
        <x:v>Sneakers</x:v>
      </x:c>
      <x:c r="G1290" s="2" t="str">
        <x:v>In-store</x:v>
      </x:c>
      <x:c r="H1290" s="7" t="n">
        <x:v>3</x:v>
      </x:c>
      <x:c r="I1290" s="9" t="n">
        <x:v>28000</x:v>
      </x:c>
      <x:c r="J1290" s="9" t="n">
        <x:v>17500</x:v>
      </x:c>
      <x:c r="K1290" s="10" t="n">
        <x:v>0.1</x:v>
      </x:c>
      <x:c r="L1290" s="2" t="str">
        <x:v>Completed</x:v>
      </x:c>
      <x:c r="M1290" s="12" t="n">
        <x:f>H1290*I1290</x:f>
        <x:v>84000</x:v>
      </x:c>
      <x:c r="N1290" s="12" t="n">
        <x:f>IF(L1290="Completed",ROUND(M1290*(1-K1290),2),0)</x:f>
        <x:v>75600</x:v>
      </x:c>
      <x:c r="O1290" s="12" t="n">
        <x:f>IF(L1290="Completed",H1290*J1290,0)</x:f>
        <x:v>52500</x:v>
      </x:c>
      <x:c r="P1290" s="12" t="n">
        <x:f>N1290-O1290</x:f>
        <x:v>23100</x:v>
      </x:c>
    </x:row>
    <x:row r="1291" ht="21" customHeight="1">
      <x:c r="A1291" s="7" t="n">
        <x:v>1286</x:v>
      </x:c>
      <x:c r="B1291" s="2" t="str">
        <x:v>TXN-01286</x:v>
      </x:c>
      <x:c r="C1291" s="8" t="d">
        <x:v>2025-11-27T00:00:00.000Z</x:v>
      </x:c>
      <x:c r="D1291" s="2" t="str">
        <x:v>Abuja</x:v>
      </x:c>
      <x:c r="E1291" s="2" t="str">
        <x:v>Electronics</x:v>
      </x:c>
      <x:c r="F1291" s="2" t="str">
        <x:v>Headphones</x:v>
      </x:c>
      <x:c r="G1291" s="2" t="str">
        <x:v>Online</x:v>
      </x:c>
      <x:c r="H1291" s="7" t="n">
        <x:v>2</x:v>
      </x:c>
      <x:c r="I1291" s="9" t="n">
        <x:v>18000</x:v>
      </x:c>
      <x:c r="J1291" s="9" t="n">
        <x:v>10500</x:v>
      </x:c>
      <x:c r="K1291" s="10" t="n">
        <x:v>0</x:v>
      </x:c>
      <x:c r="L1291" s="2" t="str">
        <x:v>Completed</x:v>
      </x:c>
      <x:c r="M1291" s="12" t="n">
        <x:f>H1291*I1291</x:f>
        <x:v>36000</x:v>
      </x:c>
      <x:c r="N1291" s="12" t="n">
        <x:f>IF(L1291="Completed",ROUND(M1291*(1-K1291),2),0)</x:f>
        <x:v>36000</x:v>
      </x:c>
      <x:c r="O1291" s="12" t="n">
        <x:f>IF(L1291="Completed",H1291*J1291,0)</x:f>
        <x:v>21000</x:v>
      </x:c>
      <x:c r="P1291" s="12" t="n">
        <x:f>N1291-O1291</x:f>
        <x:v>15000</x:v>
      </x:c>
    </x:row>
    <x:row r="1292" ht="21" customHeight="1">
      <x:c r="A1292" s="7" t="n">
        <x:v>1287</x:v>
      </x:c>
      <x:c r="B1292" s="2" t="str">
        <x:v>TXN-01287</x:v>
      </x:c>
      <x:c r="C1292" s="8" t="d">
        <x:v>2025-11-11T00:00:00.000Z</x:v>
      </x:c>
      <x:c r="D1292" s="2" t="str">
        <x:v>Abuja</x:v>
      </x:c>
      <x:c r="E1292" s="2" t="str">
        <x:v>Electronics</x:v>
      </x:c>
      <x:c r="F1292" s="2" t="str">
        <x:v>Power bank</x:v>
      </x:c>
      <x:c r="G1292" s="2" t="str">
        <x:v>Online</x:v>
      </x:c>
      <x:c r="H1292" s="7" t="n">
        <x:v>1</x:v>
      </x:c>
      <x:c r="I1292" s="9" t="n">
        <x:v>15000</x:v>
      </x:c>
      <x:c r="J1292" s="9" t="n">
        <x:v>9500</x:v>
      </x:c>
      <x:c r="K1292" s="10" t="n">
        <x:v>0</x:v>
      </x:c>
      <x:c r="L1292" s="2" t="str">
        <x:v>Completed</x:v>
      </x:c>
      <x:c r="M1292" s="12" t="n">
        <x:f>H1292*I1292</x:f>
        <x:v>15000</x:v>
      </x:c>
      <x:c r="N1292" s="12" t="n">
        <x:f>IF(L1292="Completed",ROUND(M1292*(1-K1292),2),0)</x:f>
        <x:v>15000</x:v>
      </x:c>
      <x:c r="O1292" s="12" t="n">
        <x:f>IF(L1292="Completed",H1292*J1292,0)</x:f>
        <x:v>9500</x:v>
      </x:c>
      <x:c r="P1292" s="12" t="n">
        <x:f>N1292-O1292</x:f>
        <x:v>5500</x:v>
      </x:c>
    </x:row>
    <x:row r="1293" ht="21" customHeight="1">
      <x:c r="A1293" s="7" t="n">
        <x:v>1288</x:v>
      </x:c>
      <x:c r="B1293" s="2" t="str">
        <x:v>TXN-01288</x:v>
      </x:c>
      <x:c r="C1293" s="8" t="d">
        <x:v>2025-11-28T00:00:00.000Z</x:v>
      </x:c>
      <x:c r="D1293" s="2" t="str">
        <x:v>Port Harcourt</x:v>
      </x:c>
      <x:c r="E1293" s="2" t="str">
        <x:v>Beauty</x:v>
      </x:c>
      <x:c r="F1293" s="2" t="str">
        <x:v>Moisturizer</x:v>
      </x:c>
      <x:c r="G1293" s="2" t="str">
        <x:v>In-store</x:v>
      </x:c>
      <x:c r="H1293" s="7" t="n">
        <x:v>2</x:v>
      </x:c>
      <x:c r="I1293" s="9" t="n">
        <x:v>6500</x:v>
      </x:c>
      <x:c r="J1293" s="9" t="n">
        <x:v>3500</x:v>
      </x:c>
      <x:c r="K1293" s="10" t="n">
        <x:v>0.05</x:v>
      </x:c>
      <x:c r="L1293" s="2" t="str">
        <x:v>Completed</x:v>
      </x:c>
      <x:c r="M1293" s="12" t="n">
        <x:f>H1293*I1293</x:f>
        <x:v>13000</x:v>
      </x:c>
      <x:c r="N1293" s="12" t="n">
        <x:f>IF(L1293="Completed",ROUND(M1293*(1-K1293),2),0)</x:f>
        <x:v>12350</x:v>
      </x:c>
      <x:c r="O1293" s="12" t="n">
        <x:f>IF(L1293="Completed",H1293*J1293,0)</x:f>
        <x:v>7000</x:v>
      </x:c>
      <x:c r="P1293" s="12" t="n">
        <x:f>N1293-O1293</x:f>
        <x:v>5350</x:v>
      </x:c>
    </x:row>
    <x:row r="1294" ht="21" customHeight="1">
      <x:c r="A1294" s="7" t="n">
        <x:v>1289</x:v>
      </x:c>
      <x:c r="B1294" s="2" t="str">
        <x:v>TXN-01289</x:v>
      </x:c>
      <x:c r="C1294" s="8" t="d">
        <x:v>2025-11-12T00:00:00.000Z</x:v>
      </x:c>
      <x:c r="D1294" s="2" t="str">
        <x:v>Abuja</x:v>
      </x:c>
      <x:c r="E1294" s="2" t="str">
        <x:v>Home</x:v>
      </x:c>
      <x:c r="F1294" s="2" t="str">
        <x:v>Desk lamp</x:v>
      </x:c>
      <x:c r="G1294" s="2" t="str">
        <x:v>Online</x:v>
      </x:c>
      <x:c r="H1294" s="7" t="n">
        <x:v>2</x:v>
      </x:c>
      <x:c r="I1294" s="9" t="n">
        <x:v>12000</x:v>
      </x:c>
      <x:c r="J1294" s="9" t="n">
        <x:v>7200</x:v>
      </x:c>
      <x:c r="K1294" s="10" t="n">
        <x:v>0</x:v>
      </x:c>
      <x:c r="L1294" s="2" t="str">
        <x:v>Completed</x:v>
      </x:c>
      <x:c r="M1294" s="12" t="n">
        <x:f>H1294*I1294</x:f>
        <x:v>24000</x:v>
      </x:c>
      <x:c r="N1294" s="12" t="n">
        <x:f>IF(L1294="Completed",ROUND(M1294*(1-K1294),2),0)</x:f>
        <x:v>24000</x:v>
      </x:c>
      <x:c r="O1294" s="12" t="n">
        <x:f>IF(L1294="Completed",H1294*J1294,0)</x:f>
        <x:v>14400</x:v>
      </x:c>
      <x:c r="P1294" s="12" t="n">
        <x:f>N1294-O1294</x:f>
        <x:v>9600</x:v>
      </x:c>
    </x:row>
    <x:row r="1295" ht="21" customHeight="1">
      <x:c r="A1295" s="7" t="n">
        <x:v>1290</x:v>
      </x:c>
      <x:c r="B1295" s="2" t="str">
        <x:v>TXN-01290</x:v>
      </x:c>
      <x:c r="C1295" s="8" t="d">
        <x:v>2025-11-10T00:00:00.000Z</x:v>
      </x:c>
      <x:c r="D1295" s="2" t="str">
        <x:v>Lagos</x:v>
      </x:c>
      <x:c r="E1295" s="2" t="str">
        <x:v>Fashion</x:v>
      </x:c>
      <x:c r="F1295" s="2" t="str">
        <x:v>Handbag</x:v>
      </x:c>
      <x:c r="G1295" s="2" t="str">
        <x:v>Online</x:v>
      </x:c>
      <x:c r="H1295" s="7" t="n">
        <x:v>1</x:v>
      </x:c>
      <x:c r="I1295" s="9" t="n">
        <x:v>22000</x:v>
      </x:c>
      <x:c r="J1295" s="9" t="n">
        <x:v>13500</x:v>
      </x:c>
      <x:c r="K1295" s="10" t="n">
        <x:v>0</x:v>
      </x:c>
      <x:c r="L1295" s="2" t="str">
        <x:v>Completed</x:v>
      </x:c>
      <x:c r="M1295" s="12" t="n">
        <x:f>H1295*I1295</x:f>
        <x:v>22000</x:v>
      </x:c>
      <x:c r="N1295" s="12" t="n">
        <x:f>IF(L1295="Completed",ROUND(M1295*(1-K1295),2),0)</x:f>
        <x:v>22000</x:v>
      </x:c>
      <x:c r="O1295" s="12" t="n">
        <x:f>IF(L1295="Completed",H1295*J1295,0)</x:f>
        <x:v>13500</x:v>
      </x:c>
      <x:c r="P1295" s="12" t="n">
        <x:f>N1295-O1295</x:f>
        <x:v>8500</x:v>
      </x:c>
    </x:row>
    <x:row r="1296" ht="21" customHeight="1">
      <x:c r="A1296" s="7" t="n">
        <x:v>1291</x:v>
      </x:c>
      <x:c r="B1296" s="2" t="str">
        <x:v>TXN-01291</x:v>
      </x:c>
      <x:c r="C1296" s="8" t="d">
        <x:v>2025-11-14T00:00:00.000Z</x:v>
      </x:c>
      <x:c r="D1296" s="2" t="str">
        <x:v>Abuja</x:v>
      </x:c>
      <x:c r="E1296" s="2" t="str">
        <x:v>Beauty</x:v>
      </x:c>
      <x:c r="F1296" s="2" t="str">
        <x:v>Body wash</x:v>
      </x:c>
      <x:c r="G1296" s="2" t="str">
        <x:v>Online</x:v>
      </x:c>
      <x:c r="H1296" s="7" t="n">
        <x:v>2</x:v>
      </x:c>
      <x:c r="I1296" s="9" t="n">
        <x:v>4500</x:v>
      </x:c>
      <x:c r="J1296" s="9" t="n">
        <x:v>2300</x:v>
      </x:c>
      <x:c r="K1296" s="10" t="n">
        <x:v>0</x:v>
      </x:c>
      <x:c r="L1296" s="2" t="str">
        <x:v>Returned</x:v>
      </x:c>
      <x:c r="M1296" s="12" t="n">
        <x:f>H1296*I1296</x:f>
        <x:v>9000</x:v>
      </x:c>
      <x:c r="N1296" s="12" t="n">
        <x:f>IF(L1296="Completed",ROUND(M1296*(1-K1296),2),0)</x:f>
        <x:v>0</x:v>
      </x:c>
      <x:c r="O1296" s="12" t="n">
        <x:f>IF(L1296="Completed",H1296*J1296,0)</x:f>
        <x:v>0</x:v>
      </x:c>
      <x:c r="P1296" s="12" t="n">
        <x:f>N1296-O1296</x:f>
        <x:v>0</x:v>
      </x:c>
    </x:row>
    <x:row r="1297" ht="21" customHeight="1">
      <x:c r="A1297" s="7" t="n">
        <x:v>1292</x:v>
      </x:c>
      <x:c r="B1297" s="2" t="str">
        <x:v>TXN-01292</x:v>
      </x:c>
      <x:c r="C1297" s="8" t="d">
        <x:v>2025-11-29T00:00:00.000Z</x:v>
      </x:c>
      <x:c r="D1297" s="2" t="str">
        <x:v>Lagos</x:v>
      </x:c>
      <x:c r="E1297" s="2" t="str">
        <x:v>Fashion</x:v>
      </x:c>
      <x:c r="F1297" s="2" t="str">
        <x:v>Sneakers</x:v>
      </x:c>
      <x:c r="G1297" s="2" t="str">
        <x:v>In-store</x:v>
      </x:c>
      <x:c r="H1297" s="7" t="n">
        <x:v>1</x:v>
      </x:c>
      <x:c r="I1297" s="9" t="n">
        <x:v>28000</x:v>
      </x:c>
      <x:c r="J1297" s="9" t="n">
        <x:v>17500</x:v>
      </x:c>
      <x:c r="K1297" s="10" t="n">
        <x:v>0</x:v>
      </x:c>
      <x:c r="L1297" s="2" t="str">
        <x:v>Completed</x:v>
      </x:c>
      <x:c r="M1297" s="12" t="n">
        <x:f>H1297*I1297</x:f>
        <x:v>28000</x:v>
      </x:c>
      <x:c r="N1297" s="12" t="n">
        <x:f>IF(L1297="Completed",ROUND(M1297*(1-K1297),2),0)</x:f>
        <x:v>28000</x:v>
      </x:c>
      <x:c r="O1297" s="12" t="n">
        <x:f>IF(L1297="Completed",H1297*J1297,0)</x:f>
        <x:v>17500</x:v>
      </x:c>
      <x:c r="P1297" s="12" t="n">
        <x:f>N1297-O1297</x:f>
        <x:v>10500</x:v>
      </x:c>
    </x:row>
    <x:row r="1298" ht="21" customHeight="1">
      <x:c r="A1298" s="7" t="n">
        <x:v>1293</x:v>
      </x:c>
      <x:c r="B1298" s="2" t="str">
        <x:v>TXN-01293</x:v>
      </x:c>
      <x:c r="C1298" s="8" t="d">
        <x:v>2025-11-11T00:00:00.000Z</x:v>
      </x:c>
      <x:c r="D1298" s="2" t="str">
        <x:v>Abuja</x:v>
      </x:c>
      <x:c r="E1298" s="2" t="str">
        <x:v>Electronics</x:v>
      </x:c>
      <x:c r="F1298" s="2" t="str">
        <x:v>Power bank</x:v>
      </x:c>
      <x:c r="G1298" s="2" t="str">
        <x:v>Online</x:v>
      </x:c>
      <x:c r="H1298" s="7" t="n">
        <x:v>2</x:v>
      </x:c>
      <x:c r="I1298" s="9" t="n">
        <x:v>15000</x:v>
      </x:c>
      <x:c r="J1298" s="9" t="n">
        <x:v>9500</x:v>
      </x:c>
      <x:c r="K1298" s="10" t="n">
        <x:v>0</x:v>
      </x:c>
      <x:c r="L1298" s="2" t="str">
        <x:v>Completed</x:v>
      </x:c>
      <x:c r="M1298" s="12" t="n">
        <x:f>H1298*I1298</x:f>
        <x:v>30000</x:v>
      </x:c>
      <x:c r="N1298" s="12" t="n">
        <x:f>IF(L1298="Completed",ROUND(M1298*(1-K1298),2),0)</x:f>
        <x:v>30000</x:v>
      </x:c>
      <x:c r="O1298" s="12" t="n">
        <x:f>IF(L1298="Completed",H1298*J1298,0)</x:f>
        <x:v>19000</x:v>
      </x:c>
      <x:c r="P1298" s="12" t="n">
        <x:f>N1298-O1298</x:f>
        <x:v>11000</x:v>
      </x:c>
    </x:row>
    <x:row r="1299" ht="21" customHeight="1">
      <x:c r="A1299" s="7" t="n">
        <x:v>1294</x:v>
      </x:c>
      <x:c r="B1299" s="2" t="str">
        <x:v>TXN-01294</x:v>
      </x:c>
      <x:c r="C1299" s="8" t="d">
        <x:v>2025-11-06T00:00:00.000Z</x:v>
      </x:c>
      <x:c r="D1299" s="2" t="str">
        <x:v>Lagos</x:v>
      </x:c>
      <x:c r="E1299" s="2" t="str">
        <x:v>Electronics</x:v>
      </x:c>
      <x:c r="F1299" s="2" t="str">
        <x:v>Power bank</x:v>
      </x:c>
      <x:c r="G1299" s="2" t="str">
        <x:v>Online</x:v>
      </x:c>
      <x:c r="H1299" s="7" t="n">
        <x:v>4</x:v>
      </x:c>
      <x:c r="I1299" s="9" t="n">
        <x:v>15000</x:v>
      </x:c>
      <x:c r="J1299" s="9" t="n">
        <x:v>9500</x:v>
      </x:c>
      <x:c r="K1299" s="10" t="n">
        <x:v>0</x:v>
      </x:c>
      <x:c r="L1299" s="2" t="str">
        <x:v>Completed</x:v>
      </x:c>
      <x:c r="M1299" s="12" t="n">
        <x:f>H1299*I1299</x:f>
        <x:v>60000</x:v>
      </x:c>
      <x:c r="N1299" s="12" t="n">
        <x:f>IF(L1299="Completed",ROUND(M1299*(1-K1299),2),0)</x:f>
        <x:v>60000</x:v>
      </x:c>
      <x:c r="O1299" s="12" t="n">
        <x:f>IF(L1299="Completed",H1299*J1299,0)</x:f>
        <x:v>38000</x:v>
      </x:c>
      <x:c r="P1299" s="12" t="n">
        <x:f>N1299-O1299</x:f>
        <x:v>22000</x:v>
      </x:c>
    </x:row>
    <x:row r="1300" ht="21" customHeight="1">
      <x:c r="A1300" s="7" t="n">
        <x:v>1295</x:v>
      </x:c>
      <x:c r="B1300" s="2" t="str">
        <x:v>TXN-01295</x:v>
      </x:c>
      <x:c r="C1300" s="8" t="d">
        <x:v>2025-11-09T00:00:00.000Z</x:v>
      </x:c>
      <x:c r="D1300" s="2" t="str">
        <x:v>Abuja</x:v>
      </x:c>
      <x:c r="E1300" s="2" t="str">
        <x:v>Beauty</x:v>
      </x:c>
      <x:c r="F1300" s="2" t="str">
        <x:v>Body wash</x:v>
      </x:c>
      <x:c r="G1300" s="2" t="str">
        <x:v>In-store</x:v>
      </x:c>
      <x:c r="H1300" s="7" t="n">
        <x:v>3</x:v>
      </x:c>
      <x:c r="I1300" s="9" t="n">
        <x:v>4500</x:v>
      </x:c>
      <x:c r="J1300" s="9" t="n">
        <x:v>2300</x:v>
      </x:c>
      <x:c r="K1300" s="10" t="n">
        <x:v>0</x:v>
      </x:c>
      <x:c r="L1300" s="2" t="str">
        <x:v>Completed</x:v>
      </x:c>
      <x:c r="M1300" s="12" t="n">
        <x:f>H1300*I1300</x:f>
        <x:v>13500</x:v>
      </x:c>
      <x:c r="N1300" s="12" t="n">
        <x:f>IF(L1300="Completed",ROUND(M1300*(1-K1300),2),0)</x:f>
        <x:v>13500</x:v>
      </x:c>
      <x:c r="O1300" s="12" t="n">
        <x:f>IF(L1300="Completed",H1300*J1300,0)</x:f>
        <x:v>6900</x:v>
      </x:c>
      <x:c r="P1300" s="12" t="n">
        <x:f>N1300-O1300</x:f>
        <x:v>6600</x:v>
      </x:c>
    </x:row>
    <x:row r="1301" ht="21" customHeight="1">
      <x:c r="A1301" s="7" t="n">
        <x:v>1296</x:v>
      </x:c>
      <x:c r="B1301" s="2" t="str">
        <x:v>TXN-01296</x:v>
      </x:c>
      <x:c r="C1301" s="8" t="d">
        <x:v>2025-11-18T00:00:00.000Z</x:v>
      </x:c>
      <x:c r="D1301" s="2" t="str">
        <x:v>Lagos</x:v>
      </x:c>
      <x:c r="E1301" s="2" t="str">
        <x:v>Electronics</x:v>
      </x:c>
      <x:c r="F1301" s="2" t="str">
        <x:v>Bluetooth speaker</x:v>
      </x:c>
      <x:c r="G1301" s="2" t="str">
        <x:v>Online</x:v>
      </x:c>
      <x:c r="H1301" s="7" t="n">
        <x:v>2</x:v>
      </x:c>
      <x:c r="I1301" s="9" t="n">
        <x:v>26000</x:v>
      </x:c>
      <x:c r="J1301" s="9" t="n">
        <x:v>17000</x:v>
      </x:c>
      <x:c r="K1301" s="10" t="n">
        <x:v>0.05</x:v>
      </x:c>
      <x:c r="L1301" s="2" t="str">
        <x:v>Returned</x:v>
      </x:c>
      <x:c r="M1301" s="12" t="n">
        <x:f>H1301*I1301</x:f>
        <x:v>52000</x:v>
      </x:c>
      <x:c r="N1301" s="12" t="n">
        <x:f>IF(L1301="Completed",ROUND(M1301*(1-K1301),2),0)</x:f>
        <x:v>0</x:v>
      </x:c>
      <x:c r="O1301" s="12" t="n">
        <x:f>IF(L1301="Completed",H1301*J1301,0)</x:f>
        <x:v>0</x:v>
      </x:c>
      <x:c r="P1301" s="12" t="n">
        <x:f>N1301-O1301</x:f>
        <x:v>0</x:v>
      </x:c>
    </x:row>
    <x:row r="1302" ht="21" customHeight="1">
      <x:c r="A1302" s="7" t="n">
        <x:v>1297</x:v>
      </x:c>
      <x:c r="B1302" s="2" t="str">
        <x:v>TXN-01297</x:v>
      </x:c>
      <x:c r="C1302" s="8" t="d">
        <x:v>2025-11-06T00:00:00.000Z</x:v>
      </x:c>
      <x:c r="D1302" s="2" t="str">
        <x:v>Abuja</x:v>
      </x:c>
      <x:c r="E1302" s="2" t="str">
        <x:v>Fashion</x:v>
      </x:c>
      <x:c r="F1302" s="2" t="str">
        <x:v>T-shirt</x:v>
      </x:c>
      <x:c r="G1302" s="2" t="str">
        <x:v>In-store</x:v>
      </x:c>
      <x:c r="H1302" s="7" t="n">
        <x:v>1</x:v>
      </x:c>
      <x:c r="I1302" s="9" t="n">
        <x:v>9000</x:v>
      </x:c>
      <x:c r="J1302" s="9" t="n">
        <x:v>5000</x:v>
      </x:c>
      <x:c r="K1302" s="10" t="n">
        <x:v>0.1</x:v>
      </x:c>
      <x:c r="L1302" s="2" t="str">
        <x:v>Completed</x:v>
      </x:c>
      <x:c r="M1302" s="12" t="n">
        <x:f>H1302*I1302</x:f>
        <x:v>9000</x:v>
      </x:c>
      <x:c r="N1302" s="12" t="n">
        <x:f>IF(L1302="Completed",ROUND(M1302*(1-K1302),2),0)</x:f>
        <x:v>8100</x:v>
      </x:c>
      <x:c r="O1302" s="12" t="n">
        <x:f>IF(L1302="Completed",H1302*J1302,0)</x:f>
        <x:v>5000</x:v>
      </x:c>
      <x:c r="P1302" s="12" t="n">
        <x:f>N1302-O1302</x:f>
        <x:v>3100</x:v>
      </x:c>
    </x:row>
    <x:row r="1303" ht="21" customHeight="1">
      <x:c r="A1303" s="7" t="n">
        <x:v>1298</x:v>
      </x:c>
      <x:c r="B1303" s="2" t="str">
        <x:v>TXN-01298</x:v>
      </x:c>
      <x:c r="C1303" s="8" t="d">
        <x:v>2025-11-07T00:00:00.000Z</x:v>
      </x:c>
      <x:c r="D1303" s="2" t="str">
        <x:v>Lagos</x:v>
      </x:c>
      <x:c r="E1303" s="2" t="str">
        <x:v>Beauty</x:v>
      </x:c>
      <x:c r="F1303" s="2" t="str">
        <x:v>Body wash</x:v>
      </x:c>
      <x:c r="G1303" s="2" t="str">
        <x:v>Online</x:v>
      </x:c>
      <x:c r="H1303" s="7" t="n">
        <x:v>2</x:v>
      </x:c>
      <x:c r="I1303" s="9" t="n">
        <x:v>4500</x:v>
      </x:c>
      <x:c r="J1303" s="9" t="n">
        <x:v>2300</x:v>
      </x:c>
      <x:c r="K1303" s="10" t="n">
        <x:v>0</x:v>
      </x:c>
      <x:c r="L1303" s="2" t="str">
        <x:v>Completed</x:v>
      </x:c>
      <x:c r="M1303" s="12" t="n">
        <x:f>H1303*I1303</x:f>
        <x:v>9000</x:v>
      </x:c>
      <x:c r="N1303" s="12" t="n">
        <x:f>IF(L1303="Completed",ROUND(M1303*(1-K1303),2),0)</x:f>
        <x:v>9000</x:v>
      </x:c>
      <x:c r="O1303" s="12" t="n">
        <x:f>IF(L1303="Completed",H1303*J1303,0)</x:f>
        <x:v>4600</x:v>
      </x:c>
      <x:c r="P1303" s="12" t="n">
        <x:f>N1303-O1303</x:f>
        <x:v>4400</x:v>
      </x:c>
    </x:row>
    <x:row r="1304" ht="21" customHeight="1">
      <x:c r="A1304" s="7" t="n">
        <x:v>1299</x:v>
      </x:c>
      <x:c r="B1304" s="2" t="str">
        <x:v>TXN-01299</x:v>
      </x:c>
      <x:c r="C1304" s="8" t="d">
        <x:v>2025-11-26T00:00:00.000Z</x:v>
      </x:c>
      <x:c r="D1304" s="2" t="str">
        <x:v>Abuja</x:v>
      </x:c>
      <x:c r="E1304" s="2" t="str">
        <x:v>Electronics</x:v>
      </x:c>
      <x:c r="F1304" s="2" t="str">
        <x:v>Power bank</x:v>
      </x:c>
      <x:c r="G1304" s="2" t="str">
        <x:v>In-store</x:v>
      </x:c>
      <x:c r="H1304" s="7" t="n">
        <x:v>2</x:v>
      </x:c>
      <x:c r="I1304" s="9" t="n">
        <x:v>15000</x:v>
      </x:c>
      <x:c r="J1304" s="9" t="n">
        <x:v>9500</x:v>
      </x:c>
      <x:c r="K1304" s="10" t="n">
        <x:v>0</x:v>
      </x:c>
      <x:c r="L1304" s="2" t="str">
        <x:v>Completed</x:v>
      </x:c>
      <x:c r="M1304" s="12" t="n">
        <x:f>H1304*I1304</x:f>
        <x:v>30000</x:v>
      </x:c>
      <x:c r="N1304" s="12" t="n">
        <x:f>IF(L1304="Completed",ROUND(M1304*(1-K1304),2),0)</x:f>
        <x:v>30000</x:v>
      </x:c>
      <x:c r="O1304" s="12" t="n">
        <x:f>IF(L1304="Completed",H1304*J1304,0)</x:f>
        <x:v>19000</x:v>
      </x:c>
      <x:c r="P1304" s="12" t="n">
        <x:f>N1304-O1304</x:f>
        <x:v>11000</x:v>
      </x:c>
    </x:row>
    <x:row r="1305" ht="21" customHeight="1">
      <x:c r="A1305" s="7" t="n">
        <x:v>1300</x:v>
      </x:c>
      <x:c r="B1305" s="2" t="str">
        <x:v>TXN-01300</x:v>
      </x:c>
      <x:c r="C1305" s="8" t="d">
        <x:v>2025-11-10T00:00:00.000Z</x:v>
      </x:c>
      <x:c r="D1305" s="2" t="str">
        <x:v>Port Harcourt</x:v>
      </x:c>
      <x:c r="E1305" s="2" t="str">
        <x:v>Electronics</x:v>
      </x:c>
      <x:c r="F1305" s="2" t="str">
        <x:v>Bluetooth speaker</x:v>
      </x:c>
      <x:c r="G1305" s="2" t="str">
        <x:v>Online</x:v>
      </x:c>
      <x:c r="H1305" s="7" t="n">
        <x:v>3</x:v>
      </x:c>
      <x:c r="I1305" s="9" t="n">
        <x:v>26000</x:v>
      </x:c>
      <x:c r="J1305" s="9" t="n">
        <x:v>17000</x:v>
      </x:c>
      <x:c r="K1305" s="10" t="n">
        <x:v>0</x:v>
      </x:c>
      <x:c r="L1305" s="2" t="str">
        <x:v>Completed</x:v>
      </x:c>
      <x:c r="M1305" s="12" t="n">
        <x:f>H1305*I1305</x:f>
        <x:v>78000</x:v>
      </x:c>
      <x:c r="N1305" s="12" t="n">
        <x:f>IF(L1305="Completed",ROUND(M1305*(1-K1305),2),0)</x:f>
        <x:v>78000</x:v>
      </x:c>
      <x:c r="O1305" s="12" t="n">
        <x:f>IF(L1305="Completed",H1305*J1305,0)</x:f>
        <x:v>51000</x:v>
      </x:c>
      <x:c r="P1305" s="12" t="n">
        <x:f>N1305-O1305</x:f>
        <x:v>27000</x:v>
      </x:c>
    </x:row>
    <x:row r="1306" ht="21" customHeight="1">
      <x:c r="A1306" s="7" t="n">
        <x:v>1301</x:v>
      </x:c>
      <x:c r="B1306" s="2" t="str">
        <x:v>TXN-01301</x:v>
      </x:c>
      <x:c r="C1306" s="8" t="d">
        <x:v>2025-11-16T00:00:00.000Z</x:v>
      </x:c>
      <x:c r="D1306" s="2" t="str">
        <x:v>Abuja</x:v>
      </x:c>
      <x:c r="E1306" s="2" t="str">
        <x:v>Fashion</x:v>
      </x:c>
      <x:c r="F1306" s="2" t="str">
        <x:v>Handbag</x:v>
      </x:c>
      <x:c r="G1306" s="2" t="str">
        <x:v>Online</x:v>
      </x:c>
      <x:c r="H1306" s="7" t="n">
        <x:v>2</x:v>
      </x:c>
      <x:c r="I1306" s="9" t="n">
        <x:v>22000</x:v>
      </x:c>
      <x:c r="J1306" s="9" t="n">
        <x:v>13500</x:v>
      </x:c>
      <x:c r="K1306" s="10" t="n">
        <x:v>0</x:v>
      </x:c>
      <x:c r="L1306" s="2" t="str">
        <x:v>Completed</x:v>
      </x:c>
      <x:c r="M1306" s="12" t="n">
        <x:f>H1306*I1306</x:f>
        <x:v>44000</x:v>
      </x:c>
      <x:c r="N1306" s="12" t="n">
        <x:f>IF(L1306="Completed",ROUND(M1306*(1-K1306),2),0)</x:f>
        <x:v>44000</x:v>
      </x:c>
      <x:c r="O1306" s="12" t="n">
        <x:f>IF(L1306="Completed",H1306*J1306,0)</x:f>
        <x:v>27000</x:v>
      </x:c>
      <x:c r="P1306" s="12" t="n">
        <x:f>N1306-O1306</x:f>
        <x:v>17000</x:v>
      </x:c>
    </x:row>
    <x:row r="1307" ht="21" customHeight="1">
      <x:c r="A1307" s="7" t="n">
        <x:v>1302</x:v>
      </x:c>
      <x:c r="B1307" s="2" t="str">
        <x:v>TXN-01302</x:v>
      </x:c>
      <x:c r="C1307" s="8" t="d">
        <x:v>2025-11-21T00:00:00.000Z</x:v>
      </x:c>
      <x:c r="D1307" s="2" t="str">
        <x:v>Port Harcourt</x:v>
      </x:c>
      <x:c r="E1307" s="2" t="str">
        <x:v>Electronics</x:v>
      </x:c>
      <x:c r="F1307" s="2" t="str">
        <x:v>Headphones</x:v>
      </x:c>
      <x:c r="G1307" s="2" t="str">
        <x:v>Online</x:v>
      </x:c>
      <x:c r="H1307" s="7" t="n">
        <x:v>2</x:v>
      </x:c>
      <x:c r="I1307" s="9" t="n">
        <x:v>18000</x:v>
      </x:c>
      <x:c r="J1307" s="9" t="n">
        <x:v>10500</x:v>
      </x:c>
      <x:c r="K1307" s="10" t="n">
        <x:v>0</x:v>
      </x:c>
      <x:c r="L1307" s="2" t="str">
        <x:v>Completed</x:v>
      </x:c>
      <x:c r="M1307" s="12" t="n">
        <x:f>H1307*I1307</x:f>
        <x:v>36000</x:v>
      </x:c>
      <x:c r="N1307" s="12" t="n">
        <x:f>IF(L1307="Completed",ROUND(M1307*(1-K1307),2),0)</x:f>
        <x:v>36000</x:v>
      </x:c>
      <x:c r="O1307" s="12" t="n">
        <x:f>IF(L1307="Completed",H1307*J1307,0)</x:f>
        <x:v>21000</x:v>
      </x:c>
      <x:c r="P1307" s="12" t="n">
        <x:f>N1307-O1307</x:f>
        <x:v>15000</x:v>
      </x:c>
    </x:row>
    <x:row r="1308" ht="21" customHeight="1">
      <x:c r="A1308" s="7" t="n">
        <x:v>1303</x:v>
      </x:c>
      <x:c r="B1308" s="2" t="str">
        <x:v>TXN-01303</x:v>
      </x:c>
      <x:c r="C1308" s="8" t="d">
        <x:v>2025-11-27T00:00:00.000Z</x:v>
      </x:c>
      <x:c r="D1308" s="2" t="str">
        <x:v>Port Harcourt</x:v>
      </x:c>
      <x:c r="E1308" s="2" t="str">
        <x:v>Beauty</x:v>
      </x:c>
      <x:c r="F1308" s="2" t="str">
        <x:v>Moisturizer</x:v>
      </x:c>
      <x:c r="G1308" s="2" t="str">
        <x:v>In-store</x:v>
      </x:c>
      <x:c r="H1308" s="7" t="n">
        <x:v>1</x:v>
      </x:c>
      <x:c r="I1308" s="9" t="n">
        <x:v>6500</x:v>
      </x:c>
      <x:c r="J1308" s="9" t="n">
        <x:v>3500</x:v>
      </x:c>
      <x:c r="K1308" s="10" t="n">
        <x:v>0.05</x:v>
      </x:c>
      <x:c r="L1308" s="2" t="str">
        <x:v>Completed</x:v>
      </x:c>
      <x:c r="M1308" s="12" t="n">
        <x:f>H1308*I1308</x:f>
        <x:v>6500</x:v>
      </x:c>
      <x:c r="N1308" s="12" t="n">
        <x:f>IF(L1308="Completed",ROUND(M1308*(1-K1308),2),0)</x:f>
        <x:v>6175</x:v>
      </x:c>
      <x:c r="O1308" s="12" t="n">
        <x:f>IF(L1308="Completed",H1308*J1308,0)</x:f>
        <x:v>3500</x:v>
      </x:c>
      <x:c r="P1308" s="12" t="n">
        <x:f>N1308-O1308</x:f>
        <x:v>2675</x:v>
      </x:c>
    </x:row>
    <x:row r="1309" ht="21" customHeight="1">
      <x:c r="A1309" s="7" t="n">
        <x:v>1304</x:v>
      </x:c>
      <x:c r="B1309" s="2" t="str">
        <x:v>TXN-01304</x:v>
      </x:c>
      <x:c r="C1309" s="8" t="d">
        <x:v>2025-11-03T00:00:00.000Z</x:v>
      </x:c>
      <x:c r="D1309" s="2" t="str">
        <x:v>Abuja</x:v>
      </x:c>
      <x:c r="E1309" s="2" t="str">
        <x:v>Electronics</x:v>
      </x:c>
      <x:c r="F1309" s="2" t="str">
        <x:v>Bluetooth speaker</x:v>
      </x:c>
      <x:c r="G1309" s="2" t="str">
        <x:v>In-store</x:v>
      </x:c>
      <x:c r="H1309" s="7" t="n">
        <x:v>1</x:v>
      </x:c>
      <x:c r="I1309" s="9" t="n">
        <x:v>26000</x:v>
      </x:c>
      <x:c r="J1309" s="9" t="n">
        <x:v>17000</x:v>
      </x:c>
      <x:c r="K1309" s="10" t="n">
        <x:v>0</x:v>
      </x:c>
      <x:c r="L1309" s="2" t="str">
        <x:v>Completed</x:v>
      </x:c>
      <x:c r="M1309" s="12" t="n">
        <x:f>H1309*I1309</x:f>
        <x:v>26000</x:v>
      </x:c>
      <x:c r="N1309" s="12" t="n">
        <x:f>IF(L1309="Completed",ROUND(M1309*(1-K1309),2),0)</x:f>
        <x:v>26000</x:v>
      </x:c>
      <x:c r="O1309" s="12" t="n">
        <x:f>IF(L1309="Completed",H1309*J1309,0)</x:f>
        <x:v>17000</x:v>
      </x:c>
      <x:c r="P1309" s="12" t="n">
        <x:f>N1309-O1309</x:f>
        <x:v>9000</x:v>
      </x:c>
    </x:row>
    <x:row r="1310" ht="21" customHeight="1">
      <x:c r="A1310" s="7" t="n">
        <x:v>1305</x:v>
      </x:c>
      <x:c r="B1310" s="2" t="str">
        <x:v>TXN-01305</x:v>
      </x:c>
      <x:c r="C1310" s="8" t="d">
        <x:v>2025-11-19T00:00:00.000Z</x:v>
      </x:c>
      <x:c r="D1310" s="2" t="str">
        <x:v>Lagos</x:v>
      </x:c>
      <x:c r="E1310" s="2" t="str">
        <x:v>Electronics</x:v>
      </x:c>
      <x:c r="F1310" s="2" t="str">
        <x:v>Headphones</x:v>
      </x:c>
      <x:c r="G1310" s="2" t="str">
        <x:v>Online</x:v>
      </x:c>
      <x:c r="H1310" s="7" t="n">
        <x:v>2</x:v>
      </x:c>
      <x:c r="I1310" s="9" t="n">
        <x:v>18000</x:v>
      </x:c>
      <x:c r="J1310" s="9" t="n">
        <x:v>10500</x:v>
      </x:c>
      <x:c r="K1310" s="10" t="n">
        <x:v>0.1</x:v>
      </x:c>
      <x:c r="L1310" s="2" t="str">
        <x:v>Returned</x:v>
      </x:c>
      <x:c r="M1310" s="12" t="n">
        <x:f>H1310*I1310</x:f>
        <x:v>36000</x:v>
      </x:c>
      <x:c r="N1310" s="12" t="n">
        <x:f>IF(L1310="Completed",ROUND(M1310*(1-K1310),2),0)</x:f>
        <x:v>0</x:v>
      </x:c>
      <x:c r="O1310" s="12" t="n">
        <x:f>IF(L1310="Completed",H1310*J1310,0)</x:f>
        <x:v>0</x:v>
      </x:c>
      <x:c r="P1310" s="12" t="n">
        <x:f>N1310-O1310</x:f>
        <x:v>0</x:v>
      </x:c>
    </x:row>
    <x:row r="1311" ht="21" customHeight="1">
      <x:c r="A1311" s="7" t="n">
        <x:v>1306</x:v>
      </x:c>
      <x:c r="B1311" s="2" t="str">
        <x:v>TXN-01306</x:v>
      </x:c>
      <x:c r="C1311" s="8" t="d">
        <x:v>2025-11-26T00:00:00.000Z</x:v>
      </x:c>
      <x:c r="D1311" s="2" t="str">
        <x:v>Lagos</x:v>
      </x:c>
      <x:c r="E1311" s="2" t="str">
        <x:v>Beauty</x:v>
      </x:c>
      <x:c r="F1311" s="2" t="str">
        <x:v>Perfume</x:v>
      </x:c>
      <x:c r="G1311" s="2" t="str">
        <x:v>In-store</x:v>
      </x:c>
      <x:c r="H1311" s="7" t="n">
        <x:v>2</x:v>
      </x:c>
      <x:c r="I1311" s="9" t="n">
        <x:v>17000</x:v>
      </x:c>
      <x:c r="J1311" s="9" t="n">
        <x:v>9000</x:v>
      </x:c>
      <x:c r="K1311" s="10" t="n">
        <x:v>0</x:v>
      </x:c>
      <x:c r="L1311" s="2" t="str">
        <x:v>Completed</x:v>
      </x:c>
      <x:c r="M1311" s="12" t="n">
        <x:f>H1311*I1311</x:f>
        <x:v>34000</x:v>
      </x:c>
      <x:c r="N1311" s="12" t="n">
        <x:f>IF(L1311="Completed",ROUND(M1311*(1-K1311),2),0)</x:f>
        <x:v>34000</x:v>
      </x:c>
      <x:c r="O1311" s="12" t="n">
        <x:f>IF(L1311="Completed",H1311*J1311,0)</x:f>
        <x:v>18000</x:v>
      </x:c>
      <x:c r="P1311" s="12" t="n">
        <x:f>N1311-O1311</x:f>
        <x:v>16000</x:v>
      </x:c>
    </x:row>
    <x:row r="1312" ht="21" customHeight="1">
      <x:c r="A1312" s="7" t="n">
        <x:v>1307</x:v>
      </x:c>
      <x:c r="B1312" s="2" t="str">
        <x:v>TXN-01307</x:v>
      </x:c>
      <x:c r="C1312" s="8" t="d">
        <x:v>2025-11-29T00:00:00.000Z</x:v>
      </x:c>
      <x:c r="D1312" s="2" t="str">
        <x:v>Lagos</x:v>
      </x:c>
      <x:c r="E1312" s="2" t="str">
        <x:v>Beauty</x:v>
      </x:c>
      <x:c r="F1312" s="2" t="str">
        <x:v>Moisturizer</x:v>
      </x:c>
      <x:c r="G1312" s="2" t="str">
        <x:v>Online</x:v>
      </x:c>
      <x:c r="H1312" s="7" t="n">
        <x:v>1</x:v>
      </x:c>
      <x:c r="I1312" s="9" t="n">
        <x:v>6500</x:v>
      </x:c>
      <x:c r="J1312" s="9" t="n">
        <x:v>3500</x:v>
      </x:c>
      <x:c r="K1312" s="10" t="n">
        <x:v>0</x:v>
      </x:c>
      <x:c r="L1312" s="2" t="str">
        <x:v>Completed</x:v>
      </x:c>
      <x:c r="M1312" s="12" t="n">
        <x:f>H1312*I1312</x:f>
        <x:v>6500</x:v>
      </x:c>
      <x:c r="N1312" s="12" t="n">
        <x:f>IF(L1312="Completed",ROUND(M1312*(1-K1312),2),0)</x:f>
        <x:v>6500</x:v>
      </x:c>
      <x:c r="O1312" s="12" t="n">
        <x:f>IF(L1312="Completed",H1312*J1312,0)</x:f>
        <x:v>3500</x:v>
      </x:c>
      <x:c r="P1312" s="12" t="n">
        <x:f>N1312-O1312</x:f>
        <x:v>3000</x:v>
      </x:c>
    </x:row>
    <x:row r="1313" ht="21" customHeight="1">
      <x:c r="A1313" s="7" t="n">
        <x:v>1308</x:v>
      </x:c>
      <x:c r="B1313" s="2" t="str">
        <x:v>TXN-01308</x:v>
      </x:c>
      <x:c r="C1313" s="8" t="d">
        <x:v>2025-11-04T00:00:00.000Z</x:v>
      </x:c>
      <x:c r="D1313" s="2" t="str">
        <x:v>Lagos</x:v>
      </x:c>
      <x:c r="E1313" s="2" t="str">
        <x:v>Beauty</x:v>
      </x:c>
      <x:c r="F1313" s="2" t="str">
        <x:v>Perfume</x:v>
      </x:c>
      <x:c r="G1313" s="2" t="str">
        <x:v>In-store</x:v>
      </x:c>
      <x:c r="H1313" s="7" t="n">
        <x:v>2</x:v>
      </x:c>
      <x:c r="I1313" s="9" t="n">
        <x:v>17000</x:v>
      </x:c>
      <x:c r="J1313" s="9" t="n">
        <x:v>9000</x:v>
      </x:c>
      <x:c r="K1313" s="10" t="n">
        <x:v>0.1</x:v>
      </x:c>
      <x:c r="L1313" s="2" t="str">
        <x:v>Completed</x:v>
      </x:c>
      <x:c r="M1313" s="12" t="n">
        <x:f>H1313*I1313</x:f>
        <x:v>34000</x:v>
      </x:c>
      <x:c r="N1313" s="12" t="n">
        <x:f>IF(L1313="Completed",ROUND(M1313*(1-K1313),2),0)</x:f>
        <x:v>30600</x:v>
      </x:c>
      <x:c r="O1313" s="12" t="n">
        <x:f>IF(L1313="Completed",H1313*J1313,0)</x:f>
        <x:v>18000</x:v>
      </x:c>
      <x:c r="P1313" s="12" t="n">
        <x:f>N1313-O1313</x:f>
        <x:v>12600</x:v>
      </x:c>
    </x:row>
    <x:row r="1314" ht="21" customHeight="1">
      <x:c r="A1314" s="7" t="n">
        <x:v>1309</x:v>
      </x:c>
      <x:c r="B1314" s="2" t="str">
        <x:v>TXN-01309</x:v>
      </x:c>
      <x:c r="C1314" s="8" t="d">
        <x:v>2025-11-22T00:00:00.000Z</x:v>
      </x:c>
      <x:c r="D1314" s="2" t="str">
        <x:v>Lagos</x:v>
      </x:c>
      <x:c r="E1314" s="2" t="str">
        <x:v>Home</x:v>
      </x:c>
      <x:c r="F1314" s="2" t="str">
        <x:v>Bedsheet</x:v>
      </x:c>
      <x:c r="G1314" s="2" t="str">
        <x:v>Online</x:v>
      </x:c>
      <x:c r="H1314" s="7" t="n">
        <x:v>4</x:v>
      </x:c>
      <x:c r="I1314" s="9" t="n">
        <x:v>14000</x:v>
      </x:c>
      <x:c r="J1314" s="9" t="n">
        <x:v>8500</x:v>
      </x:c>
      <x:c r="K1314" s="10" t="n">
        <x:v>0</x:v>
      </x:c>
      <x:c r="L1314" s="2" t="str">
        <x:v>Completed</x:v>
      </x:c>
      <x:c r="M1314" s="12" t="n">
        <x:f>H1314*I1314</x:f>
        <x:v>56000</x:v>
      </x:c>
      <x:c r="N1314" s="12" t="n">
        <x:f>IF(L1314="Completed",ROUND(M1314*(1-K1314),2),0)</x:f>
        <x:v>56000</x:v>
      </x:c>
      <x:c r="O1314" s="12" t="n">
        <x:f>IF(L1314="Completed",H1314*J1314,0)</x:f>
        <x:v>34000</x:v>
      </x:c>
      <x:c r="P1314" s="12" t="n">
        <x:f>N1314-O1314</x:f>
        <x:v>22000</x:v>
      </x:c>
    </x:row>
    <x:row r="1315" ht="21" customHeight="1">
      <x:c r="A1315" s="7" t="n">
        <x:v>1310</x:v>
      </x:c>
      <x:c r="B1315" s="2" t="str">
        <x:v>TXN-01310</x:v>
      </x:c>
      <x:c r="C1315" s="8" t="d">
        <x:v>2025-11-21T00:00:00.000Z</x:v>
      </x:c>
      <x:c r="D1315" s="2" t="str">
        <x:v>Abuja</x:v>
      </x:c>
      <x:c r="E1315" s="2" t="str">
        <x:v>Fashion</x:v>
      </x:c>
      <x:c r="F1315" s="2" t="str">
        <x:v>T-shirt</x:v>
      </x:c>
      <x:c r="G1315" s="2" t="str">
        <x:v>Online</x:v>
      </x:c>
      <x:c r="H1315" s="7" t="n">
        <x:v>3</x:v>
      </x:c>
      <x:c r="I1315" s="9" t="n">
        <x:v>9000</x:v>
      </x:c>
      <x:c r="J1315" s="9" t="n">
        <x:v>5000</x:v>
      </x:c>
      <x:c r="K1315" s="10" t="n">
        <x:v>0</x:v>
      </x:c>
      <x:c r="L1315" s="2" t="str">
        <x:v>Completed</x:v>
      </x:c>
      <x:c r="M1315" s="12" t="n">
        <x:f>H1315*I1315</x:f>
        <x:v>27000</x:v>
      </x:c>
      <x:c r="N1315" s="12" t="n">
        <x:f>IF(L1315="Completed",ROUND(M1315*(1-K1315),2),0)</x:f>
        <x:v>27000</x:v>
      </x:c>
      <x:c r="O1315" s="12" t="n">
        <x:f>IF(L1315="Completed",H1315*J1315,0)</x:f>
        <x:v>15000</x:v>
      </x:c>
      <x:c r="P1315" s="12" t="n">
        <x:f>N1315-O1315</x:f>
        <x:v>12000</x:v>
      </x:c>
    </x:row>
    <x:row r="1316" ht="21" customHeight="1">
      <x:c r="A1316" s="7" t="n">
        <x:v>1311</x:v>
      </x:c>
      <x:c r="B1316" s="2" t="str">
        <x:v>TXN-01311</x:v>
      </x:c>
      <x:c r="C1316" s="8" t="d">
        <x:v>2025-11-26T00:00:00.000Z</x:v>
      </x:c>
      <x:c r="D1316" s="2" t="str">
        <x:v>Abuja</x:v>
      </x:c>
      <x:c r="E1316" s="2" t="str">
        <x:v>Fashion</x:v>
      </x:c>
      <x:c r="F1316" s="2" t="str">
        <x:v>Handbag</x:v>
      </x:c>
      <x:c r="G1316" s="2" t="str">
        <x:v>Online</x:v>
      </x:c>
      <x:c r="H1316" s="7" t="n">
        <x:v>1</x:v>
      </x:c>
      <x:c r="I1316" s="9" t="n">
        <x:v>22000</x:v>
      </x:c>
      <x:c r="J1316" s="9" t="n">
        <x:v>13500</x:v>
      </x:c>
      <x:c r="K1316" s="10" t="n">
        <x:v>0</x:v>
      </x:c>
      <x:c r="L1316" s="2" t="str">
        <x:v>Returned</x:v>
      </x:c>
      <x:c r="M1316" s="12" t="n">
        <x:f>H1316*I1316</x:f>
        <x:v>22000</x:v>
      </x:c>
      <x:c r="N1316" s="12" t="n">
        <x:f>IF(L1316="Completed",ROUND(M1316*(1-K1316),2),0)</x:f>
        <x:v>0</x:v>
      </x:c>
      <x:c r="O1316" s="12" t="n">
        <x:f>IF(L1316="Completed",H1316*J1316,0)</x:f>
        <x:v>0</x:v>
      </x:c>
      <x:c r="P1316" s="12" t="n">
        <x:f>N1316-O1316</x:f>
        <x:v>0</x:v>
      </x:c>
    </x:row>
    <x:row r="1317" ht="21" customHeight="1">
      <x:c r="A1317" s="7" t="n">
        <x:v>1312</x:v>
      </x:c>
      <x:c r="B1317" s="2" t="str">
        <x:v>TXN-01312</x:v>
      </x:c>
      <x:c r="C1317" s="8" t="d">
        <x:v>2025-11-04T00:00:00.000Z</x:v>
      </x:c>
      <x:c r="D1317" s="2" t="str">
        <x:v>Lagos</x:v>
      </x:c>
      <x:c r="E1317" s="2" t="str">
        <x:v>Beauty</x:v>
      </x:c>
      <x:c r="F1317" s="2" t="str">
        <x:v>Perfume</x:v>
      </x:c>
      <x:c r="G1317" s="2" t="str">
        <x:v>In-store</x:v>
      </x:c>
      <x:c r="H1317" s="7" t="n">
        <x:v>1</x:v>
      </x:c>
      <x:c r="I1317" s="9" t="n">
        <x:v>17000</x:v>
      </x:c>
      <x:c r="J1317" s="9" t="n">
        <x:v>9000</x:v>
      </x:c>
      <x:c r="K1317" s="10" t="n">
        <x:v>0.05</x:v>
      </x:c>
      <x:c r="L1317" s="2" t="str">
        <x:v>Returned</x:v>
      </x:c>
      <x:c r="M1317" s="12" t="n">
        <x:f>H1317*I1317</x:f>
        <x:v>17000</x:v>
      </x:c>
      <x:c r="N1317" s="12" t="n">
        <x:f>IF(L1317="Completed",ROUND(M1317*(1-K1317),2),0)</x:f>
        <x:v>0</x:v>
      </x:c>
      <x:c r="O1317" s="12" t="n">
        <x:f>IF(L1317="Completed",H1317*J1317,0)</x:f>
        <x:v>0</x:v>
      </x:c>
      <x:c r="P1317" s="12" t="n">
        <x:f>N1317-O1317</x:f>
        <x:v>0</x:v>
      </x:c>
    </x:row>
    <x:row r="1318" ht="21" customHeight="1">
      <x:c r="A1318" s="7" t="n">
        <x:v>1313</x:v>
      </x:c>
      <x:c r="B1318" s="2" t="str">
        <x:v>TXN-01313</x:v>
      </x:c>
      <x:c r="C1318" s="8" t="d">
        <x:v>2025-11-15T00:00:00.000Z</x:v>
      </x:c>
      <x:c r="D1318" s="2" t="str">
        <x:v>Kano</x:v>
      </x:c>
      <x:c r="E1318" s="2" t="str">
        <x:v>Electronics</x:v>
      </x:c>
      <x:c r="F1318" s="2" t="str">
        <x:v>Power bank</x:v>
      </x:c>
      <x:c r="G1318" s="2" t="str">
        <x:v>Online</x:v>
      </x:c>
      <x:c r="H1318" s="7" t="n">
        <x:v>1</x:v>
      </x:c>
      <x:c r="I1318" s="9" t="n">
        <x:v>15000</x:v>
      </x:c>
      <x:c r="J1318" s="9" t="n">
        <x:v>9500</x:v>
      </x:c>
      <x:c r="K1318" s="10" t="n">
        <x:v>0</x:v>
      </x:c>
      <x:c r="L1318" s="2" t="str">
        <x:v>Completed</x:v>
      </x:c>
      <x:c r="M1318" s="12" t="n">
        <x:f>H1318*I1318</x:f>
        <x:v>15000</x:v>
      </x:c>
      <x:c r="N1318" s="12" t="n">
        <x:f>IF(L1318="Completed",ROUND(M1318*(1-K1318),2),0)</x:f>
        <x:v>15000</x:v>
      </x:c>
      <x:c r="O1318" s="12" t="n">
        <x:f>IF(L1318="Completed",H1318*J1318,0)</x:f>
        <x:v>9500</x:v>
      </x:c>
      <x:c r="P1318" s="12" t="n">
        <x:f>N1318-O1318</x:f>
        <x:v>5500</x:v>
      </x:c>
    </x:row>
    <x:row r="1319" ht="21" customHeight="1">
      <x:c r="A1319" s="7" t="n">
        <x:v>1314</x:v>
      </x:c>
      <x:c r="B1319" s="2" t="str">
        <x:v>TXN-01314</x:v>
      </x:c>
      <x:c r="C1319" s="8" t="d">
        <x:v>2025-11-15T00:00:00.000Z</x:v>
      </x:c>
      <x:c r="D1319" s="2" t="str">
        <x:v>Abuja</x:v>
      </x:c>
      <x:c r="E1319" s="2" t="str">
        <x:v>Home</x:v>
      </x:c>
      <x:c r="F1319" s="2" t="str">
        <x:v>Bedsheet</x:v>
      </x:c>
      <x:c r="G1319" s="2" t="str">
        <x:v>Online</x:v>
      </x:c>
      <x:c r="H1319" s="7" t="n">
        <x:v>1</x:v>
      </x:c>
      <x:c r="I1319" s="9" t="n">
        <x:v>14000</x:v>
      </x:c>
      <x:c r="J1319" s="9" t="n">
        <x:v>8500</x:v>
      </x:c>
      <x:c r="K1319" s="10" t="n">
        <x:v>0.1</x:v>
      </x:c>
      <x:c r="L1319" s="2" t="str">
        <x:v>Completed</x:v>
      </x:c>
      <x:c r="M1319" s="12" t="n">
        <x:f>H1319*I1319</x:f>
        <x:v>14000</x:v>
      </x:c>
      <x:c r="N1319" s="12" t="n">
        <x:f>IF(L1319="Completed",ROUND(M1319*(1-K1319),2),0)</x:f>
        <x:v>12600</x:v>
      </x:c>
      <x:c r="O1319" s="12" t="n">
        <x:f>IF(L1319="Completed",H1319*J1319,0)</x:f>
        <x:v>8500</x:v>
      </x:c>
      <x:c r="P1319" s="12" t="n">
        <x:f>N1319-O1319</x:f>
        <x:v>4100</x:v>
      </x:c>
    </x:row>
    <x:row r="1320" ht="21" customHeight="1">
      <x:c r="A1320" s="7" t="n">
        <x:v>1315</x:v>
      </x:c>
      <x:c r="B1320" s="2" t="str">
        <x:v>TXN-01315</x:v>
      </x:c>
      <x:c r="C1320" s="8" t="d">
        <x:v>2025-11-09T00:00:00.000Z</x:v>
      </x:c>
      <x:c r="D1320" s="2" t="str">
        <x:v>Abuja</x:v>
      </x:c>
      <x:c r="E1320" s="2" t="str">
        <x:v>Electronics</x:v>
      </x:c>
      <x:c r="F1320" s="2" t="str">
        <x:v>Power bank</x:v>
      </x:c>
      <x:c r="G1320" s="2" t="str">
        <x:v>Online</x:v>
      </x:c>
      <x:c r="H1320" s="7" t="n">
        <x:v>1</x:v>
      </x:c>
      <x:c r="I1320" s="9" t="n">
        <x:v>15000</x:v>
      </x:c>
      <x:c r="J1320" s="9" t="n">
        <x:v>9500</x:v>
      </x:c>
      <x:c r="K1320" s="10" t="n">
        <x:v>0.1</x:v>
      </x:c>
      <x:c r="L1320" s="2" t="str">
        <x:v>Completed</x:v>
      </x:c>
      <x:c r="M1320" s="12" t="n">
        <x:f>H1320*I1320</x:f>
        <x:v>15000</x:v>
      </x:c>
      <x:c r="N1320" s="12" t="n">
        <x:f>IF(L1320="Completed",ROUND(M1320*(1-K1320),2),0)</x:f>
        <x:v>13500</x:v>
      </x:c>
      <x:c r="O1320" s="12" t="n">
        <x:f>IF(L1320="Completed",H1320*J1320,0)</x:f>
        <x:v>9500</x:v>
      </x:c>
      <x:c r="P1320" s="12" t="n">
        <x:f>N1320-O1320</x:f>
        <x:v>4000</x:v>
      </x:c>
    </x:row>
    <x:row r="1321" ht="21" customHeight="1">
      <x:c r="A1321" s="7" t="n">
        <x:v>1316</x:v>
      </x:c>
      <x:c r="B1321" s="2" t="str">
        <x:v>TXN-01316</x:v>
      </x:c>
      <x:c r="C1321" s="8" t="d">
        <x:v>2025-11-09T00:00:00.000Z</x:v>
      </x:c>
      <x:c r="D1321" s="2" t="str">
        <x:v>Port Harcourt</x:v>
      </x:c>
      <x:c r="E1321" s="2" t="str">
        <x:v>Electronics</x:v>
      </x:c>
      <x:c r="F1321" s="2" t="str">
        <x:v>Headphones</x:v>
      </x:c>
      <x:c r="G1321" s="2" t="str">
        <x:v>Online</x:v>
      </x:c>
      <x:c r="H1321" s="7" t="n">
        <x:v>2</x:v>
      </x:c>
      <x:c r="I1321" s="9" t="n">
        <x:v>18000</x:v>
      </x:c>
      <x:c r="J1321" s="9" t="n">
        <x:v>10500</x:v>
      </x:c>
      <x:c r="K1321" s="10" t="n">
        <x:v>0</x:v>
      </x:c>
      <x:c r="L1321" s="2" t="str">
        <x:v>Completed</x:v>
      </x:c>
      <x:c r="M1321" s="12" t="n">
        <x:f>H1321*I1321</x:f>
        <x:v>36000</x:v>
      </x:c>
      <x:c r="N1321" s="12" t="n">
        <x:f>IF(L1321="Completed",ROUND(M1321*(1-K1321),2),0)</x:f>
        <x:v>36000</x:v>
      </x:c>
      <x:c r="O1321" s="12" t="n">
        <x:f>IF(L1321="Completed",H1321*J1321,0)</x:f>
        <x:v>21000</x:v>
      </x:c>
      <x:c r="P1321" s="12" t="n">
        <x:f>N1321-O1321</x:f>
        <x:v>15000</x:v>
      </x:c>
    </x:row>
    <x:row r="1322" ht="21" customHeight="1">
      <x:c r="A1322" s="7" t="n">
        <x:v>1317</x:v>
      </x:c>
      <x:c r="B1322" s="2" t="str">
        <x:v>TXN-01317</x:v>
      </x:c>
      <x:c r="C1322" s="8" t="d">
        <x:v>2025-11-03T00:00:00.000Z</x:v>
      </x:c>
      <x:c r="D1322" s="2" t="str">
        <x:v>Abuja</x:v>
      </x:c>
      <x:c r="E1322" s="2" t="str">
        <x:v>Home</x:v>
      </x:c>
      <x:c r="F1322" s="2" t="str">
        <x:v>Desk lamp</x:v>
      </x:c>
      <x:c r="G1322" s="2" t="str">
        <x:v>In-store</x:v>
      </x:c>
      <x:c r="H1322" s="7" t="n">
        <x:v>2</x:v>
      </x:c>
      <x:c r="I1322" s="9" t="n">
        <x:v>12000</x:v>
      </x:c>
      <x:c r="J1322" s="9" t="n">
        <x:v>7200</x:v>
      </x:c>
      <x:c r="K1322" s="10" t="n">
        <x:v>0.1</x:v>
      </x:c>
      <x:c r="L1322" s="2" t="str">
        <x:v>Completed</x:v>
      </x:c>
      <x:c r="M1322" s="12" t="n">
        <x:f>H1322*I1322</x:f>
        <x:v>24000</x:v>
      </x:c>
      <x:c r="N1322" s="12" t="n">
        <x:f>IF(L1322="Completed",ROUND(M1322*(1-K1322),2),0)</x:f>
        <x:v>21600</x:v>
      </x:c>
      <x:c r="O1322" s="12" t="n">
        <x:f>IF(L1322="Completed",H1322*J1322,0)</x:f>
        <x:v>14400</x:v>
      </x:c>
      <x:c r="P1322" s="12" t="n">
        <x:f>N1322-O1322</x:f>
        <x:v>7200</x:v>
      </x:c>
    </x:row>
    <x:row r="1323" ht="21" customHeight="1">
      <x:c r="A1323" s="7" t="n">
        <x:v>1318</x:v>
      </x:c>
      <x:c r="B1323" s="2" t="str">
        <x:v>TXN-01318</x:v>
      </x:c>
      <x:c r="C1323" s="8" t="d">
        <x:v>2025-11-15T00:00:00.000Z</x:v>
      </x:c>
      <x:c r="D1323" s="2" t="str">
        <x:v>Kano</x:v>
      </x:c>
      <x:c r="E1323" s="2" t="str">
        <x:v>Fashion</x:v>
      </x:c>
      <x:c r="F1323" s="2" t="str">
        <x:v>Sneakers</x:v>
      </x:c>
      <x:c r="G1323" s="2" t="str">
        <x:v>Online</x:v>
      </x:c>
      <x:c r="H1323" s="7" t="n">
        <x:v>1</x:v>
      </x:c>
      <x:c r="I1323" s="9" t="n">
        <x:v>28000</x:v>
      </x:c>
      <x:c r="J1323" s="9" t="n">
        <x:v>17500</x:v>
      </x:c>
      <x:c r="K1323" s="10" t="n">
        <x:v>0.1</x:v>
      </x:c>
      <x:c r="L1323" s="2" t="str">
        <x:v>Completed</x:v>
      </x:c>
      <x:c r="M1323" s="12" t="n">
        <x:f>H1323*I1323</x:f>
        <x:v>28000</x:v>
      </x:c>
      <x:c r="N1323" s="12" t="n">
        <x:f>IF(L1323="Completed",ROUND(M1323*(1-K1323),2),0)</x:f>
        <x:v>25200</x:v>
      </x:c>
      <x:c r="O1323" s="12" t="n">
        <x:f>IF(L1323="Completed",H1323*J1323,0)</x:f>
        <x:v>17500</x:v>
      </x:c>
      <x:c r="P1323" s="12" t="n">
        <x:f>N1323-O1323</x:f>
        <x:v>7700</x:v>
      </x:c>
    </x:row>
    <x:row r="1324" ht="21" customHeight="1">
      <x:c r="A1324" s="7" t="n">
        <x:v>1319</x:v>
      </x:c>
      <x:c r="B1324" s="2" t="str">
        <x:v>TXN-01319</x:v>
      </x:c>
      <x:c r="C1324" s="8" t="d">
        <x:v>2025-11-21T00:00:00.000Z</x:v>
      </x:c>
      <x:c r="D1324" s="2" t="str">
        <x:v>Abuja</x:v>
      </x:c>
      <x:c r="E1324" s="2" t="str">
        <x:v>Electronics</x:v>
      </x:c>
      <x:c r="F1324" s="2" t="str">
        <x:v>Power bank</x:v>
      </x:c>
      <x:c r="G1324" s="2" t="str">
        <x:v>Online</x:v>
      </x:c>
      <x:c r="H1324" s="7" t="n">
        <x:v>2</x:v>
      </x:c>
      <x:c r="I1324" s="9" t="n">
        <x:v>15000</x:v>
      </x:c>
      <x:c r="J1324" s="9" t="n">
        <x:v>9500</x:v>
      </x:c>
      <x:c r="K1324" s="10" t="n">
        <x:v>0</x:v>
      </x:c>
      <x:c r="L1324" s="2" t="str">
        <x:v>Completed</x:v>
      </x:c>
      <x:c r="M1324" s="12" t="n">
        <x:f>H1324*I1324</x:f>
        <x:v>30000</x:v>
      </x:c>
      <x:c r="N1324" s="12" t="n">
        <x:f>IF(L1324="Completed",ROUND(M1324*(1-K1324),2),0)</x:f>
        <x:v>30000</x:v>
      </x:c>
      <x:c r="O1324" s="12" t="n">
        <x:f>IF(L1324="Completed",H1324*J1324,0)</x:f>
        <x:v>19000</x:v>
      </x:c>
      <x:c r="P1324" s="12" t="n">
        <x:f>N1324-O1324</x:f>
        <x:v>11000</x:v>
      </x:c>
    </x:row>
    <x:row r="1325" ht="21" customHeight="1">
      <x:c r="A1325" s="7" t="n">
        <x:v>1320</x:v>
      </x:c>
      <x:c r="B1325" s="2" t="str">
        <x:v>TXN-01320</x:v>
      </x:c>
      <x:c r="C1325" s="8" t="d">
        <x:v>2025-11-30T00:00:00.000Z</x:v>
      </x:c>
      <x:c r="D1325" s="2" t="str">
        <x:v>Port Harcourt</x:v>
      </x:c>
      <x:c r="E1325" s="2" t="str">
        <x:v>Fashion</x:v>
      </x:c>
      <x:c r="F1325" s="2" t="str">
        <x:v>T-shirt</x:v>
      </x:c>
      <x:c r="G1325" s="2" t="str">
        <x:v>Online</x:v>
      </x:c>
      <x:c r="H1325" s="7" t="n">
        <x:v>1</x:v>
      </x:c>
      <x:c r="I1325" s="9" t="n">
        <x:v>9000</x:v>
      </x:c>
      <x:c r="J1325" s="9" t="n">
        <x:v>5000</x:v>
      </x:c>
      <x:c r="K1325" s="10" t="n">
        <x:v>0</x:v>
      </x:c>
      <x:c r="L1325" s="2" t="str">
        <x:v>Completed</x:v>
      </x:c>
      <x:c r="M1325" s="12" t="n">
        <x:f>H1325*I1325</x:f>
        <x:v>9000</x:v>
      </x:c>
      <x:c r="N1325" s="12" t="n">
        <x:f>IF(L1325="Completed",ROUND(M1325*(1-K1325),2),0)</x:f>
        <x:v>9000</x:v>
      </x:c>
      <x:c r="O1325" s="12" t="n">
        <x:f>IF(L1325="Completed",H1325*J1325,0)</x:f>
        <x:v>5000</x:v>
      </x:c>
      <x:c r="P1325" s="12" t="n">
        <x:f>N1325-O1325</x:f>
        <x:v>4000</x:v>
      </x:c>
    </x:row>
    <x:row r="1326" ht="21" customHeight="1">
      <x:c r="A1326" s="7" t="n">
        <x:v>1321</x:v>
      </x:c>
      <x:c r="B1326" s="2" t="str">
        <x:v>TXN-01321</x:v>
      </x:c>
      <x:c r="C1326" s="8" t="d">
        <x:v>2025-11-09T00:00:00.000Z</x:v>
      </x:c>
      <x:c r="D1326" s="2" t="str">
        <x:v>Kano</x:v>
      </x:c>
      <x:c r="E1326" s="2" t="str">
        <x:v>Electronics</x:v>
      </x:c>
      <x:c r="F1326" s="2" t="str">
        <x:v>Power bank</x:v>
      </x:c>
      <x:c r="G1326" s="2" t="str">
        <x:v>Online</x:v>
      </x:c>
      <x:c r="H1326" s="7" t="n">
        <x:v>2</x:v>
      </x:c>
      <x:c r="I1326" s="9" t="n">
        <x:v>15000</x:v>
      </x:c>
      <x:c r="J1326" s="9" t="n">
        <x:v>9500</x:v>
      </x:c>
      <x:c r="K1326" s="10" t="n">
        <x:v>0</x:v>
      </x:c>
      <x:c r="L1326" s="2" t="str">
        <x:v>Completed</x:v>
      </x:c>
      <x:c r="M1326" s="12" t="n">
        <x:f>H1326*I1326</x:f>
        <x:v>30000</x:v>
      </x:c>
      <x:c r="N1326" s="12" t="n">
        <x:f>IF(L1326="Completed",ROUND(M1326*(1-K1326),2),0)</x:f>
        <x:v>30000</x:v>
      </x:c>
      <x:c r="O1326" s="12" t="n">
        <x:f>IF(L1326="Completed",H1326*J1326,0)</x:f>
        <x:v>19000</x:v>
      </x:c>
      <x:c r="P1326" s="12" t="n">
        <x:f>N1326-O1326</x:f>
        <x:v>11000</x:v>
      </x:c>
    </x:row>
    <x:row r="1327" ht="21" customHeight="1">
      <x:c r="A1327" s="7" t="n">
        <x:v>1322</x:v>
      </x:c>
      <x:c r="B1327" s="2" t="str">
        <x:v>TXN-01322</x:v>
      </x:c>
      <x:c r="C1327" s="8" t="d">
        <x:v>2025-11-02T00:00:00.000Z</x:v>
      </x:c>
      <x:c r="D1327" s="2" t="str">
        <x:v>Port Harcourt</x:v>
      </x:c>
      <x:c r="E1327" s="2" t="str">
        <x:v>Beauty</x:v>
      </x:c>
      <x:c r="F1327" s="2" t="str">
        <x:v>Perfume</x:v>
      </x:c>
      <x:c r="G1327" s="2" t="str">
        <x:v>Online</x:v>
      </x:c>
      <x:c r="H1327" s="7" t="n">
        <x:v>4</x:v>
      </x:c>
      <x:c r="I1327" s="9" t="n">
        <x:v>17000</x:v>
      </x:c>
      <x:c r="J1327" s="9" t="n">
        <x:v>9000</x:v>
      </x:c>
      <x:c r="K1327" s="10" t="n">
        <x:v>0.05</x:v>
      </x:c>
      <x:c r="L1327" s="2" t="str">
        <x:v>Completed</x:v>
      </x:c>
      <x:c r="M1327" s="12" t="n">
        <x:f>H1327*I1327</x:f>
        <x:v>68000</x:v>
      </x:c>
      <x:c r="N1327" s="12" t="n">
        <x:f>IF(L1327="Completed",ROUND(M1327*(1-K1327),2),0)</x:f>
        <x:v>64600</x:v>
      </x:c>
      <x:c r="O1327" s="12" t="n">
        <x:f>IF(L1327="Completed",H1327*J1327,0)</x:f>
        <x:v>36000</x:v>
      </x:c>
      <x:c r="P1327" s="12" t="n">
        <x:f>N1327-O1327</x:f>
        <x:v>28600</x:v>
      </x:c>
    </x:row>
    <x:row r="1328" ht="21" customHeight="1">
      <x:c r="A1328" s="7" t="n">
        <x:v>1323</x:v>
      </x:c>
      <x:c r="B1328" s="2" t="str">
        <x:v>TXN-01323</x:v>
      </x:c>
      <x:c r="C1328" s="8" t="d">
        <x:v>2025-11-18T00:00:00.000Z</x:v>
      </x:c>
      <x:c r="D1328" s="2" t="str">
        <x:v>Abuja</x:v>
      </x:c>
      <x:c r="E1328" s="2" t="str">
        <x:v>Fashion</x:v>
      </x:c>
      <x:c r="F1328" s="2" t="str">
        <x:v>T-shirt</x:v>
      </x:c>
      <x:c r="G1328" s="2" t="str">
        <x:v>In-store</x:v>
      </x:c>
      <x:c r="H1328" s="7" t="n">
        <x:v>3</x:v>
      </x:c>
      <x:c r="I1328" s="9" t="n">
        <x:v>9000</x:v>
      </x:c>
      <x:c r="J1328" s="9" t="n">
        <x:v>5000</x:v>
      </x:c>
      <x:c r="K1328" s="10" t="n">
        <x:v>0.1</x:v>
      </x:c>
      <x:c r="L1328" s="2" t="str">
        <x:v>Returned</x:v>
      </x:c>
      <x:c r="M1328" s="12" t="n">
        <x:f>H1328*I1328</x:f>
        <x:v>27000</x:v>
      </x:c>
      <x:c r="N1328" s="12" t="n">
        <x:f>IF(L1328="Completed",ROUND(M1328*(1-K1328),2),0)</x:f>
        <x:v>0</x:v>
      </x:c>
      <x:c r="O1328" s="12" t="n">
        <x:f>IF(L1328="Completed",H1328*J1328,0)</x:f>
        <x:v>0</x:v>
      </x:c>
      <x:c r="P1328" s="12" t="n">
        <x:f>N1328-O1328</x:f>
        <x:v>0</x:v>
      </x:c>
    </x:row>
    <x:row r="1329" ht="21" customHeight="1">
      <x:c r="A1329" s="7" t="n">
        <x:v>1324</x:v>
      </x:c>
      <x:c r="B1329" s="2" t="str">
        <x:v>TXN-01324</x:v>
      </x:c>
      <x:c r="C1329" s="8" t="d">
        <x:v>2025-11-15T00:00:00.000Z</x:v>
      </x:c>
      <x:c r="D1329" s="2" t="str">
        <x:v>Port Harcourt</x:v>
      </x:c>
      <x:c r="E1329" s="2" t="str">
        <x:v>Electronics</x:v>
      </x:c>
      <x:c r="F1329" s="2" t="str">
        <x:v>Bluetooth speaker</x:v>
      </x:c>
      <x:c r="G1329" s="2" t="str">
        <x:v>Online</x:v>
      </x:c>
      <x:c r="H1329" s="7" t="n">
        <x:v>1</x:v>
      </x:c>
      <x:c r="I1329" s="9" t="n">
        <x:v>26000</x:v>
      </x:c>
      <x:c r="J1329" s="9" t="n">
        <x:v>17000</x:v>
      </x:c>
      <x:c r="K1329" s="10" t="n">
        <x:v>0</x:v>
      </x:c>
      <x:c r="L1329" s="2" t="str">
        <x:v>Completed</x:v>
      </x:c>
      <x:c r="M1329" s="12" t="n">
        <x:f>H1329*I1329</x:f>
        <x:v>26000</x:v>
      </x:c>
      <x:c r="N1329" s="12" t="n">
        <x:f>IF(L1329="Completed",ROUND(M1329*(1-K1329),2),0)</x:f>
        <x:v>26000</x:v>
      </x:c>
      <x:c r="O1329" s="12" t="n">
        <x:f>IF(L1329="Completed",H1329*J1329,0)</x:f>
        <x:v>17000</x:v>
      </x:c>
      <x:c r="P1329" s="12" t="n">
        <x:f>N1329-O1329</x:f>
        <x:v>9000</x:v>
      </x:c>
    </x:row>
    <x:row r="1330" ht="21" customHeight="1">
      <x:c r="A1330" s="7" t="n">
        <x:v>1325</x:v>
      </x:c>
      <x:c r="B1330" s="2" t="str">
        <x:v>TXN-01325</x:v>
      </x:c>
      <x:c r="C1330" s="8" t="d">
        <x:v>2025-11-16T00:00:00.000Z</x:v>
      </x:c>
      <x:c r="D1330" s="2" t="str">
        <x:v>Abuja</x:v>
      </x:c>
      <x:c r="E1330" s="2" t="str">
        <x:v>Electronics</x:v>
      </x:c>
      <x:c r="F1330" s="2" t="str">
        <x:v>Bluetooth speaker</x:v>
      </x:c>
      <x:c r="G1330" s="2" t="str">
        <x:v>In-store</x:v>
      </x:c>
      <x:c r="H1330" s="7" t="n">
        <x:v>2</x:v>
      </x:c>
      <x:c r="I1330" s="9" t="n">
        <x:v>26000</x:v>
      </x:c>
      <x:c r="J1330" s="9" t="n">
        <x:v>17000</x:v>
      </x:c>
      <x:c r="K1330" s="10" t="n">
        <x:v>0</x:v>
      </x:c>
      <x:c r="L1330" s="2" t="str">
        <x:v>Completed</x:v>
      </x:c>
      <x:c r="M1330" s="12" t="n">
        <x:f>H1330*I1330</x:f>
        <x:v>52000</x:v>
      </x:c>
      <x:c r="N1330" s="12" t="n">
        <x:f>IF(L1330="Completed",ROUND(M1330*(1-K1330),2),0)</x:f>
        <x:v>52000</x:v>
      </x:c>
      <x:c r="O1330" s="12" t="n">
        <x:f>IF(L1330="Completed",H1330*J1330,0)</x:f>
        <x:v>34000</x:v>
      </x:c>
      <x:c r="P1330" s="12" t="n">
        <x:f>N1330-O1330</x:f>
        <x:v>18000</x:v>
      </x:c>
    </x:row>
    <x:row r="1331" ht="21" customHeight="1">
      <x:c r="A1331" s="7" t="n">
        <x:v>1326</x:v>
      </x:c>
      <x:c r="B1331" s="2" t="str">
        <x:v>TXN-01326</x:v>
      </x:c>
      <x:c r="C1331" s="8" t="d">
        <x:v>2025-11-13T00:00:00.000Z</x:v>
      </x:c>
      <x:c r="D1331" s="2" t="str">
        <x:v>Abuja</x:v>
      </x:c>
      <x:c r="E1331" s="2" t="str">
        <x:v>Fashion</x:v>
      </x:c>
      <x:c r="F1331" s="2" t="str">
        <x:v>Sneakers</x:v>
      </x:c>
      <x:c r="G1331" s="2" t="str">
        <x:v>Online</x:v>
      </x:c>
      <x:c r="H1331" s="7" t="n">
        <x:v>2</x:v>
      </x:c>
      <x:c r="I1331" s="9" t="n">
        <x:v>28000</x:v>
      </x:c>
      <x:c r="J1331" s="9" t="n">
        <x:v>17500</x:v>
      </x:c>
      <x:c r="K1331" s="10" t="n">
        <x:v>0</x:v>
      </x:c>
      <x:c r="L1331" s="2" t="str">
        <x:v>Returned</x:v>
      </x:c>
      <x:c r="M1331" s="12" t="n">
        <x:f>H1331*I1331</x:f>
        <x:v>56000</x:v>
      </x:c>
      <x:c r="N1331" s="12" t="n">
        <x:f>IF(L1331="Completed",ROUND(M1331*(1-K1331),2),0)</x:f>
        <x:v>0</x:v>
      </x:c>
      <x:c r="O1331" s="12" t="n">
        <x:f>IF(L1331="Completed",H1331*J1331,0)</x:f>
        <x:v>0</x:v>
      </x:c>
      <x:c r="P1331" s="12" t="n">
        <x:f>N1331-O1331</x:f>
        <x:v>0</x:v>
      </x:c>
    </x:row>
    <x:row r="1332" ht="21" customHeight="1">
      <x:c r="A1332" s="7" t="n">
        <x:v>1327</x:v>
      </x:c>
      <x:c r="B1332" s="2" t="str">
        <x:v>TXN-01327</x:v>
      </x:c>
      <x:c r="C1332" s="8" t="d">
        <x:v>2025-11-24T00:00:00.000Z</x:v>
      </x:c>
      <x:c r="D1332" s="2" t="str">
        <x:v>Port Harcourt</x:v>
      </x:c>
      <x:c r="E1332" s="2" t="str">
        <x:v>Fashion</x:v>
      </x:c>
      <x:c r="F1332" s="2" t="str">
        <x:v>Handbag</x:v>
      </x:c>
      <x:c r="G1332" s="2" t="str">
        <x:v>In-store</x:v>
      </x:c>
      <x:c r="H1332" s="7" t="n">
        <x:v>1</x:v>
      </x:c>
      <x:c r="I1332" s="9" t="n">
        <x:v>22000</x:v>
      </x:c>
      <x:c r="J1332" s="9" t="n">
        <x:v>13500</x:v>
      </x:c>
      <x:c r="K1332" s="10" t="n">
        <x:v>0</x:v>
      </x:c>
      <x:c r="L1332" s="2" t="str">
        <x:v>Completed</x:v>
      </x:c>
      <x:c r="M1332" s="12" t="n">
        <x:f>H1332*I1332</x:f>
        <x:v>22000</x:v>
      </x:c>
      <x:c r="N1332" s="12" t="n">
        <x:f>IF(L1332="Completed",ROUND(M1332*(1-K1332),2),0)</x:f>
        <x:v>22000</x:v>
      </x:c>
      <x:c r="O1332" s="12" t="n">
        <x:f>IF(L1332="Completed",H1332*J1332,0)</x:f>
        <x:v>13500</x:v>
      </x:c>
      <x:c r="P1332" s="12" t="n">
        <x:f>N1332-O1332</x:f>
        <x:v>8500</x:v>
      </x:c>
    </x:row>
    <x:row r="1333" ht="21" customHeight="1">
      <x:c r="A1333" s="7" t="n">
        <x:v>1328</x:v>
      </x:c>
      <x:c r="B1333" s="2" t="str">
        <x:v>TXN-01328</x:v>
      </x:c>
      <x:c r="C1333" s="8" t="d">
        <x:v>2025-11-12T00:00:00.000Z</x:v>
      </x:c>
      <x:c r="D1333" s="2" t="str">
        <x:v>Abuja</x:v>
      </x:c>
      <x:c r="E1333" s="2" t="str">
        <x:v>Fashion</x:v>
      </x:c>
      <x:c r="F1333" s="2" t="str">
        <x:v>Handbag</x:v>
      </x:c>
      <x:c r="G1333" s="2" t="str">
        <x:v>Online</x:v>
      </x:c>
      <x:c r="H1333" s="7" t="n">
        <x:v>1</x:v>
      </x:c>
      <x:c r="I1333" s="9" t="n">
        <x:v>22000</x:v>
      </x:c>
      <x:c r="J1333" s="9" t="n">
        <x:v>13500</x:v>
      </x:c>
      <x:c r="K1333" s="10" t="n">
        <x:v>0.1</x:v>
      </x:c>
      <x:c r="L1333" s="2" t="str">
        <x:v>Completed</x:v>
      </x:c>
      <x:c r="M1333" s="12" t="n">
        <x:f>H1333*I1333</x:f>
        <x:v>22000</x:v>
      </x:c>
      <x:c r="N1333" s="12" t="n">
        <x:f>IF(L1333="Completed",ROUND(M1333*(1-K1333),2),0)</x:f>
        <x:v>19800</x:v>
      </x:c>
      <x:c r="O1333" s="12" t="n">
        <x:f>IF(L1333="Completed",H1333*J1333,0)</x:f>
        <x:v>13500</x:v>
      </x:c>
      <x:c r="P1333" s="12" t="n">
        <x:f>N1333-O1333</x:f>
        <x:v>6300</x:v>
      </x:c>
    </x:row>
    <x:row r="1334" ht="21" customHeight="1">
      <x:c r="A1334" s="7" t="n">
        <x:v>1329</x:v>
      </x:c>
      <x:c r="B1334" s="2" t="str">
        <x:v>TXN-01329</x:v>
      </x:c>
      <x:c r="C1334" s="8" t="d">
        <x:v>2025-12-17T00:00:00.000Z</x:v>
      </x:c>
      <x:c r="D1334" s="2" t="str">
        <x:v>Abuja</x:v>
      </x:c>
      <x:c r="E1334" s="2" t="str">
        <x:v>Fashion</x:v>
      </x:c>
      <x:c r="F1334" s="2" t="str">
        <x:v>Handbag</x:v>
      </x:c>
      <x:c r="G1334" s="2" t="str">
        <x:v>Online</x:v>
      </x:c>
      <x:c r="H1334" s="7" t="n">
        <x:v>1</x:v>
      </x:c>
      <x:c r="I1334" s="9" t="n">
        <x:v>22000</x:v>
      </x:c>
      <x:c r="J1334" s="9" t="n">
        <x:v>13500</x:v>
      </x:c>
      <x:c r="K1334" s="10" t="n">
        <x:v>0.05</x:v>
      </x:c>
      <x:c r="L1334" s="2" t="str">
        <x:v>Completed</x:v>
      </x:c>
      <x:c r="M1334" s="12" t="n">
        <x:f>H1334*I1334</x:f>
        <x:v>22000</x:v>
      </x:c>
      <x:c r="N1334" s="12" t="n">
        <x:f>IF(L1334="Completed",ROUND(M1334*(1-K1334),2),0)</x:f>
        <x:v>20900</x:v>
      </x:c>
      <x:c r="O1334" s="12" t="n">
        <x:f>IF(L1334="Completed",H1334*J1334,0)</x:f>
        <x:v>13500</x:v>
      </x:c>
      <x:c r="P1334" s="12" t="n">
        <x:f>N1334-O1334</x:f>
        <x:v>7400</x:v>
      </x:c>
    </x:row>
    <x:row r="1335" ht="21" customHeight="1">
      <x:c r="A1335" s="7" t="n">
        <x:v>1330</x:v>
      </x:c>
      <x:c r="B1335" s="2" t="str">
        <x:v>TXN-01330</x:v>
      </x:c>
      <x:c r="C1335" s="8" t="d">
        <x:v>2025-12-24T00:00:00.000Z</x:v>
      </x:c>
      <x:c r="D1335" s="2" t="str">
        <x:v>Lagos</x:v>
      </x:c>
      <x:c r="E1335" s="2" t="str">
        <x:v>Electronics</x:v>
      </x:c>
      <x:c r="F1335" s="2" t="str">
        <x:v>Bluetooth speaker</x:v>
      </x:c>
      <x:c r="G1335" s="2" t="str">
        <x:v>Online</x:v>
      </x:c>
      <x:c r="H1335" s="7" t="n">
        <x:v>1</x:v>
      </x:c>
      <x:c r="I1335" s="9" t="n">
        <x:v>26000</x:v>
      </x:c>
      <x:c r="J1335" s="9" t="n">
        <x:v>17000</x:v>
      </x:c>
      <x:c r="K1335" s="10" t="n">
        <x:v>0.1</x:v>
      </x:c>
      <x:c r="L1335" s="2" t="str">
        <x:v>Completed</x:v>
      </x:c>
      <x:c r="M1335" s="12" t="n">
        <x:f>H1335*I1335</x:f>
        <x:v>26000</x:v>
      </x:c>
      <x:c r="N1335" s="12" t="n">
        <x:f>IF(L1335="Completed",ROUND(M1335*(1-K1335),2),0)</x:f>
        <x:v>23400</x:v>
      </x:c>
      <x:c r="O1335" s="12" t="n">
        <x:f>IF(L1335="Completed",H1335*J1335,0)</x:f>
        <x:v>17000</x:v>
      </x:c>
      <x:c r="P1335" s="12" t="n">
        <x:f>N1335-O1335</x:f>
        <x:v>6400</x:v>
      </x:c>
    </x:row>
    <x:row r="1336" ht="21" customHeight="1">
      <x:c r="A1336" s="7" t="n">
        <x:v>1331</x:v>
      </x:c>
      <x:c r="B1336" s="2" t="str">
        <x:v>TXN-01331</x:v>
      </x:c>
      <x:c r="C1336" s="8" t="d">
        <x:v>2025-12-29T00:00:00.000Z</x:v>
      </x:c>
      <x:c r="D1336" s="2" t="str">
        <x:v>Lagos</x:v>
      </x:c>
      <x:c r="E1336" s="2" t="str">
        <x:v>Home</x:v>
      </x:c>
      <x:c r="F1336" s="2" t="str">
        <x:v>Bedsheet</x:v>
      </x:c>
      <x:c r="G1336" s="2" t="str">
        <x:v>In-store</x:v>
      </x:c>
      <x:c r="H1336" s="7" t="n">
        <x:v>1</x:v>
      </x:c>
      <x:c r="I1336" s="9" t="n">
        <x:v>14000</x:v>
      </x:c>
      <x:c r="J1336" s="9" t="n">
        <x:v>8500</x:v>
      </x:c>
      <x:c r="K1336" s="10" t="n">
        <x:v>0.1</x:v>
      </x:c>
      <x:c r="L1336" s="2" t="str">
        <x:v>Completed</x:v>
      </x:c>
      <x:c r="M1336" s="12" t="n">
        <x:f>H1336*I1336</x:f>
        <x:v>14000</x:v>
      </x:c>
      <x:c r="N1336" s="12" t="n">
        <x:f>IF(L1336="Completed",ROUND(M1336*(1-K1336),2),0)</x:f>
        <x:v>12600</x:v>
      </x:c>
      <x:c r="O1336" s="12" t="n">
        <x:f>IF(L1336="Completed",H1336*J1336,0)</x:f>
        <x:v>8500</x:v>
      </x:c>
      <x:c r="P1336" s="12" t="n">
        <x:f>N1336-O1336</x:f>
        <x:v>4100</x:v>
      </x:c>
    </x:row>
    <x:row r="1337" ht="21" customHeight="1">
      <x:c r="A1337" s="7" t="n">
        <x:v>1332</x:v>
      </x:c>
      <x:c r="B1337" s="2" t="str">
        <x:v>TXN-01332</x:v>
      </x:c>
      <x:c r="C1337" s="8" t="d">
        <x:v>2025-12-29T00:00:00.000Z</x:v>
      </x:c>
      <x:c r="D1337" s="2" t="str">
        <x:v>Unknown</x:v>
      </x:c>
      <x:c r="E1337" s="2" t="str">
        <x:v>Home</x:v>
      </x:c>
      <x:c r="F1337" s="2" t="str">
        <x:v>Bedsheet</x:v>
      </x:c>
      <x:c r="G1337" s="2" t="str">
        <x:v>Online</x:v>
      </x:c>
      <x:c r="H1337" s="7" t="n">
        <x:v>3</x:v>
      </x:c>
      <x:c r="I1337" s="9" t="n">
        <x:v>14000</x:v>
      </x:c>
      <x:c r="J1337" s="9" t="n">
        <x:v>8500</x:v>
      </x:c>
      <x:c r="K1337" s="10" t="n">
        <x:v>0.05</x:v>
      </x:c>
      <x:c r="L1337" s="2" t="str">
        <x:v>Completed</x:v>
      </x:c>
      <x:c r="M1337" s="12" t="n">
        <x:f>H1337*I1337</x:f>
        <x:v>42000</x:v>
      </x:c>
      <x:c r="N1337" s="12" t="n">
        <x:f>IF(L1337="Completed",ROUND(M1337*(1-K1337),2),0)</x:f>
        <x:v>39900</x:v>
      </x:c>
      <x:c r="O1337" s="12" t="n">
        <x:f>IF(L1337="Completed",H1337*J1337,0)</x:f>
        <x:v>25500</x:v>
      </x:c>
      <x:c r="P1337" s="12" t="n">
        <x:f>N1337-O1337</x:f>
        <x:v>14400</x:v>
      </x:c>
    </x:row>
    <x:row r="1338" ht="21" customHeight="1">
      <x:c r="A1338" s="7" t="n">
        <x:v>1333</x:v>
      </x:c>
      <x:c r="B1338" s="2" t="str">
        <x:v>TXN-01333</x:v>
      </x:c>
      <x:c r="C1338" s="8" t="d">
        <x:v>2025-12-16T00:00:00.000Z</x:v>
      </x:c>
      <x:c r="D1338" s="2" t="str">
        <x:v>Lagos</x:v>
      </x:c>
      <x:c r="E1338" s="2" t="str">
        <x:v>Fashion</x:v>
      </x:c>
      <x:c r="F1338" s="2" t="str">
        <x:v>T-shirt</x:v>
      </x:c>
      <x:c r="G1338" s="2" t="str">
        <x:v>Online</x:v>
      </x:c>
      <x:c r="H1338" s="7" t="n">
        <x:v>2</x:v>
      </x:c>
      <x:c r="I1338" s="9" t="n">
        <x:v>9000</x:v>
      </x:c>
      <x:c r="J1338" s="9" t="n">
        <x:v>5000</x:v>
      </x:c>
      <x:c r="K1338" s="10" t="n">
        <x:v>0</x:v>
      </x:c>
      <x:c r="L1338" s="2" t="str">
        <x:v>Returned</x:v>
      </x:c>
      <x:c r="M1338" s="12" t="n">
        <x:f>H1338*I1338</x:f>
        <x:v>18000</x:v>
      </x:c>
      <x:c r="N1338" s="12" t="n">
        <x:f>IF(L1338="Completed",ROUND(M1338*(1-K1338),2),0)</x:f>
        <x:v>0</x:v>
      </x:c>
      <x:c r="O1338" s="12" t="n">
        <x:f>IF(L1338="Completed",H1338*J1338,0)</x:f>
        <x:v>0</x:v>
      </x:c>
      <x:c r="P1338" s="12" t="n">
        <x:f>N1338-O1338</x:f>
        <x:v>0</x:v>
      </x:c>
    </x:row>
    <x:row r="1339" ht="21" customHeight="1">
      <x:c r="A1339" s="7" t="n">
        <x:v>1334</x:v>
      </x:c>
      <x:c r="B1339" s="2" t="str">
        <x:v>TXN-01334</x:v>
      </x:c>
      <x:c r="C1339" s="8" t="d">
        <x:v>2025-12-18T00:00:00.000Z</x:v>
      </x:c>
      <x:c r="D1339" s="2" t="str">
        <x:v>Abuja</x:v>
      </x:c>
      <x:c r="E1339" s="2" t="str">
        <x:v>Fashion</x:v>
      </x:c>
      <x:c r="F1339" s="2" t="str">
        <x:v>T-shirt</x:v>
      </x:c>
      <x:c r="G1339" s="2" t="str">
        <x:v>Online</x:v>
      </x:c>
      <x:c r="H1339" s="7" t="n">
        <x:v>2</x:v>
      </x:c>
      <x:c r="I1339" s="9" t="n">
        <x:v>9000</x:v>
      </x:c>
      <x:c r="J1339" s="9" t="n">
        <x:v>5000</x:v>
      </x:c>
      <x:c r="K1339" s="10" t="n">
        <x:v>0.05</x:v>
      </x:c>
      <x:c r="L1339" s="2" t="str">
        <x:v>Completed</x:v>
      </x:c>
      <x:c r="M1339" s="12" t="n">
        <x:f>H1339*I1339</x:f>
        <x:v>18000</x:v>
      </x:c>
      <x:c r="N1339" s="12" t="n">
        <x:f>IF(L1339="Completed",ROUND(M1339*(1-K1339),2),0)</x:f>
        <x:v>17100</x:v>
      </x:c>
      <x:c r="O1339" s="12" t="n">
        <x:f>IF(L1339="Completed",H1339*J1339,0)</x:f>
        <x:v>10000</x:v>
      </x:c>
      <x:c r="P1339" s="12" t="n">
        <x:f>N1339-O1339</x:f>
        <x:v>7100</x:v>
      </x:c>
    </x:row>
    <x:row r="1340" ht="21" customHeight="1">
      <x:c r="A1340" s="7" t="n">
        <x:v>1335</x:v>
      </x:c>
      <x:c r="B1340" s="2" t="str">
        <x:v>TXN-01335</x:v>
      </x:c>
      <x:c r="C1340" s="8" t="d">
        <x:v>2025-12-17T00:00:00.000Z</x:v>
      </x:c>
      <x:c r="D1340" s="2" t="str">
        <x:v>Kano</x:v>
      </x:c>
      <x:c r="E1340" s="2" t="str">
        <x:v>Home</x:v>
      </x:c>
      <x:c r="F1340" s="2" t="str">
        <x:v>Bedsheet</x:v>
      </x:c>
      <x:c r="G1340" s="2" t="str">
        <x:v>In-store</x:v>
      </x:c>
      <x:c r="H1340" s="7" t="n">
        <x:v>1</x:v>
      </x:c>
      <x:c r="I1340" s="9" t="n">
        <x:v>14000</x:v>
      </x:c>
      <x:c r="J1340" s="9" t="n">
        <x:v>8500</x:v>
      </x:c>
      <x:c r="K1340" s="10" t="n">
        <x:v>0.05</x:v>
      </x:c>
      <x:c r="L1340" s="2" t="str">
        <x:v>Completed</x:v>
      </x:c>
      <x:c r="M1340" s="12" t="n">
        <x:f>H1340*I1340</x:f>
        <x:v>14000</x:v>
      </x:c>
      <x:c r="N1340" s="12" t="n">
        <x:f>IF(L1340="Completed",ROUND(M1340*(1-K1340),2),0)</x:f>
        <x:v>13300</x:v>
      </x:c>
      <x:c r="O1340" s="12" t="n">
        <x:f>IF(L1340="Completed",H1340*J1340,0)</x:f>
        <x:v>8500</x:v>
      </x:c>
      <x:c r="P1340" s="12" t="n">
        <x:f>N1340-O1340</x:f>
        <x:v>4800</x:v>
      </x:c>
    </x:row>
    <x:row r="1341" ht="21" customHeight="1">
      <x:c r="A1341" s="7" t="n">
        <x:v>1336</x:v>
      </x:c>
      <x:c r="B1341" s="2" t="str">
        <x:v>TXN-01336</x:v>
      </x:c>
      <x:c r="C1341" s="8" t="d">
        <x:v>2025-12-22T00:00:00.000Z</x:v>
      </x:c>
      <x:c r="D1341" s="2" t="str">
        <x:v>Port Harcourt</x:v>
      </x:c>
      <x:c r="E1341" s="2" t="str">
        <x:v>Fashion</x:v>
      </x:c>
      <x:c r="F1341" s="2" t="str">
        <x:v>Sneakers</x:v>
      </x:c>
      <x:c r="G1341" s="2" t="str">
        <x:v>In-store</x:v>
      </x:c>
      <x:c r="H1341" s="7" t="n">
        <x:v>1</x:v>
      </x:c>
      <x:c r="I1341" s="9" t="n">
        <x:v>28000</x:v>
      </x:c>
      <x:c r="J1341" s="9" t="n">
        <x:v>17500</x:v>
      </x:c>
      <x:c r="K1341" s="10" t="n">
        <x:v>0.1</x:v>
      </x:c>
      <x:c r="L1341" s="2" t="str">
        <x:v>Completed</x:v>
      </x:c>
      <x:c r="M1341" s="12" t="n">
        <x:f>H1341*I1341</x:f>
        <x:v>28000</x:v>
      </x:c>
      <x:c r="N1341" s="12" t="n">
        <x:f>IF(L1341="Completed",ROUND(M1341*(1-K1341),2),0)</x:f>
        <x:v>25200</x:v>
      </x:c>
      <x:c r="O1341" s="12" t="n">
        <x:f>IF(L1341="Completed",H1341*J1341,0)</x:f>
        <x:v>17500</x:v>
      </x:c>
      <x:c r="P1341" s="12" t="n">
        <x:f>N1341-O1341</x:f>
        <x:v>7700</x:v>
      </x:c>
    </x:row>
    <x:row r="1342" ht="21" customHeight="1">
      <x:c r="A1342" s="7" t="n">
        <x:v>1337</x:v>
      </x:c>
      <x:c r="B1342" s="2" t="str">
        <x:v>TXN-01337</x:v>
      </x:c>
      <x:c r="C1342" s="8" t="d">
        <x:v>2025-12-24T00:00:00.000Z</x:v>
      </x:c>
      <x:c r="D1342" s="2" t="str">
        <x:v>Lagos</x:v>
      </x:c>
      <x:c r="E1342" s="2" t="str">
        <x:v>Fashion</x:v>
      </x:c>
      <x:c r="F1342" s="2" t="str">
        <x:v>Handbag</x:v>
      </x:c>
      <x:c r="G1342" s="2" t="str">
        <x:v>Online</x:v>
      </x:c>
      <x:c r="H1342" s="7" t="n">
        <x:v>1</x:v>
      </x:c>
      <x:c r="I1342" s="9" t="n">
        <x:v>22000</x:v>
      </x:c>
      <x:c r="J1342" s="9" t="n">
        <x:v>13500</x:v>
      </x:c>
      <x:c r="K1342" s="10" t="n">
        <x:v>0</x:v>
      </x:c>
      <x:c r="L1342" s="2" t="str">
        <x:v>Completed</x:v>
      </x:c>
      <x:c r="M1342" s="12" t="n">
        <x:f>H1342*I1342</x:f>
        <x:v>22000</x:v>
      </x:c>
      <x:c r="N1342" s="12" t="n">
        <x:f>IF(L1342="Completed",ROUND(M1342*(1-K1342),2),0)</x:f>
        <x:v>22000</x:v>
      </x:c>
      <x:c r="O1342" s="12" t="n">
        <x:f>IF(L1342="Completed",H1342*J1342,0)</x:f>
        <x:v>13500</x:v>
      </x:c>
      <x:c r="P1342" s="12" t="n">
        <x:f>N1342-O1342</x:f>
        <x:v>8500</x:v>
      </x:c>
    </x:row>
    <x:row r="1343" ht="21" customHeight="1">
      <x:c r="A1343" s="7" t="n">
        <x:v>1338</x:v>
      </x:c>
      <x:c r="B1343" s="2" t="str">
        <x:v>TXN-01338</x:v>
      </x:c>
      <x:c r="C1343" s="8" t="d">
        <x:v>2025-12-18T00:00:00.000Z</x:v>
      </x:c>
      <x:c r="D1343" s="2" t="str">
        <x:v>Abuja</x:v>
      </x:c>
      <x:c r="E1343" s="2" t="str">
        <x:v>Beauty</x:v>
      </x:c>
      <x:c r="F1343" s="2" t="str">
        <x:v>Moisturizer</x:v>
      </x:c>
      <x:c r="G1343" s="2" t="str">
        <x:v>In-store</x:v>
      </x:c>
      <x:c r="H1343" s="7" t="n">
        <x:v>2</x:v>
      </x:c>
      <x:c r="I1343" s="9" t="n">
        <x:v>6500</x:v>
      </x:c>
      <x:c r="J1343" s="9" t="n">
        <x:v>3500</x:v>
      </x:c>
      <x:c r="K1343" s="10" t="n">
        <x:v>0</x:v>
      </x:c>
      <x:c r="L1343" s="2" t="str">
        <x:v>Completed</x:v>
      </x:c>
      <x:c r="M1343" s="12" t="n">
        <x:f>H1343*I1343</x:f>
        <x:v>13000</x:v>
      </x:c>
      <x:c r="N1343" s="12" t="n">
        <x:f>IF(L1343="Completed",ROUND(M1343*(1-K1343),2),0)</x:f>
        <x:v>13000</x:v>
      </x:c>
      <x:c r="O1343" s="12" t="n">
        <x:f>IF(L1343="Completed",H1343*J1343,0)</x:f>
        <x:v>7000</x:v>
      </x:c>
      <x:c r="P1343" s="12" t="n">
        <x:f>N1343-O1343</x:f>
        <x:v>6000</x:v>
      </x:c>
    </x:row>
    <x:row r="1344" ht="21" customHeight="1">
      <x:c r="A1344" s="7" t="n">
        <x:v>1339</x:v>
      </x:c>
      <x:c r="B1344" s="2" t="str">
        <x:v>TXN-01339</x:v>
      </x:c>
      <x:c r="C1344" s="8" t="d">
        <x:v>2025-12-19T00:00:00.000Z</x:v>
      </x:c>
      <x:c r="D1344" s="2" t="str">
        <x:v>Lagos</x:v>
      </x:c>
      <x:c r="E1344" s="2" t="str">
        <x:v>Electronics</x:v>
      </x:c>
      <x:c r="F1344" s="2" t="str">
        <x:v>Bluetooth speaker</x:v>
      </x:c>
      <x:c r="G1344" s="2" t="str">
        <x:v>In-store</x:v>
      </x:c>
      <x:c r="H1344" s="7" t="n">
        <x:v>1</x:v>
      </x:c>
      <x:c r="I1344" s="9" t="n">
        <x:v>26000</x:v>
      </x:c>
      <x:c r="J1344" s="9" t="n">
        <x:v>17000</x:v>
      </x:c>
      <x:c r="K1344" s="10" t="n">
        <x:v>0.05</x:v>
      </x:c>
      <x:c r="L1344" s="2" t="str">
        <x:v>Completed</x:v>
      </x:c>
      <x:c r="M1344" s="12" t="n">
        <x:f>H1344*I1344</x:f>
        <x:v>26000</x:v>
      </x:c>
      <x:c r="N1344" s="12" t="n">
        <x:f>IF(L1344="Completed",ROUND(M1344*(1-K1344),2),0)</x:f>
        <x:v>24700</x:v>
      </x:c>
      <x:c r="O1344" s="12" t="n">
        <x:f>IF(L1344="Completed",H1344*J1344,0)</x:f>
        <x:v>17000</x:v>
      </x:c>
      <x:c r="P1344" s="12" t="n">
        <x:f>N1344-O1344</x:f>
        <x:v>7700</x:v>
      </x:c>
    </x:row>
    <x:row r="1345" ht="21" customHeight="1">
      <x:c r="A1345" s="7" t="n">
        <x:v>1340</x:v>
      </x:c>
      <x:c r="B1345" s="2" t="str">
        <x:v>TXN-01340</x:v>
      </x:c>
      <x:c r="C1345" s="8" t="d">
        <x:v>2025-12-01T00:00:00.000Z</x:v>
      </x:c>
      <x:c r="D1345" s="2" t="str">
        <x:v>Kano</x:v>
      </x:c>
      <x:c r="E1345" s="2" t="str">
        <x:v>Beauty</x:v>
      </x:c>
      <x:c r="F1345" s="2" t="str">
        <x:v>Moisturizer</x:v>
      </x:c>
      <x:c r="G1345" s="2" t="str">
        <x:v>Online</x:v>
      </x:c>
      <x:c r="H1345" s="7" t="n">
        <x:v>2</x:v>
      </x:c>
      <x:c r="I1345" s="9" t="n">
        <x:v>6500</x:v>
      </x:c>
      <x:c r="J1345" s="9" t="n">
        <x:v>3500</x:v>
      </x:c>
      <x:c r="K1345" s="10" t="n">
        <x:v>0.05</x:v>
      </x:c>
      <x:c r="L1345" s="2" t="str">
        <x:v>Completed</x:v>
      </x:c>
      <x:c r="M1345" s="12" t="n">
        <x:f>H1345*I1345</x:f>
        <x:v>13000</x:v>
      </x:c>
      <x:c r="N1345" s="12" t="n">
        <x:f>IF(L1345="Completed",ROUND(M1345*(1-K1345),2),0)</x:f>
        <x:v>12350</x:v>
      </x:c>
      <x:c r="O1345" s="12" t="n">
        <x:f>IF(L1345="Completed",H1345*J1345,0)</x:f>
        <x:v>7000</x:v>
      </x:c>
      <x:c r="P1345" s="12" t="n">
        <x:f>N1345-O1345</x:f>
        <x:v>5350</x:v>
      </x:c>
    </x:row>
    <x:row r="1346" ht="21" customHeight="1">
      <x:c r="A1346" s="7" t="n">
        <x:v>1341</x:v>
      </x:c>
      <x:c r="B1346" s="2" t="str">
        <x:v>TXN-01341</x:v>
      </x:c>
      <x:c r="C1346" s="8" t="d">
        <x:v>2025-12-15T00:00:00.000Z</x:v>
      </x:c>
      <x:c r="D1346" s="2" t="str">
        <x:v>Lagos</x:v>
      </x:c>
      <x:c r="E1346" s="2" t="str">
        <x:v>Beauty</x:v>
      </x:c>
      <x:c r="F1346" s="2" t="str">
        <x:v>Body wash</x:v>
      </x:c>
      <x:c r="G1346" s="2" t="str">
        <x:v>Online</x:v>
      </x:c>
      <x:c r="H1346" s="7" t="n">
        <x:v>2</x:v>
      </x:c>
      <x:c r="I1346" s="9" t="n">
        <x:v>4500</x:v>
      </x:c>
      <x:c r="J1346" s="9" t="n">
        <x:v>2300</x:v>
      </x:c>
      <x:c r="K1346" s="10" t="n">
        <x:v>0.1</x:v>
      </x:c>
      <x:c r="L1346" s="2" t="str">
        <x:v>Completed</x:v>
      </x:c>
      <x:c r="M1346" s="12" t="n">
        <x:f>H1346*I1346</x:f>
        <x:v>9000</x:v>
      </x:c>
      <x:c r="N1346" s="12" t="n">
        <x:f>IF(L1346="Completed",ROUND(M1346*(1-K1346),2),0)</x:f>
        <x:v>8100</x:v>
      </x:c>
      <x:c r="O1346" s="12" t="n">
        <x:f>IF(L1346="Completed",H1346*J1346,0)</x:f>
        <x:v>4600</x:v>
      </x:c>
      <x:c r="P1346" s="12" t="n">
        <x:f>N1346-O1346</x:f>
        <x:v>3500</x:v>
      </x:c>
    </x:row>
    <x:row r="1347" ht="21" customHeight="1">
      <x:c r="A1347" s="7" t="n">
        <x:v>1342</x:v>
      </x:c>
      <x:c r="B1347" s="2" t="str">
        <x:v>TXN-01342</x:v>
      </x:c>
      <x:c r="C1347" s="8" t="d">
        <x:v>2025-12-10T00:00:00.000Z</x:v>
      </x:c>
      <x:c r="D1347" s="2" t="str">
        <x:v>Lagos</x:v>
      </x:c>
      <x:c r="E1347" s="2" t="str">
        <x:v>Electronics</x:v>
      </x:c>
      <x:c r="F1347" s="2" t="str">
        <x:v>Headphones</x:v>
      </x:c>
      <x:c r="G1347" s="2" t="str">
        <x:v>Online</x:v>
      </x:c>
      <x:c r="H1347" s="7" t="n">
        <x:v>1</x:v>
      </x:c>
      <x:c r="I1347" s="9" t="n">
        <x:v>18000</x:v>
      </x:c>
      <x:c r="J1347" s="9" t="n">
        <x:v>10500</x:v>
      </x:c>
      <x:c r="K1347" s="10" t="n">
        <x:v>0</x:v>
      </x:c>
      <x:c r="L1347" s="2" t="str">
        <x:v>Returned</x:v>
      </x:c>
      <x:c r="M1347" s="12" t="n">
        <x:f>H1347*I1347</x:f>
        <x:v>18000</x:v>
      </x:c>
      <x:c r="N1347" s="12" t="n">
        <x:f>IF(L1347="Completed",ROUND(M1347*(1-K1347),2),0)</x:f>
        <x:v>0</x:v>
      </x:c>
      <x:c r="O1347" s="12" t="n">
        <x:f>IF(L1347="Completed",H1347*J1347,0)</x:f>
        <x:v>0</x:v>
      </x:c>
      <x:c r="P1347" s="12" t="n">
        <x:f>N1347-O1347</x:f>
        <x:v>0</x:v>
      </x:c>
    </x:row>
    <x:row r="1348" ht="21" customHeight="1">
      <x:c r="A1348" s="7" t="n">
        <x:v>1343</x:v>
      </x:c>
      <x:c r="B1348" s="2" t="str">
        <x:v>TXN-01343</x:v>
      </x:c>
      <x:c r="C1348" s="8" t="d">
        <x:v>2025-12-20T00:00:00.000Z</x:v>
      </x:c>
      <x:c r="D1348" s="2" t="str">
        <x:v>Port Harcourt</x:v>
      </x:c>
      <x:c r="E1348" s="2" t="str">
        <x:v>Fashion</x:v>
      </x:c>
      <x:c r="F1348" s="2" t="str">
        <x:v>Sneakers</x:v>
      </x:c>
      <x:c r="G1348" s="2" t="str">
        <x:v>Online</x:v>
      </x:c>
      <x:c r="H1348" s="7" t="n">
        <x:v>2</x:v>
      </x:c>
      <x:c r="I1348" s="9" t="n">
        <x:v>28000</x:v>
      </x:c>
      <x:c r="J1348" s="9" t="n">
        <x:v>17500</x:v>
      </x:c>
      <x:c r="K1348" s="10" t="n">
        <x:v>0.1</x:v>
      </x:c>
      <x:c r="L1348" s="2" t="str">
        <x:v>Completed</x:v>
      </x:c>
      <x:c r="M1348" s="12" t="n">
        <x:f>H1348*I1348</x:f>
        <x:v>56000</x:v>
      </x:c>
      <x:c r="N1348" s="12" t="n">
        <x:f>IF(L1348="Completed",ROUND(M1348*(1-K1348),2),0)</x:f>
        <x:v>50400</x:v>
      </x:c>
      <x:c r="O1348" s="12" t="n">
        <x:f>IF(L1348="Completed",H1348*J1348,0)</x:f>
        <x:v>35000</x:v>
      </x:c>
      <x:c r="P1348" s="12" t="n">
        <x:f>N1348-O1348</x:f>
        <x:v>15400</x:v>
      </x:c>
    </x:row>
    <x:row r="1349" ht="21" customHeight="1">
      <x:c r="A1349" s="7" t="n">
        <x:v>1344</x:v>
      </x:c>
      <x:c r="B1349" s="2" t="str">
        <x:v>TXN-01344</x:v>
      </x:c>
      <x:c r="C1349" s="8" t="d">
        <x:v>2025-12-03T00:00:00.000Z</x:v>
      </x:c>
      <x:c r="D1349" s="2" t="str">
        <x:v>Abuja</x:v>
      </x:c>
      <x:c r="E1349" s="2" t="str">
        <x:v>Beauty</x:v>
      </x:c>
      <x:c r="F1349" s="2" t="str">
        <x:v>Body wash</x:v>
      </x:c>
      <x:c r="G1349" s="2" t="str">
        <x:v>Online</x:v>
      </x:c>
      <x:c r="H1349" s="7" t="n">
        <x:v>3</x:v>
      </x:c>
      <x:c r="I1349" s="9" t="n">
        <x:v>4500</x:v>
      </x:c>
      <x:c r="J1349" s="9" t="n">
        <x:v>2300</x:v>
      </x:c>
      <x:c r="K1349" s="10" t="n">
        <x:v>0.15</x:v>
      </x:c>
      <x:c r="L1349" s="2" t="str">
        <x:v>Completed</x:v>
      </x:c>
      <x:c r="M1349" s="12" t="n">
        <x:f>H1349*I1349</x:f>
        <x:v>13500</x:v>
      </x:c>
      <x:c r="N1349" s="12" t="n">
        <x:f>IF(L1349="Completed",ROUND(M1349*(1-K1349),2),0)</x:f>
        <x:v>11475</x:v>
      </x:c>
      <x:c r="O1349" s="12" t="n">
        <x:f>IF(L1349="Completed",H1349*J1349,0)</x:f>
        <x:v>6900</x:v>
      </x:c>
      <x:c r="P1349" s="12" t="n">
        <x:f>N1349-O1349</x:f>
        <x:v>4575</x:v>
      </x:c>
    </x:row>
    <x:row r="1350" ht="21" customHeight="1">
      <x:c r="A1350" s="7" t="n">
        <x:v>1345</x:v>
      </x:c>
      <x:c r="B1350" s="2" t="str">
        <x:v>TXN-01345</x:v>
      </x:c>
      <x:c r="C1350" s="8" t="d">
        <x:v>2025-12-07T00:00:00.000Z</x:v>
      </x:c>
      <x:c r="D1350" s="2" t="str">
        <x:v>Abuja</x:v>
      </x:c>
      <x:c r="E1350" s="2" t="str">
        <x:v>Beauty</x:v>
      </x:c>
      <x:c r="F1350" s="2" t="str">
        <x:v>Moisturizer</x:v>
      </x:c>
      <x:c r="G1350" s="2" t="str">
        <x:v>Online</x:v>
      </x:c>
      <x:c r="H1350" s="7" t="n">
        <x:v>3</x:v>
      </x:c>
      <x:c r="I1350" s="9" t="n">
        <x:v>6500</x:v>
      </x:c>
      <x:c r="J1350" s="9" t="n">
        <x:v>3500</x:v>
      </x:c>
      <x:c r="K1350" s="10" t="n">
        <x:v>0</x:v>
      </x:c>
      <x:c r="L1350" s="2" t="str">
        <x:v>Completed</x:v>
      </x:c>
      <x:c r="M1350" s="12" t="n">
        <x:f>H1350*I1350</x:f>
        <x:v>19500</x:v>
      </x:c>
      <x:c r="N1350" s="12" t="n">
        <x:f>IF(L1350="Completed",ROUND(M1350*(1-K1350),2),0)</x:f>
        <x:v>19500</x:v>
      </x:c>
      <x:c r="O1350" s="12" t="n">
        <x:f>IF(L1350="Completed",H1350*J1350,0)</x:f>
        <x:v>10500</x:v>
      </x:c>
      <x:c r="P1350" s="12" t="n">
        <x:f>N1350-O1350</x:f>
        <x:v>9000</x:v>
      </x:c>
    </x:row>
    <x:row r="1351" ht="21" customHeight="1">
      <x:c r="A1351" s="7" t="n">
        <x:v>1346</x:v>
      </x:c>
      <x:c r="B1351" s="2" t="str">
        <x:v>TXN-01346</x:v>
      </x:c>
      <x:c r="C1351" s="8" t="d">
        <x:v>2025-12-21T00:00:00.000Z</x:v>
      </x:c>
      <x:c r="D1351" s="2" t="str">
        <x:v>Kano</x:v>
      </x:c>
      <x:c r="E1351" s="2" t="str">
        <x:v>Electronics</x:v>
      </x:c>
      <x:c r="F1351" s="2" t="str">
        <x:v>Bluetooth speaker</x:v>
      </x:c>
      <x:c r="G1351" s="2" t="str">
        <x:v>Online</x:v>
      </x:c>
      <x:c r="H1351" s="7" t="n">
        <x:v>1</x:v>
      </x:c>
      <x:c r="I1351" s="9" t="n">
        <x:v>26000</x:v>
      </x:c>
      <x:c r="J1351" s="9" t="n">
        <x:v>17000</x:v>
      </x:c>
      <x:c r="K1351" s="10" t="n">
        <x:v>0.05</x:v>
      </x:c>
      <x:c r="L1351" s="2" t="str">
        <x:v>Completed</x:v>
      </x:c>
      <x:c r="M1351" s="12" t="n">
        <x:f>H1351*I1351</x:f>
        <x:v>26000</x:v>
      </x:c>
      <x:c r="N1351" s="12" t="n">
        <x:f>IF(L1351="Completed",ROUND(M1351*(1-K1351),2),0)</x:f>
        <x:v>24700</x:v>
      </x:c>
      <x:c r="O1351" s="12" t="n">
        <x:f>IF(L1351="Completed",H1351*J1351,0)</x:f>
        <x:v>17000</x:v>
      </x:c>
      <x:c r="P1351" s="12" t="n">
        <x:f>N1351-O1351</x:f>
        <x:v>7700</x:v>
      </x:c>
    </x:row>
    <x:row r="1352" ht="21" customHeight="1">
      <x:c r="A1352" s="7" t="n">
        <x:v>1347</x:v>
      </x:c>
      <x:c r="B1352" s="2" t="str">
        <x:v>TXN-01347</x:v>
      </x:c>
      <x:c r="C1352" s="8" t="d">
        <x:v>2025-12-21T00:00:00.000Z</x:v>
      </x:c>
      <x:c r="D1352" s="2" t="str">
        <x:v>Abuja</x:v>
      </x:c>
      <x:c r="E1352" s="2" t="str">
        <x:v>Fashion</x:v>
      </x:c>
      <x:c r="F1352" s="2" t="str">
        <x:v>T-shirt</x:v>
      </x:c>
      <x:c r="G1352" s="2" t="str">
        <x:v>Online</x:v>
      </x:c>
      <x:c r="H1352" s="7" t="n">
        <x:v>1</x:v>
      </x:c>
      <x:c r="I1352" s="9" t="n">
        <x:v>9000</x:v>
      </x:c>
      <x:c r="J1352" s="9" t="n">
        <x:v>5000</x:v>
      </x:c>
      <x:c r="K1352" s="10" t="n">
        <x:v>0</x:v>
      </x:c>
      <x:c r="L1352" s="2" t="str">
        <x:v>Returned</x:v>
      </x:c>
      <x:c r="M1352" s="12" t="n">
        <x:f>H1352*I1352</x:f>
        <x:v>9000</x:v>
      </x:c>
      <x:c r="N1352" s="12" t="n">
        <x:f>IF(L1352="Completed",ROUND(M1352*(1-K1352),2),0)</x:f>
        <x:v>0</x:v>
      </x:c>
      <x:c r="O1352" s="12" t="n">
        <x:f>IF(L1352="Completed",H1352*J1352,0)</x:f>
        <x:v>0</x:v>
      </x:c>
      <x:c r="P1352" s="12" t="n">
        <x:f>N1352-O1352</x:f>
        <x:v>0</x:v>
      </x:c>
    </x:row>
    <x:row r="1353" ht="21" customHeight="1">
      <x:c r="A1353" s="7" t="n">
        <x:v>1348</x:v>
      </x:c>
      <x:c r="B1353" s="2" t="str">
        <x:v>TXN-01348</x:v>
      </x:c>
      <x:c r="C1353" s="8" t="d">
        <x:v>2025-12-22T00:00:00.000Z</x:v>
      </x:c>
      <x:c r="D1353" s="2" t="str">
        <x:v>Abuja</x:v>
      </x:c>
      <x:c r="E1353" s="2" t="str">
        <x:v>Electronics</x:v>
      </x:c>
      <x:c r="F1353" s="2" t="str">
        <x:v>Power bank</x:v>
      </x:c>
      <x:c r="G1353" s="2" t="str">
        <x:v>Online</x:v>
      </x:c>
      <x:c r="H1353" s="7" t="n">
        <x:v>1</x:v>
      </x:c>
      <x:c r="I1353" s="9" t="n">
        <x:v>15000</x:v>
      </x:c>
      <x:c r="J1353" s="9" t="n">
        <x:v>9500</x:v>
      </x:c>
      <x:c r="K1353" s="10" t="n">
        <x:v>0</x:v>
      </x:c>
      <x:c r="L1353" s="2" t="str">
        <x:v>Completed</x:v>
      </x:c>
      <x:c r="M1353" s="12" t="n">
        <x:f>H1353*I1353</x:f>
        <x:v>15000</x:v>
      </x:c>
      <x:c r="N1353" s="12" t="n">
        <x:f>IF(L1353="Completed",ROUND(M1353*(1-K1353),2),0)</x:f>
        <x:v>15000</x:v>
      </x:c>
      <x:c r="O1353" s="12" t="n">
        <x:f>IF(L1353="Completed",H1353*J1353,0)</x:f>
        <x:v>9500</x:v>
      </x:c>
      <x:c r="P1353" s="12" t="n">
        <x:f>N1353-O1353</x:f>
        <x:v>5500</x:v>
      </x:c>
    </x:row>
    <x:row r="1354" ht="21" customHeight="1">
      <x:c r="A1354" s="7" t="n">
        <x:v>1349</x:v>
      </x:c>
      <x:c r="B1354" s="2" t="str">
        <x:v>TXN-01349</x:v>
      </x:c>
      <x:c r="C1354" s="8" t="d">
        <x:v>2025-12-25T00:00:00.000Z</x:v>
      </x:c>
      <x:c r="D1354" s="2" t="str">
        <x:v>Kano</x:v>
      </x:c>
      <x:c r="E1354" s="2" t="str">
        <x:v>Beauty</x:v>
      </x:c>
      <x:c r="F1354" s="2" t="str">
        <x:v>Body wash</x:v>
      </x:c>
      <x:c r="G1354" s="2" t="str">
        <x:v>Online</x:v>
      </x:c>
      <x:c r="H1354" s="7" t="n">
        <x:v>2</x:v>
      </x:c>
      <x:c r="I1354" s="9" t="n">
        <x:v>4500</x:v>
      </x:c>
      <x:c r="J1354" s="9" t="n">
        <x:v>2300</x:v>
      </x:c>
      <x:c r="K1354" s="10" t="n">
        <x:v>0</x:v>
      </x:c>
      <x:c r="L1354" s="2" t="str">
        <x:v>Completed</x:v>
      </x:c>
      <x:c r="M1354" s="12" t="n">
        <x:f>H1354*I1354</x:f>
        <x:v>9000</x:v>
      </x:c>
      <x:c r="N1354" s="12" t="n">
        <x:f>IF(L1354="Completed",ROUND(M1354*(1-K1354),2),0)</x:f>
        <x:v>9000</x:v>
      </x:c>
      <x:c r="O1354" s="12" t="n">
        <x:f>IF(L1354="Completed",H1354*J1354,0)</x:f>
        <x:v>4600</x:v>
      </x:c>
      <x:c r="P1354" s="12" t="n">
        <x:f>N1354-O1354</x:f>
        <x:v>4400</x:v>
      </x:c>
    </x:row>
    <x:row r="1355" ht="21" customHeight="1">
      <x:c r="A1355" s="7" t="n">
        <x:v>1350</x:v>
      </x:c>
      <x:c r="B1355" s="2" t="str">
        <x:v>TXN-01350</x:v>
      </x:c>
      <x:c r="C1355" s="8" t="d">
        <x:v>2025-12-29T00:00:00.000Z</x:v>
      </x:c>
      <x:c r="D1355" s="2" t="str">
        <x:v>Abuja</x:v>
      </x:c>
      <x:c r="E1355" s="2" t="str">
        <x:v>Electronics</x:v>
      </x:c>
      <x:c r="F1355" s="2" t="str">
        <x:v>Bluetooth speaker</x:v>
      </x:c>
      <x:c r="G1355" s="2" t="str">
        <x:v>In-store</x:v>
      </x:c>
      <x:c r="H1355" s="7" t="n">
        <x:v>1</x:v>
      </x:c>
      <x:c r="I1355" s="9" t="n">
        <x:v>26000</x:v>
      </x:c>
      <x:c r="J1355" s="9" t="n">
        <x:v>17000</x:v>
      </x:c>
      <x:c r="K1355" s="10" t="n">
        <x:v>0</x:v>
      </x:c>
      <x:c r="L1355" s="2" t="str">
        <x:v>Completed</x:v>
      </x:c>
      <x:c r="M1355" s="12" t="n">
        <x:f>H1355*I1355</x:f>
        <x:v>26000</x:v>
      </x:c>
      <x:c r="N1355" s="12" t="n">
        <x:f>IF(L1355="Completed",ROUND(M1355*(1-K1355),2),0)</x:f>
        <x:v>26000</x:v>
      </x:c>
      <x:c r="O1355" s="12" t="n">
        <x:f>IF(L1355="Completed",H1355*J1355,0)</x:f>
        <x:v>17000</x:v>
      </x:c>
      <x:c r="P1355" s="12" t="n">
        <x:f>N1355-O1355</x:f>
        <x:v>9000</x:v>
      </x:c>
    </x:row>
    <x:row r="1356" ht="21" customHeight="1">
      <x:c r="A1356" s="7" t="n">
        <x:v>1351</x:v>
      </x:c>
      <x:c r="B1356" s="2" t="str">
        <x:v>TXN-01351</x:v>
      </x:c>
      <x:c r="C1356" s="8" t="d">
        <x:v>2025-12-31T00:00:00.000Z</x:v>
      </x:c>
      <x:c r="D1356" s="2" t="str">
        <x:v>Lagos</x:v>
      </x:c>
      <x:c r="E1356" s="2" t="str">
        <x:v>Electronics</x:v>
      </x:c>
      <x:c r="F1356" s="2" t="str">
        <x:v>Bluetooth speaker</x:v>
      </x:c>
      <x:c r="G1356" s="2" t="str">
        <x:v>In-store</x:v>
      </x:c>
      <x:c r="H1356" s="7" t="n">
        <x:v>2</x:v>
      </x:c>
      <x:c r="I1356" s="9" t="n">
        <x:v>26000</x:v>
      </x:c>
      <x:c r="J1356" s="9" t="n">
        <x:v>17000</x:v>
      </x:c>
      <x:c r="K1356" s="10" t="n">
        <x:v>0</x:v>
      </x:c>
      <x:c r="L1356" s="2" t="str">
        <x:v>Completed</x:v>
      </x:c>
      <x:c r="M1356" s="12" t="n">
        <x:f>H1356*I1356</x:f>
        <x:v>52000</x:v>
      </x:c>
      <x:c r="N1356" s="12" t="n">
        <x:f>IF(L1356="Completed",ROUND(M1356*(1-K1356),2),0)</x:f>
        <x:v>52000</x:v>
      </x:c>
      <x:c r="O1356" s="12" t="n">
        <x:f>IF(L1356="Completed",H1356*J1356,0)</x:f>
        <x:v>34000</x:v>
      </x:c>
      <x:c r="P1356" s="12" t="n">
        <x:f>N1356-O1356</x:f>
        <x:v>18000</x:v>
      </x:c>
    </x:row>
    <x:row r="1357" ht="21" customHeight="1">
      <x:c r="A1357" s="7" t="n">
        <x:v>1352</x:v>
      </x:c>
      <x:c r="B1357" s="2" t="str">
        <x:v>TXN-01352</x:v>
      </x:c>
      <x:c r="C1357" s="8" t="d">
        <x:v>2025-12-29T00:00:00.000Z</x:v>
      </x:c>
      <x:c r="D1357" s="2" t="str">
        <x:v>Lagos</x:v>
      </x:c>
      <x:c r="E1357" s="2" t="str">
        <x:v>Fashion</x:v>
      </x:c>
      <x:c r="F1357" s="2" t="str">
        <x:v>Handbag</x:v>
      </x:c>
      <x:c r="G1357" s="2" t="str">
        <x:v>Online</x:v>
      </x:c>
      <x:c r="H1357" s="7" t="n">
        <x:v>2</x:v>
      </x:c>
      <x:c r="I1357" s="9" t="n">
        <x:v>22000</x:v>
      </x:c>
      <x:c r="J1357" s="9" t="n">
        <x:v>13500</x:v>
      </x:c>
      <x:c r="K1357" s="10" t="n">
        <x:v>0</x:v>
      </x:c>
      <x:c r="L1357" s="2" t="str">
        <x:v>Completed</x:v>
      </x:c>
      <x:c r="M1357" s="12" t="n">
        <x:f>H1357*I1357</x:f>
        <x:v>44000</x:v>
      </x:c>
      <x:c r="N1357" s="12" t="n">
        <x:f>IF(L1357="Completed",ROUND(M1357*(1-K1357),2),0)</x:f>
        <x:v>44000</x:v>
      </x:c>
      <x:c r="O1357" s="12" t="n">
        <x:f>IF(L1357="Completed",H1357*J1357,0)</x:f>
        <x:v>27000</x:v>
      </x:c>
      <x:c r="P1357" s="12" t="n">
        <x:f>N1357-O1357</x:f>
        <x:v>17000</x:v>
      </x:c>
    </x:row>
    <x:row r="1358" ht="21" customHeight="1">
      <x:c r="A1358" s="7" t="n">
        <x:v>1353</x:v>
      </x:c>
      <x:c r="B1358" s="2" t="str">
        <x:v>TXN-01353</x:v>
      </x:c>
      <x:c r="C1358" s="8" t="d">
        <x:v>2025-12-16T00:00:00.000Z</x:v>
      </x:c>
      <x:c r="D1358" s="2" t="str">
        <x:v>Port Harcourt</x:v>
      </x:c>
      <x:c r="E1358" s="2" t="str">
        <x:v>Fashion</x:v>
      </x:c>
      <x:c r="F1358" s="2" t="str">
        <x:v>Sneakers</x:v>
      </x:c>
      <x:c r="G1358" s="2" t="str">
        <x:v>In-store</x:v>
      </x:c>
      <x:c r="H1358" s="7" t="n">
        <x:v>1</x:v>
      </x:c>
      <x:c r="I1358" s="9" t="n">
        <x:v>28000</x:v>
      </x:c>
      <x:c r="J1358" s="9" t="n">
        <x:v>17500</x:v>
      </x:c>
      <x:c r="K1358" s="10" t="n">
        <x:v>0</x:v>
      </x:c>
      <x:c r="L1358" s="2" t="str">
        <x:v>Completed</x:v>
      </x:c>
      <x:c r="M1358" s="12" t="n">
        <x:f>H1358*I1358</x:f>
        <x:v>28000</x:v>
      </x:c>
      <x:c r="N1358" s="12" t="n">
        <x:f>IF(L1358="Completed",ROUND(M1358*(1-K1358),2),0)</x:f>
        <x:v>28000</x:v>
      </x:c>
      <x:c r="O1358" s="12" t="n">
        <x:f>IF(L1358="Completed",H1358*J1358,0)</x:f>
        <x:v>17500</x:v>
      </x:c>
      <x:c r="P1358" s="12" t="n">
        <x:f>N1358-O1358</x:f>
        <x:v>10500</x:v>
      </x:c>
    </x:row>
    <x:row r="1359" ht="21" customHeight="1">
      <x:c r="A1359" s="7" t="n">
        <x:v>1354</x:v>
      </x:c>
      <x:c r="B1359" s="2" t="str">
        <x:v>TXN-01354</x:v>
      </x:c>
      <x:c r="C1359" s="8" t="d">
        <x:v>2025-12-13T00:00:00.000Z</x:v>
      </x:c>
      <x:c r="D1359" s="2" t="str">
        <x:v>Lagos</x:v>
      </x:c>
      <x:c r="E1359" s="2" t="str">
        <x:v>Fashion</x:v>
      </x:c>
      <x:c r="F1359" s="2" t="str">
        <x:v>T-shirt</x:v>
      </x:c>
      <x:c r="G1359" s="2" t="str">
        <x:v>Online</x:v>
      </x:c>
      <x:c r="H1359" s="7" t="n">
        <x:v>1</x:v>
      </x:c>
      <x:c r="I1359" s="9" t="n">
        <x:v>9000</x:v>
      </x:c>
      <x:c r="J1359" s="9" t="n">
        <x:v>5000</x:v>
      </x:c>
      <x:c r="K1359" s="10" t="n">
        <x:v>0.1</x:v>
      </x:c>
      <x:c r="L1359" s="2" t="str">
        <x:v>Returned</x:v>
      </x:c>
      <x:c r="M1359" s="12" t="n">
        <x:f>H1359*I1359</x:f>
        <x:v>9000</x:v>
      </x:c>
      <x:c r="N1359" s="12" t="n">
        <x:f>IF(L1359="Completed",ROUND(M1359*(1-K1359),2),0)</x:f>
        <x:v>0</x:v>
      </x:c>
      <x:c r="O1359" s="12" t="n">
        <x:f>IF(L1359="Completed",H1359*J1359,0)</x:f>
        <x:v>0</x:v>
      </x:c>
      <x:c r="P1359" s="12" t="n">
        <x:f>N1359-O1359</x:f>
        <x:v>0</x:v>
      </x:c>
    </x:row>
    <x:row r="1360" ht="21" customHeight="1">
      <x:c r="A1360" s="7" t="n">
        <x:v>1355</x:v>
      </x:c>
      <x:c r="B1360" s="2" t="str">
        <x:v>TXN-01355</x:v>
      </x:c>
      <x:c r="C1360" s="8" t="d">
        <x:v>2025-12-01T00:00:00.000Z</x:v>
      </x:c>
      <x:c r="D1360" s="2" t="str">
        <x:v>Lagos</x:v>
      </x:c>
      <x:c r="E1360" s="2" t="str">
        <x:v>Beauty</x:v>
      </x:c>
      <x:c r="F1360" s="2" t="str">
        <x:v>Moisturizer</x:v>
      </x:c>
      <x:c r="G1360" s="2" t="str">
        <x:v>Online</x:v>
      </x:c>
      <x:c r="H1360" s="7" t="n">
        <x:v>2</x:v>
      </x:c>
      <x:c r="I1360" s="9" t="n">
        <x:v>6500</x:v>
      </x:c>
      <x:c r="J1360" s="9" t="n">
        <x:v>3500</x:v>
      </x:c>
      <x:c r="K1360" s="10" t="n">
        <x:v>0</x:v>
      </x:c>
      <x:c r="L1360" s="2" t="str">
        <x:v>Completed</x:v>
      </x:c>
      <x:c r="M1360" s="12" t="n">
        <x:f>H1360*I1360</x:f>
        <x:v>13000</x:v>
      </x:c>
      <x:c r="N1360" s="12" t="n">
        <x:f>IF(L1360="Completed",ROUND(M1360*(1-K1360),2),0)</x:f>
        <x:v>13000</x:v>
      </x:c>
      <x:c r="O1360" s="12" t="n">
        <x:f>IF(L1360="Completed",H1360*J1360,0)</x:f>
        <x:v>7000</x:v>
      </x:c>
      <x:c r="P1360" s="12" t="n">
        <x:f>N1360-O1360</x:f>
        <x:v>6000</x:v>
      </x:c>
    </x:row>
    <x:row r="1361" ht="21" customHeight="1">
      <x:c r="A1361" s="7" t="n">
        <x:v>1356</x:v>
      </x:c>
      <x:c r="B1361" s="2" t="str">
        <x:v>TXN-01356</x:v>
      </x:c>
      <x:c r="C1361" s="8" t="d">
        <x:v>2025-12-18T00:00:00.000Z</x:v>
      </x:c>
      <x:c r="D1361" s="2" t="str">
        <x:v>Abuja</x:v>
      </x:c>
      <x:c r="E1361" s="2" t="str">
        <x:v>Fashion</x:v>
      </x:c>
      <x:c r="F1361" s="2" t="str">
        <x:v>T-shirt</x:v>
      </x:c>
      <x:c r="G1361" s="2" t="str">
        <x:v>Online</x:v>
      </x:c>
      <x:c r="H1361" s="7" t="n">
        <x:v>1</x:v>
      </x:c>
      <x:c r="I1361" s="9" t="n">
        <x:v>9000</x:v>
      </x:c>
      <x:c r="J1361" s="9" t="n">
        <x:v>5000</x:v>
      </x:c>
      <x:c r="K1361" s="10" t="n">
        <x:v>0.15</x:v>
      </x:c>
      <x:c r="L1361" s="2" t="str">
        <x:v>Completed</x:v>
      </x:c>
      <x:c r="M1361" s="12" t="n">
        <x:f>H1361*I1361</x:f>
        <x:v>9000</x:v>
      </x:c>
      <x:c r="N1361" s="12" t="n">
        <x:f>IF(L1361="Completed",ROUND(M1361*(1-K1361),2),0)</x:f>
        <x:v>7650</x:v>
      </x:c>
      <x:c r="O1361" s="12" t="n">
        <x:f>IF(L1361="Completed",H1361*J1361,0)</x:f>
        <x:v>5000</x:v>
      </x:c>
      <x:c r="P1361" s="12" t="n">
        <x:f>N1361-O1361</x:f>
        <x:v>2650</x:v>
      </x:c>
    </x:row>
    <x:row r="1362" ht="21" customHeight="1">
      <x:c r="A1362" s="7" t="n">
        <x:v>1357</x:v>
      </x:c>
      <x:c r="B1362" s="2" t="str">
        <x:v>TXN-01357</x:v>
      </x:c>
      <x:c r="C1362" s="8" t="d">
        <x:v>2025-12-22T00:00:00.000Z</x:v>
      </x:c>
      <x:c r="D1362" s="2" t="str">
        <x:v>Abuja</x:v>
      </x:c>
      <x:c r="E1362" s="2" t="str">
        <x:v>Beauty</x:v>
      </x:c>
      <x:c r="F1362" s="2" t="str">
        <x:v>Perfume</x:v>
      </x:c>
      <x:c r="G1362" s="2" t="str">
        <x:v>In-store</x:v>
      </x:c>
      <x:c r="H1362" s="7" t="n">
        <x:v>1</x:v>
      </x:c>
      <x:c r="I1362" s="9" t="n">
        <x:v>17000</x:v>
      </x:c>
      <x:c r="J1362" s="9" t="n">
        <x:v>9000</x:v>
      </x:c>
      <x:c r="K1362" s="10" t="n">
        <x:v>0</x:v>
      </x:c>
      <x:c r="L1362" s="2" t="str">
        <x:v>Completed</x:v>
      </x:c>
      <x:c r="M1362" s="12" t="n">
        <x:f>H1362*I1362</x:f>
        <x:v>17000</x:v>
      </x:c>
      <x:c r="N1362" s="12" t="n">
        <x:f>IF(L1362="Completed",ROUND(M1362*(1-K1362),2),0)</x:f>
        <x:v>17000</x:v>
      </x:c>
      <x:c r="O1362" s="12" t="n">
        <x:f>IF(L1362="Completed",H1362*J1362,0)</x:f>
        <x:v>9000</x:v>
      </x:c>
      <x:c r="P1362" s="12" t="n">
        <x:f>N1362-O1362</x:f>
        <x:v>8000</x:v>
      </x:c>
    </x:row>
    <x:row r="1363" ht="21" customHeight="1">
      <x:c r="A1363" s="7" t="n">
        <x:v>1358</x:v>
      </x:c>
      <x:c r="B1363" s="2" t="str">
        <x:v>TXN-01358</x:v>
      </x:c>
      <x:c r="C1363" s="8" t="d">
        <x:v>2025-12-21T00:00:00.000Z</x:v>
      </x:c>
      <x:c r="D1363" s="2" t="str">
        <x:v>Unknown</x:v>
      </x:c>
      <x:c r="E1363" s="2" t="str">
        <x:v>Fashion</x:v>
      </x:c>
      <x:c r="F1363" s="2" t="str">
        <x:v>T-shirt</x:v>
      </x:c>
      <x:c r="G1363" s="2" t="str">
        <x:v>In-store</x:v>
      </x:c>
      <x:c r="H1363" s="7" t="n">
        <x:v>2</x:v>
      </x:c>
      <x:c r="I1363" s="9" t="n">
        <x:v>9000</x:v>
      </x:c>
      <x:c r="J1363" s="9" t="n">
        <x:v>5000</x:v>
      </x:c>
      <x:c r="K1363" s="10" t="n">
        <x:v>0</x:v>
      </x:c>
      <x:c r="L1363" s="2" t="str">
        <x:v>Completed</x:v>
      </x:c>
      <x:c r="M1363" s="12" t="n">
        <x:f>H1363*I1363</x:f>
        <x:v>18000</x:v>
      </x:c>
      <x:c r="N1363" s="12" t="n">
        <x:f>IF(L1363="Completed",ROUND(M1363*(1-K1363),2),0)</x:f>
        <x:v>18000</x:v>
      </x:c>
      <x:c r="O1363" s="12" t="n">
        <x:f>IF(L1363="Completed",H1363*J1363,0)</x:f>
        <x:v>10000</x:v>
      </x:c>
      <x:c r="P1363" s="12" t="n">
        <x:f>N1363-O1363</x:f>
        <x:v>8000</x:v>
      </x:c>
    </x:row>
    <x:row r="1364" ht="21" customHeight="1">
      <x:c r="A1364" s="7" t="n">
        <x:v>1359</x:v>
      </x:c>
      <x:c r="B1364" s="2" t="str">
        <x:v>TXN-01359</x:v>
      </x:c>
      <x:c r="C1364" s="8" t="d">
        <x:v>2025-12-04T00:00:00.000Z</x:v>
      </x:c>
      <x:c r="D1364" s="2" t="str">
        <x:v>Abuja</x:v>
      </x:c>
      <x:c r="E1364" s="2" t="str">
        <x:v>Beauty</x:v>
      </x:c>
      <x:c r="F1364" s="2" t="str">
        <x:v>Perfume</x:v>
      </x:c>
      <x:c r="G1364" s="2" t="str">
        <x:v>Online</x:v>
      </x:c>
      <x:c r="H1364" s="7" t="n">
        <x:v>1</x:v>
      </x:c>
      <x:c r="I1364" s="9" t="n">
        <x:v>17000</x:v>
      </x:c>
      <x:c r="J1364" s="9" t="n">
        <x:v>9000</x:v>
      </x:c>
      <x:c r="K1364" s="10" t="n">
        <x:v>0.05</x:v>
      </x:c>
      <x:c r="L1364" s="2" t="str">
        <x:v>Completed</x:v>
      </x:c>
      <x:c r="M1364" s="12" t="n">
        <x:f>H1364*I1364</x:f>
        <x:v>17000</x:v>
      </x:c>
      <x:c r="N1364" s="12" t="n">
        <x:f>IF(L1364="Completed",ROUND(M1364*(1-K1364),2),0)</x:f>
        <x:v>16150</x:v>
      </x:c>
      <x:c r="O1364" s="12" t="n">
        <x:f>IF(L1364="Completed",H1364*J1364,0)</x:f>
        <x:v>9000</x:v>
      </x:c>
      <x:c r="P1364" s="12" t="n">
        <x:f>N1364-O1364</x:f>
        <x:v>7150</x:v>
      </x:c>
    </x:row>
    <x:row r="1365" ht="21" customHeight="1">
      <x:c r="A1365" s="7" t="n">
        <x:v>1360</x:v>
      </x:c>
      <x:c r="B1365" s="2" t="str">
        <x:v>TXN-01360</x:v>
      </x:c>
      <x:c r="C1365" s="8" t="d">
        <x:v>2025-12-06T00:00:00.000Z</x:v>
      </x:c>
      <x:c r="D1365" s="2" t="str">
        <x:v>Port Harcourt</x:v>
      </x:c>
      <x:c r="E1365" s="2" t="str">
        <x:v>Electronics</x:v>
      </x:c>
      <x:c r="F1365" s="2" t="str">
        <x:v>Power bank</x:v>
      </x:c>
      <x:c r="G1365" s="2" t="str">
        <x:v>In-store</x:v>
      </x:c>
      <x:c r="H1365" s="7" t="n">
        <x:v>1</x:v>
      </x:c>
      <x:c r="I1365" s="9" t="n">
        <x:v>15000</x:v>
      </x:c>
      <x:c r="J1365" s="9" t="n">
        <x:v>9500</x:v>
      </x:c>
      <x:c r="K1365" s="10" t="n">
        <x:v>0</x:v>
      </x:c>
      <x:c r="L1365" s="2" t="str">
        <x:v>Completed</x:v>
      </x:c>
      <x:c r="M1365" s="12" t="n">
        <x:f>H1365*I1365</x:f>
        <x:v>15000</x:v>
      </x:c>
      <x:c r="N1365" s="12" t="n">
        <x:f>IF(L1365="Completed",ROUND(M1365*(1-K1365),2),0)</x:f>
        <x:v>15000</x:v>
      </x:c>
      <x:c r="O1365" s="12" t="n">
        <x:f>IF(L1365="Completed",H1365*J1365,0)</x:f>
        <x:v>9500</x:v>
      </x:c>
      <x:c r="P1365" s="12" t="n">
        <x:f>N1365-O1365</x:f>
        <x:v>5500</x:v>
      </x:c>
    </x:row>
    <x:row r="1366" ht="21" customHeight="1">
      <x:c r="A1366" s="7" t="n">
        <x:v>1361</x:v>
      </x:c>
      <x:c r="B1366" s="2" t="str">
        <x:v>TXN-01361</x:v>
      </x:c>
      <x:c r="C1366" s="8" t="d">
        <x:v>2025-12-18T00:00:00.000Z</x:v>
      </x:c>
      <x:c r="D1366" s="2" t="str">
        <x:v>Abuja</x:v>
      </x:c>
      <x:c r="E1366" s="2" t="str">
        <x:v>Electronics</x:v>
      </x:c>
      <x:c r="F1366" s="2" t="str">
        <x:v>Headphones</x:v>
      </x:c>
      <x:c r="G1366" s="2" t="str">
        <x:v>Online</x:v>
      </x:c>
      <x:c r="H1366" s="7" t="n">
        <x:v>1</x:v>
      </x:c>
      <x:c r="I1366" s="9" t="n">
        <x:v>18000</x:v>
      </x:c>
      <x:c r="J1366" s="9" t="n">
        <x:v>10500</x:v>
      </x:c>
      <x:c r="K1366" s="10" t="n">
        <x:v>0.1</x:v>
      </x:c>
      <x:c r="L1366" s="2" t="str">
        <x:v>Completed</x:v>
      </x:c>
      <x:c r="M1366" s="12" t="n">
        <x:f>H1366*I1366</x:f>
        <x:v>18000</x:v>
      </x:c>
      <x:c r="N1366" s="12" t="n">
        <x:f>IF(L1366="Completed",ROUND(M1366*(1-K1366),2),0)</x:f>
        <x:v>16200</x:v>
      </x:c>
      <x:c r="O1366" s="12" t="n">
        <x:f>IF(L1366="Completed",H1366*J1366,0)</x:f>
        <x:v>10500</x:v>
      </x:c>
      <x:c r="P1366" s="12" t="n">
        <x:f>N1366-O1366</x:f>
        <x:v>5700</x:v>
      </x:c>
    </x:row>
    <x:row r="1367" ht="21" customHeight="1">
      <x:c r="A1367" s="7" t="n">
        <x:v>1362</x:v>
      </x:c>
      <x:c r="B1367" s="2" t="str">
        <x:v>TXN-01362</x:v>
      </x:c>
      <x:c r="C1367" s="8" t="d">
        <x:v>2025-12-23T00:00:00.000Z</x:v>
      </x:c>
      <x:c r="D1367" s="2" t="str">
        <x:v>Lagos</x:v>
      </x:c>
      <x:c r="E1367" s="2" t="str">
        <x:v>Fashion</x:v>
      </x:c>
      <x:c r="F1367" s="2" t="str">
        <x:v>Handbag</x:v>
      </x:c>
      <x:c r="G1367" s="2" t="str">
        <x:v>Online</x:v>
      </x:c>
      <x:c r="H1367" s="7" t="n">
        <x:v>3</x:v>
      </x:c>
      <x:c r="I1367" s="9" t="n">
        <x:v>22000</x:v>
      </x:c>
      <x:c r="J1367" s="9" t="n">
        <x:v>13500</x:v>
      </x:c>
      <x:c r="K1367" s="10" t="n">
        <x:v>0.05</x:v>
      </x:c>
      <x:c r="L1367" s="2" t="str">
        <x:v>Completed</x:v>
      </x:c>
      <x:c r="M1367" s="12" t="n">
        <x:f>H1367*I1367</x:f>
        <x:v>66000</x:v>
      </x:c>
      <x:c r="N1367" s="12" t="n">
        <x:f>IF(L1367="Completed",ROUND(M1367*(1-K1367),2),0)</x:f>
        <x:v>62700</x:v>
      </x:c>
      <x:c r="O1367" s="12" t="n">
        <x:f>IF(L1367="Completed",H1367*J1367,0)</x:f>
        <x:v>40500</x:v>
      </x:c>
      <x:c r="P1367" s="12" t="n">
        <x:f>N1367-O1367</x:f>
        <x:v>22200</x:v>
      </x:c>
    </x:row>
    <x:row r="1368" ht="21" customHeight="1">
      <x:c r="A1368" s="7" t="n">
        <x:v>1363</x:v>
      </x:c>
      <x:c r="B1368" s="2" t="str">
        <x:v>TXN-01363</x:v>
      </x:c>
      <x:c r="C1368" s="8" t="d">
        <x:v>2025-12-30T00:00:00.000Z</x:v>
      </x:c>
      <x:c r="D1368" s="2" t="str">
        <x:v>Abuja</x:v>
      </x:c>
      <x:c r="E1368" s="2" t="str">
        <x:v>Fashion</x:v>
      </x:c>
      <x:c r="F1368" s="2" t="str">
        <x:v>Handbag</x:v>
      </x:c>
      <x:c r="G1368" s="2" t="str">
        <x:v>Online</x:v>
      </x:c>
      <x:c r="H1368" s="7" t="n">
        <x:v>2</x:v>
      </x:c>
      <x:c r="I1368" s="9" t="n">
        <x:v>22000</x:v>
      </x:c>
      <x:c r="J1368" s="9" t="n">
        <x:v>13500</x:v>
      </x:c>
      <x:c r="K1368" s="10" t="n">
        <x:v>0</x:v>
      </x:c>
      <x:c r="L1368" s="2" t="str">
        <x:v>Completed</x:v>
      </x:c>
      <x:c r="M1368" s="12" t="n">
        <x:f>H1368*I1368</x:f>
        <x:v>44000</x:v>
      </x:c>
      <x:c r="N1368" s="12" t="n">
        <x:f>IF(L1368="Completed",ROUND(M1368*(1-K1368),2),0)</x:f>
        <x:v>44000</x:v>
      </x:c>
      <x:c r="O1368" s="12" t="n">
        <x:f>IF(L1368="Completed",H1368*J1368,0)</x:f>
        <x:v>27000</x:v>
      </x:c>
      <x:c r="P1368" s="12" t="n">
        <x:f>N1368-O1368</x:f>
        <x:v>17000</x:v>
      </x:c>
    </x:row>
    <x:row r="1369" ht="21" customHeight="1">
      <x:c r="A1369" s="7" t="n">
        <x:v>1364</x:v>
      </x:c>
      <x:c r="B1369" s="2" t="str">
        <x:v>TXN-01364</x:v>
      </x:c>
      <x:c r="C1369" s="8" t="d">
        <x:v>2025-12-20T00:00:00.000Z</x:v>
      </x:c>
      <x:c r="D1369" s="2" t="str">
        <x:v>Abuja</x:v>
      </x:c>
      <x:c r="E1369" s="2" t="str">
        <x:v>Electronics</x:v>
      </x:c>
      <x:c r="F1369" s="2" t="str">
        <x:v>Headphones</x:v>
      </x:c>
      <x:c r="G1369" s="2" t="str">
        <x:v>Online</x:v>
      </x:c>
      <x:c r="H1369" s="7" t="n">
        <x:v>1</x:v>
      </x:c>
      <x:c r="I1369" s="9" t="n">
        <x:v>18000</x:v>
      </x:c>
      <x:c r="J1369" s="9" t="n">
        <x:v>10500</x:v>
      </x:c>
      <x:c r="K1369" s="10" t="n">
        <x:v>0.1</x:v>
      </x:c>
      <x:c r="L1369" s="2" t="str">
        <x:v>Completed</x:v>
      </x:c>
      <x:c r="M1369" s="12" t="n">
        <x:f>H1369*I1369</x:f>
        <x:v>18000</x:v>
      </x:c>
      <x:c r="N1369" s="12" t="n">
        <x:f>IF(L1369="Completed",ROUND(M1369*(1-K1369),2),0)</x:f>
        <x:v>16200</x:v>
      </x:c>
      <x:c r="O1369" s="12" t="n">
        <x:f>IF(L1369="Completed",H1369*J1369,0)</x:f>
        <x:v>10500</x:v>
      </x:c>
      <x:c r="P1369" s="12" t="n">
        <x:f>N1369-O1369</x:f>
        <x:v>5700</x:v>
      </x:c>
    </x:row>
    <x:row r="1370" ht="21" customHeight="1">
      <x:c r="A1370" s="7" t="n">
        <x:v>1365</x:v>
      </x:c>
      <x:c r="B1370" s="2" t="str">
        <x:v>TXN-01365</x:v>
      </x:c>
      <x:c r="C1370" s="8" t="d">
        <x:v>2025-12-31T00:00:00.000Z</x:v>
      </x:c>
      <x:c r="D1370" s="2" t="str">
        <x:v>Lagos</x:v>
      </x:c>
      <x:c r="E1370" s="2" t="str">
        <x:v>Beauty</x:v>
      </x:c>
      <x:c r="F1370" s="2" t="str">
        <x:v>Perfume</x:v>
      </x:c>
      <x:c r="G1370" s="2" t="str">
        <x:v>Online</x:v>
      </x:c>
      <x:c r="H1370" s="7" t="n">
        <x:v>1</x:v>
      </x:c>
      <x:c r="I1370" s="9" t="n">
        <x:v>17000</x:v>
      </x:c>
      <x:c r="J1370" s="9" t="n">
        <x:v>9000</x:v>
      </x:c>
      <x:c r="K1370" s="10" t="n">
        <x:v>0</x:v>
      </x:c>
      <x:c r="L1370" s="2" t="str">
        <x:v>Completed</x:v>
      </x:c>
      <x:c r="M1370" s="12" t="n">
        <x:f>H1370*I1370</x:f>
        <x:v>17000</x:v>
      </x:c>
      <x:c r="N1370" s="12" t="n">
        <x:f>IF(L1370="Completed",ROUND(M1370*(1-K1370),2),0)</x:f>
        <x:v>17000</x:v>
      </x:c>
      <x:c r="O1370" s="12" t="n">
        <x:f>IF(L1370="Completed",H1370*J1370,0)</x:f>
        <x:v>9000</x:v>
      </x:c>
      <x:c r="P1370" s="12" t="n">
        <x:f>N1370-O1370</x:f>
        <x:v>8000</x:v>
      </x:c>
    </x:row>
    <x:row r="1371" ht="21" customHeight="1">
      <x:c r="A1371" s="7" t="n">
        <x:v>1366</x:v>
      </x:c>
      <x:c r="B1371" s="2" t="str">
        <x:v>TXN-01366</x:v>
      </x:c>
      <x:c r="C1371" s="8" t="d">
        <x:v>2025-12-18T00:00:00.000Z</x:v>
      </x:c>
      <x:c r="D1371" s="2" t="str">
        <x:v>Lagos</x:v>
      </x:c>
      <x:c r="E1371" s="2" t="str">
        <x:v>Electronics</x:v>
      </x:c>
      <x:c r="F1371" s="2" t="str">
        <x:v>Headphones</x:v>
      </x:c>
      <x:c r="G1371" s="2" t="str">
        <x:v>In-store</x:v>
      </x:c>
      <x:c r="H1371" s="7" t="n">
        <x:v>2</x:v>
      </x:c>
      <x:c r="I1371" s="9" t="n">
        <x:v>18000</x:v>
      </x:c>
      <x:c r="J1371" s="9" t="n">
        <x:v>10500</x:v>
      </x:c>
      <x:c r="K1371" s="10" t="n">
        <x:v>0.15</x:v>
      </x:c>
      <x:c r="L1371" s="2" t="str">
        <x:v>Completed</x:v>
      </x:c>
      <x:c r="M1371" s="12" t="n">
        <x:f>H1371*I1371</x:f>
        <x:v>36000</x:v>
      </x:c>
      <x:c r="N1371" s="12" t="n">
        <x:f>IF(L1371="Completed",ROUND(M1371*(1-K1371),2),0)</x:f>
        <x:v>30600</x:v>
      </x:c>
      <x:c r="O1371" s="12" t="n">
        <x:f>IF(L1371="Completed",H1371*J1371,0)</x:f>
        <x:v>21000</x:v>
      </x:c>
      <x:c r="P1371" s="12" t="n">
        <x:f>N1371-O1371</x:f>
        <x:v>9600</x:v>
      </x:c>
    </x:row>
    <x:row r="1372" ht="21" customHeight="1">
      <x:c r="A1372" s="7" t="n">
        <x:v>1367</x:v>
      </x:c>
      <x:c r="B1372" s="2" t="str">
        <x:v>TXN-01367</x:v>
      </x:c>
      <x:c r="C1372" s="8" t="d">
        <x:v>2025-12-21T00:00:00.000Z</x:v>
      </x:c>
      <x:c r="D1372" s="2" t="str">
        <x:v>Port Harcourt</x:v>
      </x:c>
      <x:c r="E1372" s="2" t="str">
        <x:v>Beauty</x:v>
      </x:c>
      <x:c r="F1372" s="2" t="str">
        <x:v>Body wash</x:v>
      </x:c>
      <x:c r="G1372" s="2" t="str">
        <x:v>Online</x:v>
      </x:c>
      <x:c r="H1372" s="7" t="n">
        <x:v>1</x:v>
      </x:c>
      <x:c r="I1372" s="9" t="n">
        <x:v>4500</x:v>
      </x:c>
      <x:c r="J1372" s="9" t="n">
        <x:v>2300</x:v>
      </x:c>
      <x:c r="K1372" s="10" t="n">
        <x:v>0</x:v>
      </x:c>
      <x:c r="L1372" s="2" t="str">
        <x:v>Completed</x:v>
      </x:c>
      <x:c r="M1372" s="12" t="n">
        <x:f>H1372*I1372</x:f>
        <x:v>4500</x:v>
      </x:c>
      <x:c r="N1372" s="12" t="n">
        <x:f>IF(L1372="Completed",ROUND(M1372*(1-K1372),2),0)</x:f>
        <x:v>4500</x:v>
      </x:c>
      <x:c r="O1372" s="12" t="n">
        <x:f>IF(L1372="Completed",H1372*J1372,0)</x:f>
        <x:v>2300</x:v>
      </x:c>
      <x:c r="P1372" s="12" t="n">
        <x:f>N1372-O1372</x:f>
        <x:v>2200</x:v>
      </x:c>
    </x:row>
    <x:row r="1373" ht="21" customHeight="1">
      <x:c r="A1373" s="7" t="n">
        <x:v>1368</x:v>
      </x:c>
      <x:c r="B1373" s="2" t="str">
        <x:v>TXN-01368</x:v>
      </x:c>
      <x:c r="C1373" s="8" t="d">
        <x:v>2025-12-19T00:00:00.000Z</x:v>
      </x:c>
      <x:c r="D1373" s="2" t="str">
        <x:v>Lagos</x:v>
      </x:c>
      <x:c r="E1373" s="2" t="str">
        <x:v>Fashion</x:v>
      </x:c>
      <x:c r="F1373" s="2" t="str">
        <x:v>Sneakers</x:v>
      </x:c>
      <x:c r="G1373" s="2" t="str">
        <x:v>Online</x:v>
      </x:c>
      <x:c r="H1373" s="7" t="n">
        <x:v>1</x:v>
      </x:c>
      <x:c r="I1373" s="9" t="n">
        <x:v>28000</x:v>
      </x:c>
      <x:c r="J1373" s="9" t="n">
        <x:v>17500</x:v>
      </x:c>
      <x:c r="K1373" s="10" t="n">
        <x:v>0</x:v>
      </x:c>
      <x:c r="L1373" s="2" t="str">
        <x:v>Completed</x:v>
      </x:c>
      <x:c r="M1373" s="12" t="n">
        <x:f>H1373*I1373</x:f>
        <x:v>28000</x:v>
      </x:c>
      <x:c r="N1373" s="12" t="n">
        <x:f>IF(L1373="Completed",ROUND(M1373*(1-K1373),2),0)</x:f>
        <x:v>28000</x:v>
      </x:c>
      <x:c r="O1373" s="12" t="n">
        <x:f>IF(L1373="Completed",H1373*J1373,0)</x:f>
        <x:v>17500</x:v>
      </x:c>
      <x:c r="P1373" s="12" t="n">
        <x:f>N1373-O1373</x:f>
        <x:v>10500</x:v>
      </x:c>
    </x:row>
    <x:row r="1374" ht="21" customHeight="1">
      <x:c r="A1374" s="7" t="n">
        <x:v>1369</x:v>
      </x:c>
      <x:c r="B1374" s="2" t="str">
        <x:v>TXN-01369</x:v>
      </x:c>
      <x:c r="C1374" s="8" t="d">
        <x:v>2025-12-09T00:00:00.000Z</x:v>
      </x:c>
      <x:c r="D1374" s="2" t="str">
        <x:v>Port Harcourt</x:v>
      </x:c>
      <x:c r="E1374" s="2" t="str">
        <x:v>Home</x:v>
      </x:c>
      <x:c r="F1374" s="2" t="str">
        <x:v>Cookware set</x:v>
      </x:c>
      <x:c r="G1374" s="2" t="str">
        <x:v>In-store</x:v>
      </x:c>
      <x:c r="H1374" s="7" t="n">
        <x:v>2</x:v>
      </x:c>
      <x:c r="I1374" s="9" t="n">
        <x:v>35000</x:v>
      </x:c>
      <x:c r="J1374" s="9" t="n">
        <x:v>22500</x:v>
      </x:c>
      <x:c r="K1374" s="10" t="n">
        <x:v>0.05</x:v>
      </x:c>
      <x:c r="L1374" s="2" t="str">
        <x:v>Completed</x:v>
      </x:c>
      <x:c r="M1374" s="12" t="n">
        <x:f>H1374*I1374</x:f>
        <x:v>70000</x:v>
      </x:c>
      <x:c r="N1374" s="12" t="n">
        <x:f>IF(L1374="Completed",ROUND(M1374*(1-K1374),2),0)</x:f>
        <x:v>66500</x:v>
      </x:c>
      <x:c r="O1374" s="12" t="n">
        <x:f>IF(L1374="Completed",H1374*J1374,0)</x:f>
        <x:v>45000</x:v>
      </x:c>
      <x:c r="P1374" s="12" t="n">
        <x:f>N1374-O1374</x:f>
        <x:v>21500</x:v>
      </x:c>
    </x:row>
    <x:row r="1375" ht="21" customHeight="1">
      <x:c r="A1375" s="7" t="n">
        <x:v>1370</x:v>
      </x:c>
      <x:c r="B1375" s="2" t="str">
        <x:v>TXN-01370</x:v>
      </x:c>
      <x:c r="C1375" s="8" t="d">
        <x:v>2025-12-13T00:00:00.000Z</x:v>
      </x:c>
      <x:c r="D1375" s="2" t="str">
        <x:v>Lagos</x:v>
      </x:c>
      <x:c r="E1375" s="2" t="str">
        <x:v>Fashion</x:v>
      </x:c>
      <x:c r="F1375" s="2" t="str">
        <x:v>Handbag</x:v>
      </x:c>
      <x:c r="G1375" s="2" t="str">
        <x:v>In-store</x:v>
      </x:c>
      <x:c r="H1375" s="7" t="n">
        <x:v>3</x:v>
      </x:c>
      <x:c r="I1375" s="9" t="n">
        <x:v>22000</x:v>
      </x:c>
      <x:c r="J1375" s="9" t="n">
        <x:v>13500</x:v>
      </x:c>
      <x:c r="K1375" s="10" t="n">
        <x:v>0</x:v>
      </x:c>
      <x:c r="L1375" s="2" t="str">
        <x:v>Completed</x:v>
      </x:c>
      <x:c r="M1375" s="12" t="n">
        <x:f>H1375*I1375</x:f>
        <x:v>66000</x:v>
      </x:c>
      <x:c r="N1375" s="12" t="n">
        <x:f>IF(L1375="Completed",ROUND(M1375*(1-K1375),2),0)</x:f>
        <x:v>66000</x:v>
      </x:c>
      <x:c r="O1375" s="12" t="n">
        <x:f>IF(L1375="Completed",H1375*J1375,0)</x:f>
        <x:v>40500</x:v>
      </x:c>
      <x:c r="P1375" s="12" t="n">
        <x:f>N1375-O1375</x:f>
        <x:v>25500</x:v>
      </x:c>
    </x:row>
    <x:row r="1376" ht="21" customHeight="1">
      <x:c r="A1376" s="7" t="n">
        <x:v>1371</x:v>
      </x:c>
      <x:c r="B1376" s="2" t="str">
        <x:v>TXN-01371</x:v>
      </x:c>
      <x:c r="C1376" s="8" t="d">
        <x:v>2025-12-22T00:00:00.000Z</x:v>
      </x:c>
      <x:c r="D1376" s="2" t="str">
        <x:v>Lagos</x:v>
      </x:c>
      <x:c r="E1376" s="2" t="str">
        <x:v>Beauty</x:v>
      </x:c>
      <x:c r="F1376" s="2" t="str">
        <x:v>Perfume</x:v>
      </x:c>
      <x:c r="G1376" s="2" t="str">
        <x:v>Online</x:v>
      </x:c>
      <x:c r="H1376" s="7" t="n">
        <x:v>1</x:v>
      </x:c>
      <x:c r="I1376" s="9" t="n">
        <x:v>17000</x:v>
      </x:c>
      <x:c r="J1376" s="9" t="n">
        <x:v>9000</x:v>
      </x:c>
      <x:c r="K1376" s="10" t="n">
        <x:v>0.1</x:v>
      </x:c>
      <x:c r="L1376" s="2" t="str">
        <x:v>Completed</x:v>
      </x:c>
      <x:c r="M1376" s="12" t="n">
        <x:f>H1376*I1376</x:f>
        <x:v>17000</x:v>
      </x:c>
      <x:c r="N1376" s="12" t="n">
        <x:f>IF(L1376="Completed",ROUND(M1376*(1-K1376),2),0)</x:f>
        <x:v>15300</x:v>
      </x:c>
      <x:c r="O1376" s="12" t="n">
        <x:f>IF(L1376="Completed",H1376*J1376,0)</x:f>
        <x:v>9000</x:v>
      </x:c>
      <x:c r="P1376" s="12" t="n">
        <x:f>N1376-O1376</x:f>
        <x:v>6300</x:v>
      </x:c>
    </x:row>
    <x:row r="1377" ht="21" customHeight="1">
      <x:c r="A1377" s="7" t="n">
        <x:v>1372</x:v>
      </x:c>
      <x:c r="B1377" s="2" t="str">
        <x:v>TXN-01372</x:v>
      </x:c>
      <x:c r="C1377" s="8" t="d">
        <x:v>2025-12-23T00:00:00.000Z</x:v>
      </x:c>
      <x:c r="D1377" s="2" t="str">
        <x:v>Port Harcourt</x:v>
      </x:c>
      <x:c r="E1377" s="2" t="str">
        <x:v>Home</x:v>
      </x:c>
      <x:c r="F1377" s="2" t="str">
        <x:v>Desk lamp</x:v>
      </x:c>
      <x:c r="G1377" s="2" t="str">
        <x:v>Online</x:v>
      </x:c>
      <x:c r="H1377" s="7" t="n">
        <x:v>3</x:v>
      </x:c>
      <x:c r="I1377" s="9" t="n">
        <x:v>12000</x:v>
      </x:c>
      <x:c r="J1377" s="9" t="n">
        <x:v>7200</x:v>
      </x:c>
      <x:c r="K1377" s="10" t="n">
        <x:v>0</x:v>
      </x:c>
      <x:c r="L1377" s="2" t="str">
        <x:v>Completed</x:v>
      </x:c>
      <x:c r="M1377" s="12" t="n">
        <x:f>H1377*I1377</x:f>
        <x:v>36000</x:v>
      </x:c>
      <x:c r="N1377" s="12" t="n">
        <x:f>IF(L1377="Completed",ROUND(M1377*(1-K1377),2),0)</x:f>
        <x:v>36000</x:v>
      </x:c>
      <x:c r="O1377" s="12" t="n">
        <x:f>IF(L1377="Completed",H1377*J1377,0)</x:f>
        <x:v>21600</x:v>
      </x:c>
      <x:c r="P1377" s="12" t="n">
        <x:f>N1377-O1377</x:f>
        <x:v>14400</x:v>
      </x:c>
    </x:row>
    <x:row r="1378" ht="21" customHeight="1">
      <x:c r="A1378" s="7" t="n">
        <x:v>1373</x:v>
      </x:c>
      <x:c r="B1378" s="2" t="str">
        <x:v>TXN-01373</x:v>
      </x:c>
      <x:c r="C1378" s="8" t="d">
        <x:v>2025-12-27T00:00:00.000Z</x:v>
      </x:c>
      <x:c r="D1378" s="2" t="str">
        <x:v>Kano</x:v>
      </x:c>
      <x:c r="E1378" s="2" t="str">
        <x:v>Fashion</x:v>
      </x:c>
      <x:c r="F1378" s="2" t="str">
        <x:v>Sneakers</x:v>
      </x:c>
      <x:c r="G1378" s="2" t="str">
        <x:v>In-store</x:v>
      </x:c>
      <x:c r="H1378" s="7" t="n">
        <x:v>2</x:v>
      </x:c>
      <x:c r="I1378" s="9" t="n">
        <x:v>28000</x:v>
      </x:c>
      <x:c r="J1378" s="9" t="n">
        <x:v>17500</x:v>
      </x:c>
      <x:c r="K1378" s="10" t="n">
        <x:v>0</x:v>
      </x:c>
      <x:c r="L1378" s="2" t="str">
        <x:v>Completed</x:v>
      </x:c>
      <x:c r="M1378" s="12" t="n">
        <x:f>H1378*I1378</x:f>
        <x:v>56000</x:v>
      </x:c>
      <x:c r="N1378" s="12" t="n">
        <x:f>IF(L1378="Completed",ROUND(M1378*(1-K1378),2),0)</x:f>
        <x:v>56000</x:v>
      </x:c>
      <x:c r="O1378" s="12" t="n">
        <x:f>IF(L1378="Completed",H1378*J1378,0)</x:f>
        <x:v>35000</x:v>
      </x:c>
      <x:c r="P1378" s="12" t="n">
        <x:f>N1378-O1378</x:f>
        <x:v>21000</x:v>
      </x:c>
    </x:row>
    <x:row r="1379" ht="21" customHeight="1">
      <x:c r="A1379" s="7" t="n">
        <x:v>1374</x:v>
      </x:c>
      <x:c r="B1379" s="2" t="str">
        <x:v>TXN-01374</x:v>
      </x:c>
      <x:c r="C1379" s="8" t="d">
        <x:v>2025-12-15T00:00:00.000Z</x:v>
      </x:c>
      <x:c r="D1379" s="2" t="str">
        <x:v>Lagos</x:v>
      </x:c>
      <x:c r="E1379" s="2" t="str">
        <x:v>Beauty</x:v>
      </x:c>
      <x:c r="F1379" s="2" t="str">
        <x:v>Perfume</x:v>
      </x:c>
      <x:c r="G1379" s="2" t="str">
        <x:v>In-store</x:v>
      </x:c>
      <x:c r="H1379" s="7" t="n">
        <x:v>3</x:v>
      </x:c>
      <x:c r="I1379" s="9" t="n">
        <x:v>17000</x:v>
      </x:c>
      <x:c r="J1379" s="9" t="n">
        <x:v>9000</x:v>
      </x:c>
      <x:c r="K1379" s="10" t="n">
        <x:v>0.05</x:v>
      </x:c>
      <x:c r="L1379" s="2" t="str">
        <x:v>Completed</x:v>
      </x:c>
      <x:c r="M1379" s="12" t="n">
        <x:f>H1379*I1379</x:f>
        <x:v>51000</x:v>
      </x:c>
      <x:c r="N1379" s="12" t="n">
        <x:f>IF(L1379="Completed",ROUND(M1379*(1-K1379),2),0)</x:f>
        <x:v>48450</x:v>
      </x:c>
      <x:c r="O1379" s="12" t="n">
        <x:f>IF(L1379="Completed",H1379*J1379,0)</x:f>
        <x:v>27000</x:v>
      </x:c>
      <x:c r="P1379" s="12" t="n">
        <x:f>N1379-O1379</x:f>
        <x:v>21450</x:v>
      </x:c>
    </x:row>
    <x:row r="1380" ht="21" customHeight="1">
      <x:c r="A1380" s="7" t="n">
        <x:v>1375</x:v>
      </x:c>
      <x:c r="B1380" s="2" t="str">
        <x:v>TXN-01375</x:v>
      </x:c>
      <x:c r="C1380" s="8" t="d">
        <x:v>2025-12-06T00:00:00.000Z</x:v>
      </x:c>
      <x:c r="D1380" s="2" t="str">
        <x:v>Lagos</x:v>
      </x:c>
      <x:c r="E1380" s="2" t="str">
        <x:v>Electronics</x:v>
      </x:c>
      <x:c r="F1380" s="2" t="str">
        <x:v>Bluetooth speaker</x:v>
      </x:c>
      <x:c r="G1380" s="2" t="str">
        <x:v>Online</x:v>
      </x:c>
      <x:c r="H1380" s="7" t="n">
        <x:v>1</x:v>
      </x:c>
      <x:c r="I1380" s="9" t="n">
        <x:v>26000</x:v>
      </x:c>
      <x:c r="J1380" s="9" t="n">
        <x:v>17000</x:v>
      </x:c>
      <x:c r="K1380" s="10" t="n">
        <x:v>0.05</x:v>
      </x:c>
      <x:c r="L1380" s="2" t="str">
        <x:v>Completed</x:v>
      </x:c>
      <x:c r="M1380" s="12" t="n">
        <x:f>H1380*I1380</x:f>
        <x:v>26000</x:v>
      </x:c>
      <x:c r="N1380" s="12" t="n">
        <x:f>IF(L1380="Completed",ROUND(M1380*(1-K1380),2),0)</x:f>
        <x:v>24700</x:v>
      </x:c>
      <x:c r="O1380" s="12" t="n">
        <x:f>IF(L1380="Completed",H1380*J1380,0)</x:f>
        <x:v>17000</x:v>
      </x:c>
      <x:c r="P1380" s="12" t="n">
        <x:f>N1380-O1380</x:f>
        <x:v>7700</x:v>
      </x:c>
    </x:row>
    <x:row r="1381" ht="21" customHeight="1">
      <x:c r="A1381" s="7" t="n">
        <x:v>1376</x:v>
      </x:c>
      <x:c r="B1381" s="2" t="str">
        <x:v>TXN-01376</x:v>
      </x:c>
      <x:c r="C1381" s="8" t="d">
        <x:v>2025-12-27T00:00:00.000Z</x:v>
      </x:c>
      <x:c r="D1381" s="2" t="str">
        <x:v>Lagos</x:v>
      </x:c>
      <x:c r="E1381" s="2" t="str">
        <x:v>Electronics</x:v>
      </x:c>
      <x:c r="F1381" s="2" t="str">
        <x:v>Power bank</x:v>
      </x:c>
      <x:c r="G1381" s="2" t="str">
        <x:v>Online</x:v>
      </x:c>
      <x:c r="H1381" s="7" t="n">
        <x:v>2</x:v>
      </x:c>
      <x:c r="I1381" s="9" t="n">
        <x:v>15000</x:v>
      </x:c>
      <x:c r="J1381" s="9" t="n">
        <x:v>9500</x:v>
      </x:c>
      <x:c r="K1381" s="10" t="n">
        <x:v>0</x:v>
      </x:c>
      <x:c r="L1381" s="2" t="str">
        <x:v>Completed</x:v>
      </x:c>
      <x:c r="M1381" s="12" t="n">
        <x:f>H1381*I1381</x:f>
        <x:v>30000</x:v>
      </x:c>
      <x:c r="N1381" s="12" t="n">
        <x:f>IF(L1381="Completed",ROUND(M1381*(1-K1381),2),0)</x:f>
        <x:v>30000</x:v>
      </x:c>
      <x:c r="O1381" s="12" t="n">
        <x:f>IF(L1381="Completed",H1381*J1381,0)</x:f>
        <x:v>19000</x:v>
      </x:c>
      <x:c r="P1381" s="12" t="n">
        <x:f>N1381-O1381</x:f>
        <x:v>11000</x:v>
      </x:c>
    </x:row>
    <x:row r="1382" ht="21" customHeight="1">
      <x:c r="A1382" s="7" t="n">
        <x:v>1377</x:v>
      </x:c>
      <x:c r="B1382" s="2" t="str">
        <x:v>TXN-01377</x:v>
      </x:c>
      <x:c r="C1382" s="8" t="d">
        <x:v>2025-12-14T00:00:00.000Z</x:v>
      </x:c>
      <x:c r="D1382" s="2" t="str">
        <x:v>Lagos</x:v>
      </x:c>
      <x:c r="E1382" s="2" t="str">
        <x:v>Beauty</x:v>
      </x:c>
      <x:c r="F1382" s="2" t="str">
        <x:v>Body wash</x:v>
      </x:c>
      <x:c r="G1382" s="2" t="str">
        <x:v>In-store</x:v>
      </x:c>
      <x:c r="H1382" s="7" t="n">
        <x:v>2</x:v>
      </x:c>
      <x:c r="I1382" s="9" t="n">
        <x:v>4500</x:v>
      </x:c>
      <x:c r="J1382" s="9" t="n">
        <x:v>2300</x:v>
      </x:c>
      <x:c r="K1382" s="10" t="n">
        <x:v>0</x:v>
      </x:c>
      <x:c r="L1382" s="2" t="str">
        <x:v>Completed</x:v>
      </x:c>
      <x:c r="M1382" s="12" t="n">
        <x:f>H1382*I1382</x:f>
        <x:v>9000</x:v>
      </x:c>
      <x:c r="N1382" s="12" t="n">
        <x:f>IF(L1382="Completed",ROUND(M1382*(1-K1382),2),0)</x:f>
        <x:v>9000</x:v>
      </x:c>
      <x:c r="O1382" s="12" t="n">
        <x:f>IF(L1382="Completed",H1382*J1382,0)</x:f>
        <x:v>4600</x:v>
      </x:c>
      <x:c r="P1382" s="12" t="n">
        <x:f>N1382-O1382</x:f>
        <x:v>4400</x:v>
      </x:c>
    </x:row>
    <x:row r="1383" ht="21" customHeight="1">
      <x:c r="A1383" s="7" t="n">
        <x:v>1378</x:v>
      </x:c>
      <x:c r="B1383" s="2" t="str">
        <x:v>TXN-01378</x:v>
      </x:c>
      <x:c r="C1383" s="8" t="d">
        <x:v>2025-12-22T00:00:00.000Z</x:v>
      </x:c>
      <x:c r="D1383" s="2" t="str">
        <x:v>Abuja</x:v>
      </x:c>
      <x:c r="E1383" s="2" t="str">
        <x:v>Electronics</x:v>
      </x:c>
      <x:c r="F1383" s="2" t="str">
        <x:v>Headphones</x:v>
      </x:c>
      <x:c r="G1383" s="2" t="str">
        <x:v>In-store</x:v>
      </x:c>
      <x:c r="H1383" s="7" t="n">
        <x:v>2</x:v>
      </x:c>
      <x:c r="I1383" s="9" t="n">
        <x:v>18000</x:v>
      </x:c>
      <x:c r="J1383" s="9" t="n">
        <x:v>10500</x:v>
      </x:c>
      <x:c r="K1383" s="10" t="n">
        <x:v>0.05</x:v>
      </x:c>
      <x:c r="L1383" s="2" t="str">
        <x:v>Completed</x:v>
      </x:c>
      <x:c r="M1383" s="12" t="n">
        <x:f>H1383*I1383</x:f>
        <x:v>36000</x:v>
      </x:c>
      <x:c r="N1383" s="12" t="n">
        <x:f>IF(L1383="Completed",ROUND(M1383*(1-K1383),2),0)</x:f>
        <x:v>34200</x:v>
      </x:c>
      <x:c r="O1383" s="12" t="n">
        <x:f>IF(L1383="Completed",H1383*J1383,0)</x:f>
        <x:v>21000</x:v>
      </x:c>
      <x:c r="P1383" s="12" t="n">
        <x:f>N1383-O1383</x:f>
        <x:v>13200</x:v>
      </x:c>
    </x:row>
    <x:row r="1384" ht="21" customHeight="1">
      <x:c r="A1384" s="7" t="n">
        <x:v>1379</x:v>
      </x:c>
      <x:c r="B1384" s="2" t="str">
        <x:v>TXN-01379</x:v>
      </x:c>
      <x:c r="C1384" s="8" t="d">
        <x:v>2025-12-10T00:00:00.000Z</x:v>
      </x:c>
      <x:c r="D1384" s="2" t="str">
        <x:v>Lagos</x:v>
      </x:c>
      <x:c r="E1384" s="2" t="str">
        <x:v>Fashion</x:v>
      </x:c>
      <x:c r="F1384" s="2" t="str">
        <x:v>Sneakers</x:v>
      </x:c>
      <x:c r="G1384" s="2" t="str">
        <x:v>Online</x:v>
      </x:c>
      <x:c r="H1384" s="7" t="n">
        <x:v>1</x:v>
      </x:c>
      <x:c r="I1384" s="9" t="n">
        <x:v>28000</x:v>
      </x:c>
      <x:c r="J1384" s="9" t="n">
        <x:v>17500</x:v>
      </x:c>
      <x:c r="K1384" s="10" t="n">
        <x:v>0</x:v>
      </x:c>
      <x:c r="L1384" s="2" t="str">
        <x:v>Completed</x:v>
      </x:c>
      <x:c r="M1384" s="12" t="n">
        <x:f>H1384*I1384</x:f>
        <x:v>28000</x:v>
      </x:c>
      <x:c r="N1384" s="12" t="n">
        <x:f>IF(L1384="Completed",ROUND(M1384*(1-K1384),2),0)</x:f>
        <x:v>28000</x:v>
      </x:c>
      <x:c r="O1384" s="12" t="n">
        <x:f>IF(L1384="Completed",H1384*J1384,0)</x:f>
        <x:v>17500</x:v>
      </x:c>
      <x:c r="P1384" s="12" t="n">
        <x:f>N1384-O1384</x:f>
        <x:v>10500</x:v>
      </x:c>
    </x:row>
    <x:row r="1385" ht="21" customHeight="1">
      <x:c r="A1385" s="7" t="n">
        <x:v>1380</x:v>
      </x:c>
      <x:c r="B1385" s="2" t="str">
        <x:v>TXN-01380</x:v>
      </x:c>
      <x:c r="C1385" s="8" t="d">
        <x:v>2025-12-09T00:00:00.000Z</x:v>
      </x:c>
      <x:c r="D1385" s="2" t="str">
        <x:v>Port Harcourt</x:v>
      </x:c>
      <x:c r="E1385" s="2" t="str">
        <x:v>Electronics</x:v>
      </x:c>
      <x:c r="F1385" s="2" t="str">
        <x:v>Power bank</x:v>
      </x:c>
      <x:c r="G1385" s="2" t="str">
        <x:v>In-store</x:v>
      </x:c>
      <x:c r="H1385" s="7" t="n">
        <x:v>1</x:v>
      </x:c>
      <x:c r="I1385" s="9" t="n">
        <x:v>15000</x:v>
      </x:c>
      <x:c r="J1385" s="9" t="n">
        <x:v>9500</x:v>
      </x:c>
      <x:c r="K1385" s="10" t="n">
        <x:v>0</x:v>
      </x:c>
      <x:c r="L1385" s="2" t="str">
        <x:v>Completed</x:v>
      </x:c>
      <x:c r="M1385" s="12" t="n">
        <x:f>H1385*I1385</x:f>
        <x:v>15000</x:v>
      </x:c>
      <x:c r="N1385" s="12" t="n">
        <x:f>IF(L1385="Completed",ROUND(M1385*(1-K1385),2),0)</x:f>
        <x:v>15000</x:v>
      </x:c>
      <x:c r="O1385" s="12" t="n">
        <x:f>IF(L1385="Completed",H1385*J1385,0)</x:f>
        <x:v>9500</x:v>
      </x:c>
      <x:c r="P1385" s="12" t="n">
        <x:f>N1385-O1385</x:f>
        <x:v>5500</x:v>
      </x:c>
    </x:row>
    <x:row r="1386" ht="21" customHeight="1">
      <x:c r="A1386" s="7" t="n">
        <x:v>1381</x:v>
      </x:c>
      <x:c r="B1386" s="2" t="str">
        <x:v>TXN-01381</x:v>
      </x:c>
      <x:c r="C1386" s="8" t="d">
        <x:v>2025-12-22T00:00:00.000Z</x:v>
      </x:c>
      <x:c r="D1386" s="2" t="str">
        <x:v>Lagos</x:v>
      </x:c>
      <x:c r="E1386" s="2" t="str">
        <x:v>Electronics</x:v>
      </x:c>
      <x:c r="F1386" s="2" t="str">
        <x:v>Bluetooth speaker</x:v>
      </x:c>
      <x:c r="G1386" s="2" t="str">
        <x:v>Online</x:v>
      </x:c>
      <x:c r="H1386" s="7" t="n">
        <x:v>3</x:v>
      </x:c>
      <x:c r="I1386" s="9" t="n">
        <x:v>26000</x:v>
      </x:c>
      <x:c r="J1386" s="9" t="n">
        <x:v>17000</x:v>
      </x:c>
      <x:c r="K1386" s="10" t="n">
        <x:v>0.15</x:v>
      </x:c>
      <x:c r="L1386" s="2" t="str">
        <x:v>Completed</x:v>
      </x:c>
      <x:c r="M1386" s="12" t="n">
        <x:f>H1386*I1386</x:f>
        <x:v>78000</x:v>
      </x:c>
      <x:c r="N1386" s="12" t="n">
        <x:f>IF(L1386="Completed",ROUND(M1386*(1-K1386),2),0)</x:f>
        <x:v>66300</x:v>
      </x:c>
      <x:c r="O1386" s="12" t="n">
        <x:f>IF(L1386="Completed",H1386*J1386,0)</x:f>
        <x:v>51000</x:v>
      </x:c>
      <x:c r="P1386" s="12" t="n">
        <x:f>N1386-O1386</x:f>
        <x:v>15300</x:v>
      </x:c>
    </x:row>
    <x:row r="1387" ht="21" customHeight="1">
      <x:c r="A1387" s="7" t="n">
        <x:v>1382</x:v>
      </x:c>
      <x:c r="B1387" s="2" t="str">
        <x:v>TXN-01382</x:v>
      </x:c>
      <x:c r="C1387" s="8" t="d">
        <x:v>2025-12-15T00:00:00.000Z</x:v>
      </x:c>
      <x:c r="D1387" s="2" t="str">
        <x:v>Port Harcourt</x:v>
      </x:c>
      <x:c r="E1387" s="2" t="str">
        <x:v>Home</x:v>
      </x:c>
      <x:c r="F1387" s="2" t="str">
        <x:v>Desk lamp</x:v>
      </x:c>
      <x:c r="G1387" s="2" t="str">
        <x:v>In-store</x:v>
      </x:c>
      <x:c r="H1387" s="7" t="n">
        <x:v>1</x:v>
      </x:c>
      <x:c r="I1387" s="9" t="n">
        <x:v>12000</x:v>
      </x:c>
      <x:c r="J1387" s="9" t="n">
        <x:v>7200</x:v>
      </x:c>
      <x:c r="K1387" s="10" t="n">
        <x:v>0</x:v>
      </x:c>
      <x:c r="L1387" s="2" t="str">
        <x:v>Completed</x:v>
      </x:c>
      <x:c r="M1387" s="12" t="n">
        <x:f>H1387*I1387</x:f>
        <x:v>12000</x:v>
      </x:c>
      <x:c r="N1387" s="12" t="n">
        <x:f>IF(L1387="Completed",ROUND(M1387*(1-K1387),2),0)</x:f>
        <x:v>12000</x:v>
      </x:c>
      <x:c r="O1387" s="12" t="n">
        <x:f>IF(L1387="Completed",H1387*J1387,0)</x:f>
        <x:v>7200</x:v>
      </x:c>
      <x:c r="P1387" s="12" t="n">
        <x:f>N1387-O1387</x:f>
        <x:v>4800</x:v>
      </x:c>
    </x:row>
    <x:row r="1388" ht="21" customHeight="1">
      <x:c r="A1388" s="7" t="n">
        <x:v>1383</x:v>
      </x:c>
      <x:c r="B1388" s="2" t="str">
        <x:v>TXN-01383</x:v>
      </x:c>
      <x:c r="C1388" s="8" t="d">
        <x:v>2025-12-08T00:00:00.000Z</x:v>
      </x:c>
      <x:c r="D1388" s="2" t="str">
        <x:v>Lagos</x:v>
      </x:c>
      <x:c r="E1388" s="2" t="str">
        <x:v>Fashion</x:v>
      </x:c>
      <x:c r="F1388" s="2" t="str">
        <x:v>T-shirt</x:v>
      </x:c>
      <x:c r="G1388" s="2" t="str">
        <x:v>Online</x:v>
      </x:c>
      <x:c r="H1388" s="7" t="n">
        <x:v>1</x:v>
      </x:c>
      <x:c r="I1388" s="9" t="n">
        <x:v>9000</x:v>
      </x:c>
      <x:c r="J1388" s="9" t="n">
        <x:v>5000</x:v>
      </x:c>
      <x:c r="K1388" s="10" t="n">
        <x:v>0</x:v>
      </x:c>
      <x:c r="L1388" s="2" t="str">
        <x:v>Completed</x:v>
      </x:c>
      <x:c r="M1388" s="12" t="n">
        <x:f>H1388*I1388</x:f>
        <x:v>9000</x:v>
      </x:c>
      <x:c r="N1388" s="12" t="n">
        <x:f>IF(L1388="Completed",ROUND(M1388*(1-K1388),2),0)</x:f>
        <x:v>9000</x:v>
      </x:c>
      <x:c r="O1388" s="12" t="n">
        <x:f>IF(L1388="Completed",H1388*J1388,0)</x:f>
        <x:v>5000</x:v>
      </x:c>
      <x:c r="P1388" s="12" t="n">
        <x:f>N1388-O1388</x:f>
        <x:v>4000</x:v>
      </x:c>
    </x:row>
    <x:row r="1389" ht="21" customHeight="1">
      <x:c r="A1389" s="7" t="n">
        <x:v>1384</x:v>
      </x:c>
      <x:c r="B1389" s="2" t="str">
        <x:v>TXN-01384</x:v>
      </x:c>
      <x:c r="C1389" s="8" t="d">
        <x:v>2025-12-16T00:00:00.000Z</x:v>
      </x:c>
      <x:c r="D1389" s="2" t="str">
        <x:v>Port Harcourt</x:v>
      </x:c>
      <x:c r="E1389" s="2" t="str">
        <x:v>Electronics</x:v>
      </x:c>
      <x:c r="F1389" s="2" t="str">
        <x:v>Headphones</x:v>
      </x:c>
      <x:c r="G1389" s="2" t="str">
        <x:v>In-store</x:v>
      </x:c>
      <x:c r="H1389" s="7" t="n">
        <x:v>1</x:v>
      </x:c>
      <x:c r="I1389" s="9" t="n">
        <x:v>18000</x:v>
      </x:c>
      <x:c r="J1389" s="9" t="n">
        <x:v>10500</x:v>
      </x:c>
      <x:c r="K1389" s="10" t="n">
        <x:v>0.05</x:v>
      </x:c>
      <x:c r="L1389" s="2" t="str">
        <x:v>Completed</x:v>
      </x:c>
      <x:c r="M1389" s="12" t="n">
        <x:f>H1389*I1389</x:f>
        <x:v>18000</x:v>
      </x:c>
      <x:c r="N1389" s="12" t="n">
        <x:f>IF(L1389="Completed",ROUND(M1389*(1-K1389),2),0)</x:f>
        <x:v>17100</x:v>
      </x:c>
      <x:c r="O1389" s="12" t="n">
        <x:f>IF(L1389="Completed",H1389*J1389,0)</x:f>
        <x:v>10500</x:v>
      </x:c>
      <x:c r="P1389" s="12" t="n">
        <x:f>N1389-O1389</x:f>
        <x:v>6600</x:v>
      </x:c>
    </x:row>
    <x:row r="1390" ht="21" customHeight="1">
      <x:c r="A1390" s="7" t="n">
        <x:v>1385</x:v>
      </x:c>
      <x:c r="B1390" s="2" t="str">
        <x:v>TXN-01385</x:v>
      </x:c>
      <x:c r="C1390" s="8" t="d">
        <x:v>2025-12-21T00:00:00.000Z</x:v>
      </x:c>
      <x:c r="D1390" s="2" t="str">
        <x:v>Port Harcourt</x:v>
      </x:c>
      <x:c r="E1390" s="2" t="str">
        <x:v>Electronics</x:v>
      </x:c>
      <x:c r="F1390" s="2" t="str">
        <x:v>Bluetooth speaker</x:v>
      </x:c>
      <x:c r="G1390" s="2" t="str">
        <x:v>Online</x:v>
      </x:c>
      <x:c r="H1390" s="7" t="n">
        <x:v>2</x:v>
      </x:c>
      <x:c r="I1390" s="9" t="n">
        <x:v>26000</x:v>
      </x:c>
      <x:c r="J1390" s="9" t="n">
        <x:v>17000</x:v>
      </x:c>
      <x:c r="K1390" s="10" t="n">
        <x:v>0</x:v>
      </x:c>
      <x:c r="L1390" s="2" t="str">
        <x:v>Returned</x:v>
      </x:c>
      <x:c r="M1390" s="12" t="n">
        <x:f>H1390*I1390</x:f>
        <x:v>52000</x:v>
      </x:c>
      <x:c r="N1390" s="12" t="n">
        <x:f>IF(L1390="Completed",ROUND(M1390*(1-K1390),2),0)</x:f>
        <x:v>0</x:v>
      </x:c>
      <x:c r="O1390" s="12" t="n">
        <x:f>IF(L1390="Completed",H1390*J1390,0)</x:f>
        <x:v>0</x:v>
      </x:c>
      <x:c r="P1390" s="12" t="n">
        <x:f>N1390-O1390</x:f>
        <x:v>0</x:v>
      </x:c>
    </x:row>
    <x:row r="1391" ht="21" customHeight="1">
      <x:c r="A1391" s="7" t="n">
        <x:v>1386</x:v>
      </x:c>
      <x:c r="B1391" s="2" t="str">
        <x:v>TXN-01386</x:v>
      </x:c>
      <x:c r="C1391" s="8" t="d">
        <x:v>2025-12-06T00:00:00.000Z</x:v>
      </x:c>
      <x:c r="D1391" s="2" t="str">
        <x:v>Lagos</x:v>
      </x:c>
      <x:c r="E1391" s="2" t="str">
        <x:v>Fashion</x:v>
      </x:c>
      <x:c r="F1391" s="2" t="str">
        <x:v>Handbag</x:v>
      </x:c>
      <x:c r="G1391" s="2" t="str">
        <x:v>Online</x:v>
      </x:c>
      <x:c r="H1391" s="7" t="n">
        <x:v>1</x:v>
      </x:c>
      <x:c r="I1391" s="9" t="n">
        <x:v>22000</x:v>
      </x:c>
      <x:c r="J1391" s="9" t="n">
        <x:v>13500</x:v>
      </x:c>
      <x:c r="K1391" s="10" t="n">
        <x:v>0</x:v>
      </x:c>
      <x:c r="L1391" s="2" t="str">
        <x:v>Completed</x:v>
      </x:c>
      <x:c r="M1391" s="12" t="n">
        <x:f>H1391*I1391</x:f>
        <x:v>22000</x:v>
      </x:c>
      <x:c r="N1391" s="12" t="n">
        <x:f>IF(L1391="Completed",ROUND(M1391*(1-K1391),2),0)</x:f>
        <x:v>22000</x:v>
      </x:c>
      <x:c r="O1391" s="12" t="n">
        <x:f>IF(L1391="Completed",H1391*J1391,0)</x:f>
        <x:v>13500</x:v>
      </x:c>
      <x:c r="P1391" s="12" t="n">
        <x:f>N1391-O1391</x:f>
        <x:v>8500</x:v>
      </x:c>
    </x:row>
    <x:row r="1392" ht="21" customHeight="1">
      <x:c r="A1392" s="7" t="n">
        <x:v>1387</x:v>
      </x:c>
      <x:c r="B1392" s="2" t="str">
        <x:v>TXN-01387</x:v>
      </x:c>
      <x:c r="C1392" s="8" t="d">
        <x:v>2025-12-06T00:00:00.000Z</x:v>
      </x:c>
      <x:c r="D1392" s="2" t="str">
        <x:v>Lagos</x:v>
      </x:c>
      <x:c r="E1392" s="2" t="str">
        <x:v>Beauty</x:v>
      </x:c>
      <x:c r="F1392" s="2" t="str">
        <x:v>Body wash</x:v>
      </x:c>
      <x:c r="G1392" s="2" t="str">
        <x:v>In-store</x:v>
      </x:c>
      <x:c r="H1392" s="7" t="n">
        <x:v>2</x:v>
      </x:c>
      <x:c r="I1392" s="9" t="n">
        <x:v>4500</x:v>
      </x:c>
      <x:c r="J1392" s="9" t="n">
        <x:v>2300</x:v>
      </x:c>
      <x:c r="K1392" s="10" t="n">
        <x:v>0</x:v>
      </x:c>
      <x:c r="L1392" s="2" t="str">
        <x:v>Completed</x:v>
      </x:c>
      <x:c r="M1392" s="12" t="n">
        <x:f>H1392*I1392</x:f>
        <x:v>9000</x:v>
      </x:c>
      <x:c r="N1392" s="12" t="n">
        <x:f>IF(L1392="Completed",ROUND(M1392*(1-K1392),2),0)</x:f>
        <x:v>9000</x:v>
      </x:c>
      <x:c r="O1392" s="12" t="n">
        <x:f>IF(L1392="Completed",H1392*J1392,0)</x:f>
        <x:v>4600</x:v>
      </x:c>
      <x:c r="P1392" s="12" t="n">
        <x:f>N1392-O1392</x:f>
        <x:v>4400</x:v>
      </x:c>
    </x:row>
    <x:row r="1393" ht="21" customHeight="1">
      <x:c r="A1393" s="7" t="n">
        <x:v>1388</x:v>
      </x:c>
      <x:c r="B1393" s="2" t="str">
        <x:v>TXN-01388</x:v>
      </x:c>
      <x:c r="C1393" s="8" t="d">
        <x:v>2025-12-07T00:00:00.000Z</x:v>
      </x:c>
      <x:c r="D1393" s="2" t="str">
        <x:v>Lagos</x:v>
      </x:c>
      <x:c r="E1393" s="2" t="str">
        <x:v>Beauty</x:v>
      </x:c>
      <x:c r="F1393" s="2" t="str">
        <x:v>Body wash</x:v>
      </x:c>
      <x:c r="G1393" s="2" t="str">
        <x:v>Online</x:v>
      </x:c>
      <x:c r="H1393" s="7" t="n">
        <x:v>1</x:v>
      </x:c>
      <x:c r="I1393" s="9" t="n">
        <x:v>4500</x:v>
      </x:c>
      <x:c r="J1393" s="9" t="n">
        <x:v>2300</x:v>
      </x:c>
      <x:c r="K1393" s="10" t="n">
        <x:v>0</x:v>
      </x:c>
      <x:c r="L1393" s="2" t="str">
        <x:v>Completed</x:v>
      </x:c>
      <x:c r="M1393" s="12" t="n">
        <x:f>H1393*I1393</x:f>
        <x:v>4500</x:v>
      </x:c>
      <x:c r="N1393" s="12" t="n">
        <x:f>IF(L1393="Completed",ROUND(M1393*(1-K1393),2),0)</x:f>
        <x:v>4500</x:v>
      </x:c>
      <x:c r="O1393" s="12" t="n">
        <x:f>IF(L1393="Completed",H1393*J1393,0)</x:f>
        <x:v>2300</x:v>
      </x:c>
      <x:c r="P1393" s="12" t="n">
        <x:f>N1393-O1393</x:f>
        <x:v>2200</x:v>
      </x:c>
    </x:row>
    <x:row r="1394" ht="21" customHeight="1">
      <x:c r="A1394" s="7" t="n">
        <x:v>1389</x:v>
      </x:c>
      <x:c r="B1394" s="2" t="str">
        <x:v>TXN-01389</x:v>
      </x:c>
      <x:c r="C1394" s="8" t="d">
        <x:v>2025-12-07T00:00:00.000Z</x:v>
      </x:c>
      <x:c r="D1394" s="2" t="str">
        <x:v>Port Harcourt</x:v>
      </x:c>
      <x:c r="E1394" s="2" t="str">
        <x:v>Home</x:v>
      </x:c>
      <x:c r="F1394" s="2" t="str">
        <x:v>Cookware set</x:v>
      </x:c>
      <x:c r="G1394" s="2" t="str">
        <x:v>Online</x:v>
      </x:c>
      <x:c r="H1394" s="7" t="n">
        <x:v>1</x:v>
      </x:c>
      <x:c r="I1394" s="9" t="n">
        <x:v>35000</x:v>
      </x:c>
      <x:c r="J1394" s="9" t="n">
        <x:v>22500</x:v>
      </x:c>
      <x:c r="K1394" s="10" t="n">
        <x:v>0</x:v>
      </x:c>
      <x:c r="L1394" s="2" t="str">
        <x:v>Completed</x:v>
      </x:c>
      <x:c r="M1394" s="12" t="n">
        <x:f>H1394*I1394</x:f>
        <x:v>35000</x:v>
      </x:c>
      <x:c r="N1394" s="12" t="n">
        <x:f>IF(L1394="Completed",ROUND(M1394*(1-K1394),2),0)</x:f>
        <x:v>35000</x:v>
      </x:c>
      <x:c r="O1394" s="12" t="n">
        <x:f>IF(L1394="Completed",H1394*J1394,0)</x:f>
        <x:v>22500</x:v>
      </x:c>
      <x:c r="P1394" s="12" t="n">
        <x:f>N1394-O1394</x:f>
        <x:v>12500</x:v>
      </x:c>
    </x:row>
    <x:row r="1395" ht="21" customHeight="1">
      <x:c r="A1395" s="7" t="n">
        <x:v>1390</x:v>
      </x:c>
      <x:c r="B1395" s="2" t="str">
        <x:v>TXN-01390</x:v>
      </x:c>
      <x:c r="C1395" s="8" t="d">
        <x:v>2025-12-20T00:00:00.000Z</x:v>
      </x:c>
      <x:c r="D1395" s="2" t="str">
        <x:v>Port Harcourt</x:v>
      </x:c>
      <x:c r="E1395" s="2" t="str">
        <x:v>Beauty</x:v>
      </x:c>
      <x:c r="F1395" s="2" t="str">
        <x:v>Body wash</x:v>
      </x:c>
      <x:c r="G1395" s="2" t="str">
        <x:v>Online</x:v>
      </x:c>
      <x:c r="H1395" s="7" t="n">
        <x:v>1</x:v>
      </x:c>
      <x:c r="I1395" s="9" t="n">
        <x:v>4500</x:v>
      </x:c>
      <x:c r="J1395" s="9" t="n">
        <x:v>2300</x:v>
      </x:c>
      <x:c r="K1395" s="10" t="n">
        <x:v>0</x:v>
      </x:c>
      <x:c r="L1395" s="2" t="str">
        <x:v>Completed</x:v>
      </x:c>
      <x:c r="M1395" s="12" t="n">
        <x:f>H1395*I1395</x:f>
        <x:v>4500</x:v>
      </x:c>
      <x:c r="N1395" s="12" t="n">
        <x:f>IF(L1395="Completed",ROUND(M1395*(1-K1395),2),0)</x:f>
        <x:v>4500</x:v>
      </x:c>
      <x:c r="O1395" s="12" t="n">
        <x:f>IF(L1395="Completed",H1395*J1395,0)</x:f>
        <x:v>2300</x:v>
      </x:c>
      <x:c r="P1395" s="12" t="n">
        <x:f>N1395-O1395</x:f>
        <x:v>2200</x:v>
      </x:c>
    </x:row>
    <x:row r="1396" ht="21" customHeight="1">
      <x:c r="A1396" s="7" t="n">
        <x:v>1391</x:v>
      </x:c>
      <x:c r="B1396" s="2" t="str">
        <x:v>TXN-01391</x:v>
      </x:c>
      <x:c r="C1396" s="8" t="d">
        <x:v>2025-12-24T00:00:00.000Z</x:v>
      </x:c>
      <x:c r="D1396" s="2" t="str">
        <x:v>Port Harcourt</x:v>
      </x:c>
      <x:c r="E1396" s="2" t="str">
        <x:v>Home</x:v>
      </x:c>
      <x:c r="F1396" s="2" t="str">
        <x:v>Bedsheet</x:v>
      </x:c>
      <x:c r="G1396" s="2" t="str">
        <x:v>In-store</x:v>
      </x:c>
      <x:c r="H1396" s="7" t="n">
        <x:v>1</x:v>
      </x:c>
      <x:c r="I1396" s="9" t="n">
        <x:v>14000</x:v>
      </x:c>
      <x:c r="J1396" s="9" t="n">
        <x:v>8500</x:v>
      </x:c>
      <x:c r="K1396" s="10" t="n">
        <x:v>0</x:v>
      </x:c>
      <x:c r="L1396" s="2" t="str">
        <x:v>Completed</x:v>
      </x:c>
      <x:c r="M1396" s="12" t="n">
        <x:f>H1396*I1396</x:f>
        <x:v>14000</x:v>
      </x:c>
      <x:c r="N1396" s="12" t="n">
        <x:f>IF(L1396="Completed",ROUND(M1396*(1-K1396),2),0)</x:f>
        <x:v>14000</x:v>
      </x:c>
      <x:c r="O1396" s="12" t="n">
        <x:f>IF(L1396="Completed",H1396*J1396,0)</x:f>
        <x:v>8500</x:v>
      </x:c>
      <x:c r="P1396" s="12" t="n">
        <x:f>N1396-O1396</x:f>
        <x:v>5500</x:v>
      </x:c>
    </x:row>
    <x:row r="1397" ht="21" customHeight="1">
      <x:c r="A1397" s="7" t="n">
        <x:v>1392</x:v>
      </x:c>
      <x:c r="B1397" s="2" t="str">
        <x:v>TXN-01392</x:v>
      </x:c>
      <x:c r="C1397" s="8" t="d">
        <x:v>2025-12-11T00:00:00.000Z</x:v>
      </x:c>
      <x:c r="D1397" s="2" t="str">
        <x:v>Lagos</x:v>
      </x:c>
      <x:c r="E1397" s="2" t="str">
        <x:v>Electronics</x:v>
      </x:c>
      <x:c r="F1397" s="2" t="str">
        <x:v>Bluetooth speaker</x:v>
      </x:c>
      <x:c r="G1397" s="2" t="str">
        <x:v>Online</x:v>
      </x:c>
      <x:c r="H1397" s="7" t="n">
        <x:v>2</x:v>
      </x:c>
      <x:c r="I1397" s="9" t="n">
        <x:v>26000</x:v>
      </x:c>
      <x:c r="J1397" s="9" t="n">
        <x:v>17000</x:v>
      </x:c>
      <x:c r="K1397" s="10" t="n">
        <x:v>0</x:v>
      </x:c>
      <x:c r="L1397" s="2" t="str">
        <x:v>Completed</x:v>
      </x:c>
      <x:c r="M1397" s="12" t="n">
        <x:f>H1397*I1397</x:f>
        <x:v>52000</x:v>
      </x:c>
      <x:c r="N1397" s="12" t="n">
        <x:f>IF(L1397="Completed",ROUND(M1397*(1-K1397),2),0)</x:f>
        <x:v>52000</x:v>
      </x:c>
      <x:c r="O1397" s="12" t="n">
        <x:f>IF(L1397="Completed",H1397*J1397,0)</x:f>
        <x:v>34000</x:v>
      </x:c>
      <x:c r="P1397" s="12" t="n">
        <x:f>N1397-O1397</x:f>
        <x:v>18000</x:v>
      </x:c>
    </x:row>
    <x:row r="1398" ht="21" customHeight="1">
      <x:c r="A1398" s="7" t="n">
        <x:v>1393</x:v>
      </x:c>
      <x:c r="B1398" s="2" t="str">
        <x:v>TXN-01393</x:v>
      </x:c>
      <x:c r="C1398" s="8" t="d">
        <x:v>2025-12-21T00:00:00.000Z</x:v>
      </x:c>
      <x:c r="D1398" s="2" t="str">
        <x:v>Abuja</x:v>
      </x:c>
      <x:c r="E1398" s="2" t="str">
        <x:v>Beauty</x:v>
      </x:c>
      <x:c r="F1398" s="2" t="str">
        <x:v>Moisturizer</x:v>
      </x:c>
      <x:c r="G1398" s="2" t="str">
        <x:v>Online</x:v>
      </x:c>
      <x:c r="H1398" s="7" t="n">
        <x:v>2</x:v>
      </x:c>
      <x:c r="I1398" s="9" t="n">
        <x:v>6500</x:v>
      </x:c>
      <x:c r="J1398" s="9" t="n">
        <x:v>3500</x:v>
      </x:c>
      <x:c r="K1398" s="10" t="n">
        <x:v>0.1</x:v>
      </x:c>
      <x:c r="L1398" s="2" t="str">
        <x:v>Returned</x:v>
      </x:c>
      <x:c r="M1398" s="12" t="n">
        <x:f>H1398*I1398</x:f>
        <x:v>13000</x:v>
      </x:c>
      <x:c r="N1398" s="12" t="n">
        <x:f>IF(L1398="Completed",ROUND(M1398*(1-K1398),2),0)</x:f>
        <x:v>0</x:v>
      </x:c>
      <x:c r="O1398" s="12" t="n">
        <x:f>IF(L1398="Completed",H1398*J1398,0)</x:f>
        <x:v>0</x:v>
      </x:c>
      <x:c r="P1398" s="12" t="n">
        <x:f>N1398-O1398</x:f>
        <x:v>0</x:v>
      </x:c>
    </x:row>
    <x:row r="1399" ht="21" customHeight="1">
      <x:c r="A1399" s="7" t="n">
        <x:v>1394</x:v>
      </x:c>
      <x:c r="B1399" s="2" t="str">
        <x:v>TXN-01394</x:v>
      </x:c>
      <x:c r="C1399" s="8" t="d">
        <x:v>2025-12-26T00:00:00.000Z</x:v>
      </x:c>
      <x:c r="D1399" s="2" t="str">
        <x:v>Port Harcourt</x:v>
      </x:c>
      <x:c r="E1399" s="2" t="str">
        <x:v>Home</x:v>
      </x:c>
      <x:c r="F1399" s="2" t="str">
        <x:v>Bedsheet</x:v>
      </x:c>
      <x:c r="G1399" s="2" t="str">
        <x:v>Online</x:v>
      </x:c>
      <x:c r="H1399" s="7" t="n">
        <x:v>1</x:v>
      </x:c>
      <x:c r="I1399" s="9" t="n">
        <x:v>14000</x:v>
      </x:c>
      <x:c r="J1399" s="9" t="n">
        <x:v>8500</x:v>
      </x:c>
      <x:c r="K1399" s="10" t="n">
        <x:v>0</x:v>
      </x:c>
      <x:c r="L1399" s="2" t="str">
        <x:v>Completed</x:v>
      </x:c>
      <x:c r="M1399" s="12" t="n">
        <x:f>H1399*I1399</x:f>
        <x:v>14000</x:v>
      </x:c>
      <x:c r="N1399" s="12" t="n">
        <x:f>IF(L1399="Completed",ROUND(M1399*(1-K1399),2),0)</x:f>
        <x:v>14000</x:v>
      </x:c>
      <x:c r="O1399" s="12" t="n">
        <x:f>IF(L1399="Completed",H1399*J1399,0)</x:f>
        <x:v>8500</x:v>
      </x:c>
      <x:c r="P1399" s="12" t="n">
        <x:f>N1399-O1399</x:f>
        <x:v>5500</x:v>
      </x:c>
    </x:row>
    <x:row r="1400" ht="21" customHeight="1">
      <x:c r="A1400" s="7" t="n">
        <x:v>1395</x:v>
      </x:c>
      <x:c r="B1400" s="2" t="str">
        <x:v>TXN-01395</x:v>
      </x:c>
      <x:c r="C1400" s="8" t="d">
        <x:v>2025-12-05T00:00:00.000Z</x:v>
      </x:c>
      <x:c r="D1400" s="2" t="str">
        <x:v>Abuja</x:v>
      </x:c>
      <x:c r="E1400" s="2" t="str">
        <x:v>Electronics</x:v>
      </x:c>
      <x:c r="F1400" s="2" t="str">
        <x:v>Power bank</x:v>
      </x:c>
      <x:c r="G1400" s="2" t="str">
        <x:v>Online</x:v>
      </x:c>
      <x:c r="H1400" s="7" t="n">
        <x:v>2</x:v>
      </x:c>
      <x:c r="I1400" s="9" t="n">
        <x:v>15000</x:v>
      </x:c>
      <x:c r="J1400" s="9" t="n">
        <x:v>9500</x:v>
      </x:c>
      <x:c r="K1400" s="10" t="n">
        <x:v>0</x:v>
      </x:c>
      <x:c r="L1400" s="2" t="str">
        <x:v>Completed</x:v>
      </x:c>
      <x:c r="M1400" s="12" t="n">
        <x:f>H1400*I1400</x:f>
        <x:v>30000</x:v>
      </x:c>
      <x:c r="N1400" s="12" t="n">
        <x:f>IF(L1400="Completed",ROUND(M1400*(1-K1400),2),0)</x:f>
        <x:v>30000</x:v>
      </x:c>
      <x:c r="O1400" s="12" t="n">
        <x:f>IF(L1400="Completed",H1400*J1400,0)</x:f>
        <x:v>19000</x:v>
      </x:c>
      <x:c r="P1400" s="12" t="n">
        <x:f>N1400-O1400</x:f>
        <x:v>11000</x:v>
      </x:c>
    </x:row>
    <x:row r="1401" ht="21" customHeight="1">
      <x:c r="A1401" s="7" t="n">
        <x:v>1396</x:v>
      </x:c>
      <x:c r="B1401" s="2" t="str">
        <x:v>TXN-01396</x:v>
      </x:c>
      <x:c r="C1401" s="8" t="d">
        <x:v>2025-12-13T00:00:00.000Z</x:v>
      </x:c>
      <x:c r="D1401" s="2" t="str">
        <x:v>Abuja</x:v>
      </x:c>
      <x:c r="E1401" s="2" t="str">
        <x:v>Electronics</x:v>
      </x:c>
      <x:c r="F1401" s="2" t="str">
        <x:v>Power bank</x:v>
      </x:c>
      <x:c r="G1401" s="2" t="str">
        <x:v>In-store</x:v>
      </x:c>
      <x:c r="H1401" s="7" t="n">
        <x:v>2</x:v>
      </x:c>
      <x:c r="I1401" s="9" t="n">
        <x:v>15000</x:v>
      </x:c>
      <x:c r="J1401" s="9" t="n">
        <x:v>9500</x:v>
      </x:c>
      <x:c r="K1401" s="10" t="n">
        <x:v>0.05</x:v>
      </x:c>
      <x:c r="L1401" s="2" t="str">
        <x:v>Completed</x:v>
      </x:c>
      <x:c r="M1401" s="12" t="n">
        <x:f>H1401*I1401</x:f>
        <x:v>30000</x:v>
      </x:c>
      <x:c r="N1401" s="12" t="n">
        <x:f>IF(L1401="Completed",ROUND(M1401*(1-K1401),2),0)</x:f>
        <x:v>28500</x:v>
      </x:c>
      <x:c r="O1401" s="12" t="n">
        <x:f>IF(L1401="Completed",H1401*J1401,0)</x:f>
        <x:v>19000</x:v>
      </x:c>
      <x:c r="P1401" s="12" t="n">
        <x:f>N1401-O1401</x:f>
        <x:v>9500</x:v>
      </x:c>
    </x:row>
    <x:row r="1402" ht="21" customHeight="1">
      <x:c r="A1402" s="7" t="n">
        <x:v>1397</x:v>
      </x:c>
      <x:c r="B1402" s="2" t="str">
        <x:v>TXN-01397</x:v>
      </x:c>
      <x:c r="C1402" s="8" t="d">
        <x:v>2025-12-08T00:00:00.000Z</x:v>
      </x:c>
      <x:c r="D1402" s="2" t="str">
        <x:v>Abuja</x:v>
      </x:c>
      <x:c r="E1402" s="2" t="str">
        <x:v>Fashion</x:v>
      </x:c>
      <x:c r="F1402" s="2" t="str">
        <x:v>T-shirt</x:v>
      </x:c>
      <x:c r="G1402" s="2" t="str">
        <x:v>Online</x:v>
      </x:c>
      <x:c r="H1402" s="7" t="n">
        <x:v>2</x:v>
      </x:c>
      <x:c r="I1402" s="9" t="n">
        <x:v>9000</x:v>
      </x:c>
      <x:c r="J1402" s="9" t="n">
        <x:v>5000</x:v>
      </x:c>
      <x:c r="K1402" s="10" t="n">
        <x:v>0</x:v>
      </x:c>
      <x:c r="L1402" s="2" t="str">
        <x:v>Returned</x:v>
      </x:c>
      <x:c r="M1402" s="12" t="n">
        <x:f>H1402*I1402</x:f>
        <x:v>18000</x:v>
      </x:c>
      <x:c r="N1402" s="12" t="n">
        <x:f>IF(L1402="Completed",ROUND(M1402*(1-K1402),2),0)</x:f>
        <x:v>0</x:v>
      </x:c>
      <x:c r="O1402" s="12" t="n">
        <x:f>IF(L1402="Completed",H1402*J1402,0)</x:f>
        <x:v>0</x:v>
      </x:c>
      <x:c r="P1402" s="12" t="n">
        <x:f>N1402-O1402</x:f>
        <x:v>0</x:v>
      </x:c>
    </x:row>
    <x:row r="1403" ht="21" customHeight="1">
      <x:c r="A1403" s="7" t="n">
        <x:v>1398</x:v>
      </x:c>
      <x:c r="B1403" s="2" t="str">
        <x:v>TXN-01398</x:v>
      </x:c>
      <x:c r="C1403" s="8" t="d">
        <x:v>2025-12-09T00:00:00.000Z</x:v>
      </x:c>
      <x:c r="D1403" s="2" t="str">
        <x:v>Lagos</x:v>
      </x:c>
      <x:c r="E1403" s="2" t="str">
        <x:v>Electronics</x:v>
      </x:c>
      <x:c r="F1403" s="2" t="str">
        <x:v>Bluetooth speaker</x:v>
      </x:c>
      <x:c r="G1403" s="2" t="str">
        <x:v>In-store</x:v>
      </x:c>
      <x:c r="H1403" s="7" t="n">
        <x:v>1</x:v>
      </x:c>
      <x:c r="I1403" s="9" t="n">
        <x:v>26000</x:v>
      </x:c>
      <x:c r="J1403" s="9" t="n">
        <x:v>17000</x:v>
      </x:c>
      <x:c r="K1403" s="10" t="n">
        <x:v>0</x:v>
      </x:c>
      <x:c r="L1403" s="2" t="str">
        <x:v>Completed</x:v>
      </x:c>
      <x:c r="M1403" s="12" t="n">
        <x:f>H1403*I1403</x:f>
        <x:v>26000</x:v>
      </x:c>
      <x:c r="N1403" s="12" t="n">
        <x:f>IF(L1403="Completed",ROUND(M1403*(1-K1403),2),0)</x:f>
        <x:v>26000</x:v>
      </x:c>
      <x:c r="O1403" s="12" t="n">
        <x:f>IF(L1403="Completed",H1403*J1403,0)</x:f>
        <x:v>17000</x:v>
      </x:c>
      <x:c r="P1403" s="12" t="n">
        <x:f>N1403-O1403</x:f>
        <x:v>9000</x:v>
      </x:c>
    </x:row>
    <x:row r="1404" ht="21" customHeight="1">
      <x:c r="A1404" s="7" t="n">
        <x:v>1399</x:v>
      </x:c>
      <x:c r="B1404" s="2" t="str">
        <x:v>TXN-01399</x:v>
      </x:c>
      <x:c r="C1404" s="8" t="d">
        <x:v>2025-12-02T00:00:00.000Z</x:v>
      </x:c>
      <x:c r="D1404" s="2" t="str">
        <x:v>Kano</x:v>
      </x:c>
      <x:c r="E1404" s="2" t="str">
        <x:v>Electronics</x:v>
      </x:c>
      <x:c r="F1404" s="2" t="str">
        <x:v>Headphones</x:v>
      </x:c>
      <x:c r="G1404" s="2" t="str">
        <x:v>In-store</x:v>
      </x:c>
      <x:c r="H1404" s="7" t="n">
        <x:v>2</x:v>
      </x:c>
      <x:c r="I1404" s="9" t="n">
        <x:v>18000</x:v>
      </x:c>
      <x:c r="J1404" s="9" t="n">
        <x:v>10500</x:v>
      </x:c>
      <x:c r="K1404" s="10" t="n">
        <x:v>0</x:v>
      </x:c>
      <x:c r="L1404" s="2" t="str">
        <x:v>Completed</x:v>
      </x:c>
      <x:c r="M1404" s="12" t="n">
        <x:f>H1404*I1404</x:f>
        <x:v>36000</x:v>
      </x:c>
      <x:c r="N1404" s="12" t="n">
        <x:f>IF(L1404="Completed",ROUND(M1404*(1-K1404),2),0)</x:f>
        <x:v>36000</x:v>
      </x:c>
      <x:c r="O1404" s="12" t="n">
        <x:f>IF(L1404="Completed",H1404*J1404,0)</x:f>
        <x:v>21000</x:v>
      </x:c>
      <x:c r="P1404" s="12" t="n">
        <x:f>N1404-O1404</x:f>
        <x:v>15000</x:v>
      </x:c>
    </x:row>
    <x:row r="1405" ht="21" customHeight="1">
      <x:c r="A1405" s="7" t="n">
        <x:v>1400</x:v>
      </x:c>
      <x:c r="B1405" s="2" t="str">
        <x:v>TXN-01400</x:v>
      </x:c>
      <x:c r="C1405" s="8" t="d">
        <x:v>2025-12-09T00:00:00.000Z</x:v>
      </x:c>
      <x:c r="D1405" s="2" t="str">
        <x:v>Port Harcourt</x:v>
      </x:c>
      <x:c r="E1405" s="2" t="str">
        <x:v>Electronics</x:v>
      </x:c>
      <x:c r="F1405" s="2" t="str">
        <x:v>Headphones</x:v>
      </x:c>
      <x:c r="G1405" s="2" t="str">
        <x:v>In-store</x:v>
      </x:c>
      <x:c r="H1405" s="7" t="n">
        <x:v>1</x:v>
      </x:c>
      <x:c r="I1405" s="9" t="n">
        <x:v>18000</x:v>
      </x:c>
      <x:c r="J1405" s="9" t="n">
        <x:v>10500</x:v>
      </x:c>
      <x:c r="K1405" s="10" t="n">
        <x:v>0</x:v>
      </x:c>
      <x:c r="L1405" s="2" t="str">
        <x:v>Completed</x:v>
      </x:c>
      <x:c r="M1405" s="12" t="n">
        <x:f>H1405*I1405</x:f>
        <x:v>18000</x:v>
      </x:c>
      <x:c r="N1405" s="12" t="n">
        <x:f>IF(L1405="Completed",ROUND(M1405*(1-K1405),2),0)</x:f>
        <x:v>18000</x:v>
      </x:c>
      <x:c r="O1405" s="12" t="n">
        <x:f>IF(L1405="Completed",H1405*J1405,0)</x:f>
        <x:v>10500</x:v>
      </x:c>
      <x:c r="P1405" s="12" t="n">
        <x:f>N1405-O1405</x:f>
        <x:v>7500</x:v>
      </x:c>
    </x:row>
    <x:row r="1406" ht="21" customHeight="1">
      <x:c r="A1406" s="7" t="n">
        <x:v>1401</x:v>
      </x:c>
      <x:c r="B1406" s="2" t="str">
        <x:v>TXN-01401</x:v>
      </x:c>
      <x:c r="C1406" s="8" t="d">
        <x:v>2025-12-18T00:00:00.000Z</x:v>
      </x:c>
      <x:c r="D1406" s="2" t="str">
        <x:v>Kano</x:v>
      </x:c>
      <x:c r="E1406" s="2" t="str">
        <x:v>Electronics</x:v>
      </x:c>
      <x:c r="F1406" s="2" t="str">
        <x:v>Power bank</x:v>
      </x:c>
      <x:c r="G1406" s="2" t="str">
        <x:v>In-store</x:v>
      </x:c>
      <x:c r="H1406" s="7" t="n">
        <x:v>1</x:v>
      </x:c>
      <x:c r="I1406" s="9" t="n">
        <x:v>15000</x:v>
      </x:c>
      <x:c r="J1406" s="9" t="n">
        <x:v>9500</x:v>
      </x:c>
      <x:c r="K1406" s="10" t="n">
        <x:v>0</x:v>
      </x:c>
      <x:c r="L1406" s="2" t="str">
        <x:v>Completed</x:v>
      </x:c>
      <x:c r="M1406" s="12" t="n">
        <x:f>H1406*I1406</x:f>
        <x:v>15000</x:v>
      </x:c>
      <x:c r="N1406" s="12" t="n">
        <x:f>IF(L1406="Completed",ROUND(M1406*(1-K1406),2),0)</x:f>
        <x:v>15000</x:v>
      </x:c>
      <x:c r="O1406" s="12" t="n">
        <x:f>IF(L1406="Completed",H1406*J1406,0)</x:f>
        <x:v>9500</x:v>
      </x:c>
      <x:c r="P1406" s="12" t="n">
        <x:f>N1406-O1406</x:f>
        <x:v>5500</x:v>
      </x:c>
    </x:row>
    <x:row r="1407" ht="21" customHeight="1">
      <x:c r="A1407" s="7" t="n">
        <x:v>1402</x:v>
      </x:c>
      <x:c r="B1407" s="2" t="str">
        <x:v>TXN-01402</x:v>
      </x:c>
      <x:c r="C1407" s="8" t="d">
        <x:v>2025-12-24T00:00:00.000Z</x:v>
      </x:c>
      <x:c r="D1407" s="2" t="str">
        <x:v>Port Harcourt</x:v>
      </x:c>
      <x:c r="E1407" s="2" t="str">
        <x:v>Fashion</x:v>
      </x:c>
      <x:c r="F1407" s="2" t="str">
        <x:v>Sneakers</x:v>
      </x:c>
      <x:c r="G1407" s="2" t="str">
        <x:v>In-store</x:v>
      </x:c>
      <x:c r="H1407" s="7" t="n">
        <x:v>3</x:v>
      </x:c>
      <x:c r="I1407" s="9" t="n">
        <x:v>28000</x:v>
      </x:c>
      <x:c r="J1407" s="9" t="n">
        <x:v>17500</x:v>
      </x:c>
      <x:c r="K1407" s="10" t="n">
        <x:v>0.05</x:v>
      </x:c>
      <x:c r="L1407" s="2" t="str">
        <x:v>Completed</x:v>
      </x:c>
      <x:c r="M1407" s="12" t="n">
        <x:f>H1407*I1407</x:f>
        <x:v>84000</x:v>
      </x:c>
      <x:c r="N1407" s="12" t="n">
        <x:f>IF(L1407="Completed",ROUND(M1407*(1-K1407),2),0)</x:f>
        <x:v>79800</x:v>
      </x:c>
      <x:c r="O1407" s="12" t="n">
        <x:f>IF(L1407="Completed",H1407*J1407,0)</x:f>
        <x:v>52500</x:v>
      </x:c>
      <x:c r="P1407" s="12" t="n">
        <x:f>N1407-O1407</x:f>
        <x:v>27300</x:v>
      </x:c>
    </x:row>
    <x:row r="1408" ht="21" customHeight="1">
      <x:c r="A1408" s="7" t="n">
        <x:v>1403</x:v>
      </x:c>
      <x:c r="B1408" s="2" t="str">
        <x:v>TXN-01403</x:v>
      </x:c>
      <x:c r="C1408" s="8" t="d">
        <x:v>2025-12-16T00:00:00.000Z</x:v>
      </x:c>
      <x:c r="D1408" s="2" t="str">
        <x:v>Lagos</x:v>
      </x:c>
      <x:c r="E1408" s="2" t="str">
        <x:v>Beauty</x:v>
      </x:c>
      <x:c r="F1408" s="2" t="str">
        <x:v>Perfume</x:v>
      </x:c>
      <x:c r="G1408" s="2" t="str">
        <x:v>Online</x:v>
      </x:c>
      <x:c r="H1408" s="7" t="n">
        <x:v>2</x:v>
      </x:c>
      <x:c r="I1408" s="9" t="n">
        <x:v>17000</x:v>
      </x:c>
      <x:c r="J1408" s="9" t="n">
        <x:v>9000</x:v>
      </x:c>
      <x:c r="K1408" s="10" t="n">
        <x:v>0.05</x:v>
      </x:c>
      <x:c r="L1408" s="2" t="str">
        <x:v>Completed</x:v>
      </x:c>
      <x:c r="M1408" s="12" t="n">
        <x:f>H1408*I1408</x:f>
        <x:v>34000</x:v>
      </x:c>
      <x:c r="N1408" s="12" t="n">
        <x:f>IF(L1408="Completed",ROUND(M1408*(1-K1408),2),0)</x:f>
        <x:v>32300</x:v>
      </x:c>
      <x:c r="O1408" s="12" t="n">
        <x:f>IF(L1408="Completed",H1408*J1408,0)</x:f>
        <x:v>18000</x:v>
      </x:c>
      <x:c r="P1408" s="12" t="n">
        <x:f>N1408-O1408</x:f>
        <x:v>14300</x:v>
      </x:c>
    </x:row>
    <x:row r="1409" ht="21" customHeight="1">
      <x:c r="A1409" s="7" t="n">
        <x:v>1404</x:v>
      </x:c>
      <x:c r="B1409" s="2" t="str">
        <x:v>TXN-01404</x:v>
      </x:c>
      <x:c r="C1409" s="8" t="d">
        <x:v>2025-12-06T00:00:00.000Z</x:v>
      </x:c>
      <x:c r="D1409" s="2" t="str">
        <x:v>Abuja</x:v>
      </x:c>
      <x:c r="E1409" s="2" t="str">
        <x:v>Home</x:v>
      </x:c>
      <x:c r="F1409" s="2" t="str">
        <x:v>Bedsheet</x:v>
      </x:c>
      <x:c r="G1409" s="2" t="str">
        <x:v>In-store</x:v>
      </x:c>
      <x:c r="H1409" s="7" t="n">
        <x:v>3</x:v>
      </x:c>
      <x:c r="I1409" s="9" t="n">
        <x:v>14000</x:v>
      </x:c>
      <x:c r="J1409" s="9" t="n">
        <x:v>8500</x:v>
      </x:c>
      <x:c r="K1409" s="10" t="n">
        <x:v>0</x:v>
      </x:c>
      <x:c r="L1409" s="2" t="str">
        <x:v>Completed</x:v>
      </x:c>
      <x:c r="M1409" s="12" t="n">
        <x:f>H1409*I1409</x:f>
        <x:v>42000</x:v>
      </x:c>
      <x:c r="N1409" s="12" t="n">
        <x:f>IF(L1409="Completed",ROUND(M1409*(1-K1409),2),0)</x:f>
        <x:v>42000</x:v>
      </x:c>
      <x:c r="O1409" s="12" t="n">
        <x:f>IF(L1409="Completed",H1409*J1409,0)</x:f>
        <x:v>25500</x:v>
      </x:c>
      <x:c r="P1409" s="12" t="n">
        <x:f>N1409-O1409</x:f>
        <x:v>16500</x:v>
      </x:c>
    </x:row>
    <x:row r="1410" ht="21" customHeight="1">
      <x:c r="A1410" s="7" t="n">
        <x:v>1405</x:v>
      </x:c>
      <x:c r="B1410" s="2" t="str">
        <x:v>TXN-01405</x:v>
      </x:c>
      <x:c r="C1410" s="8" t="d">
        <x:v>2025-12-06T00:00:00.000Z</x:v>
      </x:c>
      <x:c r="D1410" s="2" t="str">
        <x:v>Abuja</x:v>
      </x:c>
      <x:c r="E1410" s="2" t="str">
        <x:v>Home</x:v>
      </x:c>
      <x:c r="F1410" s="2" t="str">
        <x:v>Bedsheet</x:v>
      </x:c>
      <x:c r="G1410" s="2" t="str">
        <x:v>In-store</x:v>
      </x:c>
      <x:c r="H1410" s="7" t="n">
        <x:v>1</x:v>
      </x:c>
      <x:c r="I1410" s="9" t="n">
        <x:v>14000</x:v>
      </x:c>
      <x:c r="J1410" s="9" t="n">
        <x:v>8500</x:v>
      </x:c>
      <x:c r="K1410" s="10" t="n">
        <x:v>0.15</x:v>
      </x:c>
      <x:c r="L1410" s="2" t="str">
        <x:v>Completed</x:v>
      </x:c>
      <x:c r="M1410" s="12" t="n">
        <x:f>H1410*I1410</x:f>
        <x:v>14000</x:v>
      </x:c>
      <x:c r="N1410" s="12" t="n">
        <x:f>IF(L1410="Completed",ROUND(M1410*(1-K1410),2),0)</x:f>
        <x:v>11900</x:v>
      </x:c>
      <x:c r="O1410" s="12" t="n">
        <x:f>IF(L1410="Completed",H1410*J1410,0)</x:f>
        <x:v>8500</x:v>
      </x:c>
      <x:c r="P1410" s="12" t="n">
        <x:f>N1410-O1410</x:f>
        <x:v>3400</x:v>
      </x:c>
    </x:row>
    <x:row r="1411" ht="21" customHeight="1">
      <x:c r="A1411" s="7" t="n">
        <x:v>1406</x:v>
      </x:c>
      <x:c r="B1411" s="2" t="str">
        <x:v>TXN-01406</x:v>
      </x:c>
      <x:c r="C1411" s="8" t="d">
        <x:v>2025-12-14T00:00:00.000Z</x:v>
      </x:c>
      <x:c r="D1411" s="2" t="str">
        <x:v>Kano</x:v>
      </x:c>
      <x:c r="E1411" s="2" t="str">
        <x:v>Home</x:v>
      </x:c>
      <x:c r="F1411" s="2" t="str">
        <x:v>Desk lamp</x:v>
      </x:c>
      <x:c r="G1411" s="2" t="str">
        <x:v>In-store</x:v>
      </x:c>
      <x:c r="H1411" s="7" t="n">
        <x:v>1</x:v>
      </x:c>
      <x:c r="I1411" s="9" t="n">
        <x:v>12000</x:v>
      </x:c>
      <x:c r="J1411" s="9" t="n">
        <x:v>7200</x:v>
      </x:c>
      <x:c r="K1411" s="10" t="n">
        <x:v>0.05</x:v>
      </x:c>
      <x:c r="L1411" s="2" t="str">
        <x:v>Returned</x:v>
      </x:c>
      <x:c r="M1411" s="12" t="n">
        <x:f>H1411*I1411</x:f>
        <x:v>12000</x:v>
      </x:c>
      <x:c r="N1411" s="12" t="n">
        <x:f>IF(L1411="Completed",ROUND(M1411*(1-K1411),2),0)</x:f>
        <x:v>0</x:v>
      </x:c>
      <x:c r="O1411" s="12" t="n">
        <x:f>IF(L1411="Completed",H1411*J1411,0)</x:f>
        <x:v>0</x:v>
      </x:c>
      <x:c r="P1411" s="12" t="n">
        <x:f>N1411-O1411</x:f>
        <x:v>0</x:v>
      </x:c>
    </x:row>
    <x:row r="1412" ht="21" customHeight="1">
      <x:c r="A1412" s="7" t="n">
        <x:v>1407</x:v>
      </x:c>
      <x:c r="B1412" s="2" t="str">
        <x:v>TXN-01407</x:v>
      </x:c>
      <x:c r="C1412" s="8" t="d">
        <x:v>2025-12-24T00:00:00.000Z</x:v>
      </x:c>
      <x:c r="D1412" s="2" t="str">
        <x:v>Lagos</x:v>
      </x:c>
      <x:c r="E1412" s="2" t="str">
        <x:v>Electronics</x:v>
      </x:c>
      <x:c r="F1412" s="2" t="str">
        <x:v>Bluetooth speaker</x:v>
      </x:c>
      <x:c r="G1412" s="2" t="str">
        <x:v>In-store</x:v>
      </x:c>
      <x:c r="H1412" s="7" t="n">
        <x:v>1</x:v>
      </x:c>
      <x:c r="I1412" s="9" t="n">
        <x:v>26000</x:v>
      </x:c>
      <x:c r="J1412" s="9" t="n">
        <x:v>17000</x:v>
      </x:c>
      <x:c r="K1412" s="10" t="n">
        <x:v>0</x:v>
      </x:c>
      <x:c r="L1412" s="2" t="str">
        <x:v>Completed</x:v>
      </x:c>
      <x:c r="M1412" s="12" t="n">
        <x:f>H1412*I1412</x:f>
        <x:v>26000</x:v>
      </x:c>
      <x:c r="N1412" s="12" t="n">
        <x:f>IF(L1412="Completed",ROUND(M1412*(1-K1412),2),0)</x:f>
        <x:v>26000</x:v>
      </x:c>
      <x:c r="O1412" s="12" t="n">
        <x:f>IF(L1412="Completed",H1412*J1412,0)</x:f>
        <x:v>17000</x:v>
      </x:c>
      <x:c r="P1412" s="12" t="n">
        <x:f>N1412-O1412</x:f>
        <x:v>9000</x:v>
      </x:c>
    </x:row>
    <x:row r="1413" ht="21" customHeight="1">
      <x:c r="A1413" s="7" t="n">
        <x:v>1408</x:v>
      </x:c>
      <x:c r="B1413" s="2" t="str">
        <x:v>TXN-01408</x:v>
      </x:c>
      <x:c r="C1413" s="8" t="d">
        <x:v>2025-12-25T00:00:00.000Z</x:v>
      </x:c>
      <x:c r="D1413" s="2" t="str">
        <x:v>Lagos</x:v>
      </x:c>
      <x:c r="E1413" s="2" t="str">
        <x:v>Beauty</x:v>
      </x:c>
      <x:c r="F1413" s="2" t="str">
        <x:v>Perfume</x:v>
      </x:c>
      <x:c r="G1413" s="2" t="str">
        <x:v>Online</x:v>
      </x:c>
      <x:c r="H1413" s="7" t="n">
        <x:v>1</x:v>
      </x:c>
      <x:c r="I1413" s="9" t="n">
        <x:v>17000</x:v>
      </x:c>
      <x:c r="J1413" s="9" t="n">
        <x:v>9000</x:v>
      </x:c>
      <x:c r="K1413" s="10" t="n">
        <x:v>0.05</x:v>
      </x:c>
      <x:c r="L1413" s="2" t="str">
        <x:v>Completed</x:v>
      </x:c>
      <x:c r="M1413" s="12" t="n">
        <x:f>H1413*I1413</x:f>
        <x:v>17000</x:v>
      </x:c>
      <x:c r="N1413" s="12" t="n">
        <x:f>IF(L1413="Completed",ROUND(M1413*(1-K1413),2),0)</x:f>
        <x:v>16150</x:v>
      </x:c>
      <x:c r="O1413" s="12" t="n">
        <x:f>IF(L1413="Completed",H1413*J1413,0)</x:f>
        <x:v>9000</x:v>
      </x:c>
      <x:c r="P1413" s="12" t="n">
        <x:f>N1413-O1413</x:f>
        <x:v>7150</x:v>
      </x:c>
    </x:row>
    <x:row r="1414" ht="21" customHeight="1">
      <x:c r="A1414" s="7" t="n">
        <x:v>1409</x:v>
      </x:c>
      <x:c r="B1414" s="2" t="str">
        <x:v>TXN-01409</x:v>
      </x:c>
      <x:c r="C1414" s="8" t="d">
        <x:v>2025-12-09T00:00:00.000Z</x:v>
      </x:c>
      <x:c r="D1414" s="2" t="str">
        <x:v>Port Harcourt</x:v>
      </x:c>
      <x:c r="E1414" s="2" t="str">
        <x:v>Beauty</x:v>
      </x:c>
      <x:c r="F1414" s="2" t="str">
        <x:v>Perfume</x:v>
      </x:c>
      <x:c r="G1414" s="2" t="str">
        <x:v>In-store</x:v>
      </x:c>
      <x:c r="H1414" s="7" t="n">
        <x:v>1</x:v>
      </x:c>
      <x:c r="I1414" s="9" t="n">
        <x:v>17000</x:v>
      </x:c>
      <x:c r="J1414" s="9" t="n">
        <x:v>9000</x:v>
      </x:c>
      <x:c r="K1414" s="10" t="n">
        <x:v>0.15</x:v>
      </x:c>
      <x:c r="L1414" s="2" t="str">
        <x:v>Completed</x:v>
      </x:c>
      <x:c r="M1414" s="12" t="n">
        <x:f>H1414*I1414</x:f>
        <x:v>17000</x:v>
      </x:c>
      <x:c r="N1414" s="12" t="n">
        <x:f>IF(L1414="Completed",ROUND(M1414*(1-K1414),2),0)</x:f>
        <x:v>14450</x:v>
      </x:c>
      <x:c r="O1414" s="12" t="n">
        <x:f>IF(L1414="Completed",H1414*J1414,0)</x:f>
        <x:v>9000</x:v>
      </x:c>
      <x:c r="P1414" s="12" t="n">
        <x:f>N1414-O1414</x:f>
        <x:v>5450</x:v>
      </x:c>
    </x:row>
    <x:row r="1415" ht="21" customHeight="1">
      <x:c r="A1415" s="7" t="n">
        <x:v>1410</x:v>
      </x:c>
      <x:c r="B1415" s="2" t="str">
        <x:v>TXN-01410</x:v>
      </x:c>
      <x:c r="C1415" s="8" t="d">
        <x:v>2025-12-17T00:00:00.000Z</x:v>
      </x:c>
      <x:c r="D1415" s="2" t="str">
        <x:v>Abuja</x:v>
      </x:c>
      <x:c r="E1415" s="2" t="str">
        <x:v>Home</x:v>
      </x:c>
      <x:c r="F1415" s="2" t="str">
        <x:v>Desk lamp</x:v>
      </x:c>
      <x:c r="G1415" s="2" t="str">
        <x:v>Online</x:v>
      </x:c>
      <x:c r="H1415" s="7" t="n">
        <x:v>2</x:v>
      </x:c>
      <x:c r="I1415" s="9" t="n">
        <x:v>12000</x:v>
      </x:c>
      <x:c r="J1415" s="9" t="n">
        <x:v>7200</x:v>
      </x:c>
      <x:c r="K1415" s="10" t="n">
        <x:v>0</x:v>
      </x:c>
      <x:c r="L1415" s="2" t="str">
        <x:v>Completed</x:v>
      </x:c>
      <x:c r="M1415" s="12" t="n">
        <x:f>H1415*I1415</x:f>
        <x:v>24000</x:v>
      </x:c>
      <x:c r="N1415" s="12" t="n">
        <x:f>IF(L1415="Completed",ROUND(M1415*(1-K1415),2),0)</x:f>
        <x:v>24000</x:v>
      </x:c>
      <x:c r="O1415" s="12" t="n">
        <x:f>IF(L1415="Completed",H1415*J1415,0)</x:f>
        <x:v>14400</x:v>
      </x:c>
      <x:c r="P1415" s="12" t="n">
        <x:f>N1415-O1415</x:f>
        <x:v>9600</x:v>
      </x:c>
    </x:row>
    <x:row r="1416" ht="21" customHeight="1">
      <x:c r="A1416" s="7" t="n">
        <x:v>1411</x:v>
      </x:c>
      <x:c r="B1416" s="2" t="str">
        <x:v>TXN-01411</x:v>
      </x:c>
      <x:c r="C1416" s="8" t="d">
        <x:v>2025-12-10T00:00:00.000Z</x:v>
      </x:c>
      <x:c r="D1416" s="2" t="str">
        <x:v>Abuja</x:v>
      </x:c>
      <x:c r="E1416" s="2" t="str">
        <x:v>Home</x:v>
      </x:c>
      <x:c r="F1416" s="2" t="str">
        <x:v>Bedsheet</x:v>
      </x:c>
      <x:c r="G1416" s="2" t="str">
        <x:v>Online</x:v>
      </x:c>
      <x:c r="H1416" s="7" t="n">
        <x:v>1</x:v>
      </x:c>
      <x:c r="I1416" s="9" t="n">
        <x:v>14000</x:v>
      </x:c>
      <x:c r="J1416" s="9" t="n">
        <x:v>8500</x:v>
      </x:c>
      <x:c r="K1416" s="10" t="n">
        <x:v>0.1</x:v>
      </x:c>
      <x:c r="L1416" s="2" t="str">
        <x:v>Completed</x:v>
      </x:c>
      <x:c r="M1416" s="12" t="n">
        <x:f>H1416*I1416</x:f>
        <x:v>14000</x:v>
      </x:c>
      <x:c r="N1416" s="12" t="n">
        <x:f>IF(L1416="Completed",ROUND(M1416*(1-K1416),2),0)</x:f>
        <x:v>12600</x:v>
      </x:c>
      <x:c r="O1416" s="12" t="n">
        <x:f>IF(L1416="Completed",H1416*J1416,0)</x:f>
        <x:v>8500</x:v>
      </x:c>
      <x:c r="P1416" s="12" t="n">
        <x:f>N1416-O1416</x:f>
        <x:v>4100</x:v>
      </x:c>
    </x:row>
    <x:row r="1417" ht="21" customHeight="1">
      <x:c r="A1417" s="7" t="n">
        <x:v>1412</x:v>
      </x:c>
      <x:c r="B1417" s="2" t="str">
        <x:v>TXN-01412</x:v>
      </x:c>
      <x:c r="C1417" s="8" t="d">
        <x:v>2025-12-13T00:00:00.000Z</x:v>
      </x:c>
      <x:c r="D1417" s="2" t="str">
        <x:v>Abuja</x:v>
      </x:c>
      <x:c r="E1417" s="2" t="str">
        <x:v>Home</x:v>
      </x:c>
      <x:c r="F1417" s="2" t="str">
        <x:v>Bedsheet</x:v>
      </x:c>
      <x:c r="G1417" s="2" t="str">
        <x:v>Online</x:v>
      </x:c>
      <x:c r="H1417" s="7" t="n">
        <x:v>1</x:v>
      </x:c>
      <x:c r="I1417" s="9" t="n">
        <x:v>14000</x:v>
      </x:c>
      <x:c r="J1417" s="9" t="n">
        <x:v>8500</x:v>
      </x:c>
      <x:c r="K1417" s="10" t="n">
        <x:v>0</x:v>
      </x:c>
      <x:c r="L1417" s="2" t="str">
        <x:v>Completed</x:v>
      </x:c>
      <x:c r="M1417" s="12" t="n">
        <x:f>H1417*I1417</x:f>
        <x:v>14000</x:v>
      </x:c>
      <x:c r="N1417" s="12" t="n">
        <x:f>IF(L1417="Completed",ROUND(M1417*(1-K1417),2),0)</x:f>
        <x:v>14000</x:v>
      </x:c>
      <x:c r="O1417" s="12" t="n">
        <x:f>IF(L1417="Completed",H1417*J1417,0)</x:f>
        <x:v>8500</x:v>
      </x:c>
      <x:c r="P1417" s="12" t="n">
        <x:f>N1417-O1417</x:f>
        <x:v>5500</x:v>
      </x:c>
    </x:row>
    <x:row r="1418" ht="21" customHeight="1">
      <x:c r="A1418" s="7" t="n">
        <x:v>1413</x:v>
      </x:c>
      <x:c r="B1418" s="2" t="str">
        <x:v>TXN-01413</x:v>
      </x:c>
      <x:c r="C1418" s="8" t="d">
        <x:v>2025-12-31T00:00:00.000Z</x:v>
      </x:c>
      <x:c r="D1418" s="2" t="str">
        <x:v>Kano</x:v>
      </x:c>
      <x:c r="E1418" s="2" t="str">
        <x:v>Electronics</x:v>
      </x:c>
      <x:c r="F1418" s="2" t="str">
        <x:v>Power bank</x:v>
      </x:c>
      <x:c r="G1418" s="2" t="str">
        <x:v>In-store</x:v>
      </x:c>
      <x:c r="H1418" s="7" t="n">
        <x:v>3</x:v>
      </x:c>
      <x:c r="I1418" s="9" t="n">
        <x:v>15000</x:v>
      </x:c>
      <x:c r="J1418" s="9" t="n">
        <x:v>9500</x:v>
      </x:c>
      <x:c r="K1418" s="10" t="n">
        <x:v>0.1</x:v>
      </x:c>
      <x:c r="L1418" s="2" t="str">
        <x:v>Completed</x:v>
      </x:c>
      <x:c r="M1418" s="12" t="n">
        <x:f>H1418*I1418</x:f>
        <x:v>45000</x:v>
      </x:c>
      <x:c r="N1418" s="12" t="n">
        <x:f>IF(L1418="Completed",ROUND(M1418*(1-K1418),2),0)</x:f>
        <x:v>40500</x:v>
      </x:c>
      <x:c r="O1418" s="12" t="n">
        <x:f>IF(L1418="Completed",H1418*J1418,0)</x:f>
        <x:v>28500</x:v>
      </x:c>
      <x:c r="P1418" s="12" t="n">
        <x:f>N1418-O1418</x:f>
        <x:v>12000</x:v>
      </x:c>
    </x:row>
    <x:row r="1419" ht="21" customHeight="1">
      <x:c r="A1419" s="7" t="n">
        <x:v>1414</x:v>
      </x:c>
      <x:c r="B1419" s="2" t="str">
        <x:v>TXN-01414</x:v>
      </x:c>
      <x:c r="C1419" s="8" t="d">
        <x:v>2025-12-20T00:00:00.000Z</x:v>
      </x:c>
      <x:c r="D1419" s="2" t="str">
        <x:v>Abuja</x:v>
      </x:c>
      <x:c r="E1419" s="2" t="str">
        <x:v>Home</x:v>
      </x:c>
      <x:c r="F1419" s="2" t="str">
        <x:v>Bedsheet</x:v>
      </x:c>
      <x:c r="G1419" s="2" t="str">
        <x:v>Online</x:v>
      </x:c>
      <x:c r="H1419" s="7" t="n">
        <x:v>2</x:v>
      </x:c>
      <x:c r="I1419" s="9" t="n">
        <x:v>14000</x:v>
      </x:c>
      <x:c r="J1419" s="9" t="n">
        <x:v>8500</x:v>
      </x:c>
      <x:c r="K1419" s="10" t="n">
        <x:v>0.15</x:v>
      </x:c>
      <x:c r="L1419" s="2" t="str">
        <x:v>Completed</x:v>
      </x:c>
      <x:c r="M1419" s="12" t="n">
        <x:f>H1419*I1419</x:f>
        <x:v>28000</x:v>
      </x:c>
      <x:c r="N1419" s="12" t="n">
        <x:f>IF(L1419="Completed",ROUND(M1419*(1-K1419),2),0)</x:f>
        <x:v>23800</x:v>
      </x:c>
      <x:c r="O1419" s="12" t="n">
        <x:f>IF(L1419="Completed",H1419*J1419,0)</x:f>
        <x:v>17000</x:v>
      </x:c>
      <x:c r="P1419" s="12" t="n">
        <x:f>N1419-O1419</x:f>
        <x:v>6800</x:v>
      </x:c>
    </x:row>
    <x:row r="1420" ht="21" customHeight="1">
      <x:c r="A1420" s="7" t="n">
        <x:v>1415</x:v>
      </x:c>
      <x:c r="B1420" s="2" t="str">
        <x:v>TXN-01415</x:v>
      </x:c>
      <x:c r="C1420" s="8" t="d">
        <x:v>2025-12-26T00:00:00.000Z</x:v>
      </x:c>
      <x:c r="D1420" s="2" t="str">
        <x:v>Abuja</x:v>
      </x:c>
      <x:c r="E1420" s="2" t="str">
        <x:v>Fashion</x:v>
      </x:c>
      <x:c r="F1420" s="2" t="str">
        <x:v>T-shirt</x:v>
      </x:c>
      <x:c r="G1420" s="2" t="str">
        <x:v>Online</x:v>
      </x:c>
      <x:c r="H1420" s="7" t="n">
        <x:v>1</x:v>
      </x:c>
      <x:c r="I1420" s="9" t="n">
        <x:v>9000</x:v>
      </x:c>
      <x:c r="J1420" s="9" t="n">
        <x:v>5000</x:v>
      </x:c>
      <x:c r="K1420" s="10" t="n">
        <x:v>0.05</x:v>
      </x:c>
      <x:c r="L1420" s="2" t="str">
        <x:v>Completed</x:v>
      </x:c>
      <x:c r="M1420" s="12" t="n">
        <x:f>H1420*I1420</x:f>
        <x:v>9000</x:v>
      </x:c>
      <x:c r="N1420" s="12" t="n">
        <x:f>IF(L1420="Completed",ROUND(M1420*(1-K1420),2),0)</x:f>
        <x:v>8550</x:v>
      </x:c>
      <x:c r="O1420" s="12" t="n">
        <x:f>IF(L1420="Completed",H1420*J1420,0)</x:f>
        <x:v>5000</x:v>
      </x:c>
      <x:c r="P1420" s="12" t="n">
        <x:f>N1420-O1420</x:f>
        <x:v>3550</x:v>
      </x:c>
    </x:row>
    <x:row r="1421" ht="21" customHeight="1">
      <x:c r="A1421" s="7" t="n">
        <x:v>1416</x:v>
      </x:c>
      <x:c r="B1421" s="2" t="str">
        <x:v>TXN-01416</x:v>
      </x:c>
      <x:c r="C1421" s="8" t="d">
        <x:v>2025-12-01T00:00:00.000Z</x:v>
      </x:c>
      <x:c r="D1421" s="2" t="str">
        <x:v>Lagos</x:v>
      </x:c>
      <x:c r="E1421" s="2" t="str">
        <x:v>Electronics</x:v>
      </x:c>
      <x:c r="F1421" s="2" t="str">
        <x:v>Bluetooth speaker</x:v>
      </x:c>
      <x:c r="G1421" s="2" t="str">
        <x:v>In-store</x:v>
      </x:c>
      <x:c r="H1421" s="7" t="n">
        <x:v>1</x:v>
      </x:c>
      <x:c r="I1421" s="9" t="n">
        <x:v>26000</x:v>
      </x:c>
      <x:c r="J1421" s="9" t="n">
        <x:v>17000</x:v>
      </x:c>
      <x:c r="K1421" s="10" t="n">
        <x:v>0.05</x:v>
      </x:c>
      <x:c r="L1421" s="2" t="str">
        <x:v>Completed</x:v>
      </x:c>
      <x:c r="M1421" s="12" t="n">
        <x:f>H1421*I1421</x:f>
        <x:v>26000</x:v>
      </x:c>
      <x:c r="N1421" s="12" t="n">
        <x:f>IF(L1421="Completed",ROUND(M1421*(1-K1421),2),0)</x:f>
        <x:v>24700</x:v>
      </x:c>
      <x:c r="O1421" s="12" t="n">
        <x:f>IF(L1421="Completed",H1421*J1421,0)</x:f>
        <x:v>17000</x:v>
      </x:c>
      <x:c r="P1421" s="12" t="n">
        <x:f>N1421-O1421</x:f>
        <x:v>7700</x:v>
      </x:c>
    </x:row>
    <x:row r="1422" ht="21" customHeight="1">
      <x:c r="A1422" s="7" t="n">
        <x:v>1417</x:v>
      </x:c>
      <x:c r="B1422" s="2" t="str">
        <x:v>TXN-01417</x:v>
      </x:c>
      <x:c r="C1422" s="8" t="d">
        <x:v>2025-12-04T00:00:00.000Z</x:v>
      </x:c>
      <x:c r="D1422" s="2" t="str">
        <x:v>Lagos</x:v>
      </x:c>
      <x:c r="E1422" s="2" t="str">
        <x:v>Fashion</x:v>
      </x:c>
      <x:c r="F1422" s="2" t="str">
        <x:v>Sneakers</x:v>
      </x:c>
      <x:c r="G1422" s="2" t="str">
        <x:v>In-store</x:v>
      </x:c>
      <x:c r="H1422" s="7" t="n">
        <x:v>1</x:v>
      </x:c>
      <x:c r="I1422" s="9" t="n">
        <x:v>28000</x:v>
      </x:c>
      <x:c r="J1422" s="9" t="n">
        <x:v>17500</x:v>
      </x:c>
      <x:c r="K1422" s="10" t="n">
        <x:v>0</x:v>
      </x:c>
      <x:c r="L1422" s="2" t="str">
        <x:v>Returned</x:v>
      </x:c>
      <x:c r="M1422" s="12" t="n">
        <x:f>H1422*I1422</x:f>
        <x:v>28000</x:v>
      </x:c>
      <x:c r="N1422" s="12" t="n">
        <x:f>IF(L1422="Completed",ROUND(M1422*(1-K1422),2),0)</x:f>
        <x:v>0</x:v>
      </x:c>
      <x:c r="O1422" s="12" t="n">
        <x:f>IF(L1422="Completed",H1422*J1422,0)</x:f>
        <x:v>0</x:v>
      </x:c>
      <x:c r="P1422" s="12" t="n">
        <x:f>N1422-O1422</x:f>
        <x:v>0</x:v>
      </x:c>
    </x:row>
    <x:row r="1423" ht="21" customHeight="1">
      <x:c r="A1423" s="7" t="n">
        <x:v>1418</x:v>
      </x:c>
      <x:c r="B1423" s="2" t="str">
        <x:v>TXN-01418</x:v>
      </x:c>
      <x:c r="C1423" s="8" t="d">
        <x:v>2025-12-23T00:00:00.000Z</x:v>
      </x:c>
      <x:c r="D1423" s="2" t="str">
        <x:v>Port Harcourt</x:v>
      </x:c>
      <x:c r="E1423" s="2" t="str">
        <x:v>Fashion</x:v>
      </x:c>
      <x:c r="F1423" s="2" t="str">
        <x:v>T-shirt</x:v>
      </x:c>
      <x:c r="G1423" s="2" t="str">
        <x:v>Online</x:v>
      </x:c>
      <x:c r="H1423" s="7" t="n">
        <x:v>2</x:v>
      </x:c>
      <x:c r="I1423" s="9" t="n">
        <x:v>9000</x:v>
      </x:c>
      <x:c r="J1423" s="9" t="n">
        <x:v>5000</x:v>
      </x:c>
      <x:c r="K1423" s="10" t="n">
        <x:v>0</x:v>
      </x:c>
      <x:c r="L1423" s="2" t="str">
        <x:v>Completed</x:v>
      </x:c>
      <x:c r="M1423" s="12" t="n">
        <x:f>H1423*I1423</x:f>
        <x:v>18000</x:v>
      </x:c>
      <x:c r="N1423" s="12" t="n">
        <x:f>IF(L1423="Completed",ROUND(M1423*(1-K1423),2),0)</x:f>
        <x:v>18000</x:v>
      </x:c>
      <x:c r="O1423" s="12" t="n">
        <x:f>IF(L1423="Completed",H1423*J1423,0)</x:f>
        <x:v>10000</x:v>
      </x:c>
      <x:c r="P1423" s="12" t="n">
        <x:f>N1423-O1423</x:f>
        <x:v>8000</x:v>
      </x:c>
    </x:row>
    <x:row r="1424" ht="21" customHeight="1">
      <x:c r="A1424" s="7" t="n">
        <x:v>1419</x:v>
      </x:c>
      <x:c r="B1424" s="2" t="str">
        <x:v>TXN-01419</x:v>
      </x:c>
      <x:c r="C1424" s="8" t="d">
        <x:v>2025-12-03T00:00:00.000Z</x:v>
      </x:c>
      <x:c r="D1424" s="2" t="str">
        <x:v>Abuja</x:v>
      </x:c>
      <x:c r="E1424" s="2" t="str">
        <x:v>Beauty</x:v>
      </x:c>
      <x:c r="F1424" s="2" t="str">
        <x:v>Moisturizer</x:v>
      </x:c>
      <x:c r="G1424" s="2" t="str">
        <x:v>Online</x:v>
      </x:c>
      <x:c r="H1424" s="7" t="n">
        <x:v>2</x:v>
      </x:c>
      <x:c r="I1424" s="9" t="n">
        <x:v>6500</x:v>
      </x:c>
      <x:c r="J1424" s="9" t="n">
        <x:v>3500</x:v>
      </x:c>
      <x:c r="K1424" s="10" t="n">
        <x:v>0</x:v>
      </x:c>
      <x:c r="L1424" s="2" t="str">
        <x:v>Completed</x:v>
      </x:c>
      <x:c r="M1424" s="12" t="n">
        <x:f>H1424*I1424</x:f>
        <x:v>13000</x:v>
      </x:c>
      <x:c r="N1424" s="12" t="n">
        <x:f>IF(L1424="Completed",ROUND(M1424*(1-K1424),2),0)</x:f>
        <x:v>13000</x:v>
      </x:c>
      <x:c r="O1424" s="12" t="n">
        <x:f>IF(L1424="Completed",H1424*J1424,0)</x:f>
        <x:v>7000</x:v>
      </x:c>
      <x:c r="P1424" s="12" t="n">
        <x:f>N1424-O1424</x:f>
        <x:v>6000</x:v>
      </x:c>
    </x:row>
    <x:row r="1425" ht="21" customHeight="1">
      <x:c r="A1425" s="7" t="n">
        <x:v>1420</x:v>
      </x:c>
      <x:c r="B1425" s="2" t="str">
        <x:v>TXN-01420</x:v>
      </x:c>
      <x:c r="C1425" s="8" t="d">
        <x:v>2025-12-26T00:00:00.000Z</x:v>
      </x:c>
      <x:c r="D1425" s="2" t="str">
        <x:v>Abuja</x:v>
      </x:c>
      <x:c r="E1425" s="2" t="str">
        <x:v>Home</x:v>
      </x:c>
      <x:c r="F1425" s="2" t="str">
        <x:v>Cookware set</x:v>
      </x:c>
      <x:c r="G1425" s="2" t="str">
        <x:v>In-store</x:v>
      </x:c>
      <x:c r="H1425" s="7" t="n">
        <x:v>2</x:v>
      </x:c>
      <x:c r="I1425" s="9" t="n">
        <x:v>35000</x:v>
      </x:c>
      <x:c r="J1425" s="9" t="n">
        <x:v>22500</x:v>
      </x:c>
      <x:c r="K1425" s="10" t="n">
        <x:v>0</x:v>
      </x:c>
      <x:c r="L1425" s="2" t="str">
        <x:v>Completed</x:v>
      </x:c>
      <x:c r="M1425" s="12" t="n">
        <x:f>H1425*I1425</x:f>
        <x:v>70000</x:v>
      </x:c>
      <x:c r="N1425" s="12" t="n">
        <x:f>IF(L1425="Completed",ROUND(M1425*(1-K1425),2),0)</x:f>
        <x:v>70000</x:v>
      </x:c>
      <x:c r="O1425" s="12" t="n">
        <x:f>IF(L1425="Completed",H1425*J1425,0)</x:f>
        <x:v>45000</x:v>
      </x:c>
      <x:c r="P1425" s="12" t="n">
        <x:f>N1425-O1425</x:f>
        <x:v>25000</x:v>
      </x:c>
    </x:row>
    <x:row r="1426" ht="21" customHeight="1">
      <x:c r="A1426" s="7" t="n">
        <x:v>1421</x:v>
      </x:c>
      <x:c r="B1426" s="2" t="str">
        <x:v>TXN-01421</x:v>
      </x:c>
      <x:c r="C1426" s="8" t="d">
        <x:v>2025-12-27T00:00:00.000Z</x:v>
      </x:c>
      <x:c r="D1426" s="2" t="str">
        <x:v>Abuja</x:v>
      </x:c>
      <x:c r="E1426" s="2" t="str">
        <x:v>Fashion</x:v>
      </x:c>
      <x:c r="F1426" s="2" t="str">
        <x:v>T-shirt</x:v>
      </x:c>
      <x:c r="G1426" s="2" t="str">
        <x:v>Online</x:v>
      </x:c>
      <x:c r="H1426" s="7" t="n">
        <x:v>3</x:v>
      </x:c>
      <x:c r="I1426" s="9" t="n">
        <x:v>9000</x:v>
      </x:c>
      <x:c r="J1426" s="9" t="n">
        <x:v>5000</x:v>
      </x:c>
      <x:c r="K1426" s="10" t="n">
        <x:v>0</x:v>
      </x:c>
      <x:c r="L1426" s="2" t="str">
        <x:v>Completed</x:v>
      </x:c>
      <x:c r="M1426" s="12" t="n">
        <x:f>H1426*I1426</x:f>
        <x:v>27000</x:v>
      </x:c>
      <x:c r="N1426" s="12" t="n">
        <x:f>IF(L1426="Completed",ROUND(M1426*(1-K1426),2),0)</x:f>
        <x:v>27000</x:v>
      </x:c>
      <x:c r="O1426" s="12" t="n">
        <x:f>IF(L1426="Completed",H1426*J1426,0)</x:f>
        <x:v>15000</x:v>
      </x:c>
      <x:c r="P1426" s="12" t="n">
        <x:f>N1426-O1426</x:f>
        <x:v>12000</x:v>
      </x:c>
    </x:row>
    <x:row r="1427" ht="21" customHeight="1">
      <x:c r="A1427" s="7" t="n">
        <x:v>1422</x:v>
      </x:c>
      <x:c r="B1427" s="2" t="str">
        <x:v>TXN-01422</x:v>
      </x:c>
      <x:c r="C1427" s="8" t="d">
        <x:v>2025-12-31T00:00:00.000Z</x:v>
      </x:c>
      <x:c r="D1427" s="2" t="str">
        <x:v>Abuja</x:v>
      </x:c>
      <x:c r="E1427" s="2" t="str">
        <x:v>Fashion</x:v>
      </x:c>
      <x:c r="F1427" s="2" t="str">
        <x:v>Sneakers</x:v>
      </x:c>
      <x:c r="G1427" s="2" t="str">
        <x:v>Online</x:v>
      </x:c>
      <x:c r="H1427" s="7" t="n">
        <x:v>1</x:v>
      </x:c>
      <x:c r="I1427" s="9" t="n">
        <x:v>28000</x:v>
      </x:c>
      <x:c r="J1427" s="9" t="n">
        <x:v>17500</x:v>
      </x:c>
      <x:c r="K1427" s="10" t="n">
        <x:v>0.05</x:v>
      </x:c>
      <x:c r="L1427" s="2" t="str">
        <x:v>Completed</x:v>
      </x:c>
      <x:c r="M1427" s="12" t="n">
        <x:f>H1427*I1427</x:f>
        <x:v>28000</x:v>
      </x:c>
      <x:c r="N1427" s="12" t="n">
        <x:f>IF(L1427="Completed",ROUND(M1427*(1-K1427),2),0)</x:f>
        <x:v>26600</x:v>
      </x:c>
      <x:c r="O1427" s="12" t="n">
        <x:f>IF(L1427="Completed",H1427*J1427,0)</x:f>
        <x:v>17500</x:v>
      </x:c>
      <x:c r="P1427" s="12" t="n">
        <x:f>N1427-O1427</x:f>
        <x:v>9100</x:v>
      </x:c>
    </x:row>
    <x:row r="1428" ht="21" customHeight="1">
      <x:c r="A1428" s="7" t="n">
        <x:v>1423</x:v>
      </x:c>
      <x:c r="B1428" s="2" t="str">
        <x:v>TXN-01423</x:v>
      </x:c>
      <x:c r="C1428" s="8" t="d">
        <x:v>2025-12-29T00:00:00.000Z</x:v>
      </x:c>
      <x:c r="D1428" s="2" t="str">
        <x:v>Abuja</x:v>
      </x:c>
      <x:c r="E1428" s="2" t="str">
        <x:v>Beauty</x:v>
      </x:c>
      <x:c r="F1428" s="2" t="str">
        <x:v>Perfume</x:v>
      </x:c>
      <x:c r="G1428" s="2" t="str">
        <x:v>Online</x:v>
      </x:c>
      <x:c r="H1428" s="7" t="n">
        <x:v>1</x:v>
      </x:c>
      <x:c r="I1428" s="9" t="n">
        <x:v>17000</x:v>
      </x:c>
      <x:c r="J1428" s="9" t="n">
        <x:v>9000</x:v>
      </x:c>
      <x:c r="K1428" s="10" t="n">
        <x:v>0.05</x:v>
      </x:c>
      <x:c r="L1428" s="2" t="str">
        <x:v>Completed</x:v>
      </x:c>
      <x:c r="M1428" s="12" t="n">
        <x:f>H1428*I1428</x:f>
        <x:v>17000</x:v>
      </x:c>
      <x:c r="N1428" s="12" t="n">
        <x:f>IF(L1428="Completed",ROUND(M1428*(1-K1428),2),0)</x:f>
        <x:v>16150</x:v>
      </x:c>
      <x:c r="O1428" s="12" t="n">
        <x:f>IF(L1428="Completed",H1428*J1428,0)</x:f>
        <x:v>9000</x:v>
      </x:c>
      <x:c r="P1428" s="12" t="n">
        <x:f>N1428-O1428</x:f>
        <x:v>7150</x:v>
      </x:c>
    </x:row>
    <x:row r="1429" ht="21" customHeight="1">
      <x:c r="A1429" s="7" t="n">
        <x:v>1424</x:v>
      </x:c>
      <x:c r="B1429" s="2" t="str">
        <x:v>TXN-01424</x:v>
      </x:c>
      <x:c r="C1429" s="8" t="d">
        <x:v>2025-12-16T00:00:00.000Z</x:v>
      </x:c>
      <x:c r="D1429" s="2" t="str">
        <x:v>Lagos</x:v>
      </x:c>
      <x:c r="E1429" s="2" t="str">
        <x:v>Beauty</x:v>
      </x:c>
      <x:c r="F1429" s="2" t="str">
        <x:v>Moisturizer</x:v>
      </x:c>
      <x:c r="G1429" s="2" t="str">
        <x:v>Online</x:v>
      </x:c>
      <x:c r="H1429" s="7" t="n">
        <x:v>1</x:v>
      </x:c>
      <x:c r="I1429" s="9" t="n">
        <x:v>6500</x:v>
      </x:c>
      <x:c r="J1429" s="9" t="n">
        <x:v>3500</x:v>
      </x:c>
      <x:c r="K1429" s="10" t="n">
        <x:v>0</x:v>
      </x:c>
      <x:c r="L1429" s="2" t="str">
        <x:v>Completed</x:v>
      </x:c>
      <x:c r="M1429" s="12" t="n">
        <x:f>H1429*I1429</x:f>
        <x:v>6500</x:v>
      </x:c>
      <x:c r="N1429" s="12" t="n">
        <x:f>IF(L1429="Completed",ROUND(M1429*(1-K1429),2),0)</x:f>
        <x:v>6500</x:v>
      </x:c>
      <x:c r="O1429" s="12" t="n">
        <x:f>IF(L1429="Completed",H1429*J1429,0)</x:f>
        <x:v>3500</x:v>
      </x:c>
      <x:c r="P1429" s="12" t="n">
        <x:f>N1429-O1429</x:f>
        <x:v>3000</x:v>
      </x:c>
    </x:row>
    <x:row r="1430" ht="21" customHeight="1">
      <x:c r="A1430" s="7" t="n">
        <x:v>1425</x:v>
      </x:c>
      <x:c r="B1430" s="2" t="str">
        <x:v>TXN-01425</x:v>
      </x:c>
      <x:c r="C1430" s="8" t="d">
        <x:v>2025-12-07T00:00:00.000Z</x:v>
      </x:c>
      <x:c r="D1430" s="2" t="str">
        <x:v>Lagos</x:v>
      </x:c>
      <x:c r="E1430" s="2" t="str">
        <x:v>Electronics</x:v>
      </x:c>
      <x:c r="F1430" s="2" t="str">
        <x:v>Bluetooth speaker</x:v>
      </x:c>
      <x:c r="G1430" s="2" t="str">
        <x:v>Online</x:v>
      </x:c>
      <x:c r="H1430" s="7" t="n">
        <x:v>1</x:v>
      </x:c>
      <x:c r="I1430" s="9" t="n">
        <x:v>26000</x:v>
      </x:c>
      <x:c r="J1430" s="9" t="n">
        <x:v>17000</x:v>
      </x:c>
      <x:c r="K1430" s="10" t="n">
        <x:v>0.05</x:v>
      </x:c>
      <x:c r="L1430" s="2" t="str">
        <x:v>Completed</x:v>
      </x:c>
      <x:c r="M1430" s="12" t="n">
        <x:f>H1430*I1430</x:f>
        <x:v>26000</x:v>
      </x:c>
      <x:c r="N1430" s="12" t="n">
        <x:f>IF(L1430="Completed",ROUND(M1430*(1-K1430),2),0)</x:f>
        <x:v>24700</x:v>
      </x:c>
      <x:c r="O1430" s="12" t="n">
        <x:f>IF(L1430="Completed",H1430*J1430,0)</x:f>
        <x:v>17000</x:v>
      </x:c>
      <x:c r="P1430" s="12" t="n">
        <x:f>N1430-O1430</x:f>
        <x:v>7700</x:v>
      </x:c>
    </x:row>
    <x:row r="1431" ht="21" customHeight="1">
      <x:c r="A1431" s="7" t="n">
        <x:v>1426</x:v>
      </x:c>
      <x:c r="B1431" s="2" t="str">
        <x:v>TXN-01426</x:v>
      </x:c>
      <x:c r="C1431" s="8" t="d">
        <x:v>2025-12-27T00:00:00.000Z</x:v>
      </x:c>
      <x:c r="D1431" s="2" t="str">
        <x:v>Port Harcourt</x:v>
      </x:c>
      <x:c r="E1431" s="2" t="str">
        <x:v>Home</x:v>
      </x:c>
      <x:c r="F1431" s="2" t="str">
        <x:v>Bedsheet</x:v>
      </x:c>
      <x:c r="G1431" s="2" t="str">
        <x:v>In-store</x:v>
      </x:c>
      <x:c r="H1431" s="7" t="n">
        <x:v>1</x:v>
      </x:c>
      <x:c r="I1431" s="9" t="n">
        <x:v>14000</x:v>
      </x:c>
      <x:c r="J1431" s="9" t="n">
        <x:v>8500</x:v>
      </x:c>
      <x:c r="K1431" s="10" t="n">
        <x:v>0.05</x:v>
      </x:c>
      <x:c r="L1431" s="2" t="str">
        <x:v>Completed</x:v>
      </x:c>
      <x:c r="M1431" s="12" t="n">
        <x:f>H1431*I1431</x:f>
        <x:v>14000</x:v>
      </x:c>
      <x:c r="N1431" s="12" t="n">
        <x:f>IF(L1431="Completed",ROUND(M1431*(1-K1431),2),0)</x:f>
        <x:v>13300</x:v>
      </x:c>
      <x:c r="O1431" s="12" t="n">
        <x:f>IF(L1431="Completed",H1431*J1431,0)</x:f>
        <x:v>8500</x:v>
      </x:c>
      <x:c r="P1431" s="12" t="n">
        <x:f>N1431-O1431</x:f>
        <x:v>4800</x:v>
      </x:c>
    </x:row>
    <x:row r="1432" ht="21" customHeight="1">
      <x:c r="A1432" s="7" t="n">
        <x:v>1427</x:v>
      </x:c>
      <x:c r="B1432" s="2" t="str">
        <x:v>TXN-01427</x:v>
      </x:c>
      <x:c r="C1432" s="8" t="d">
        <x:v>2025-12-22T00:00:00.000Z</x:v>
      </x:c>
      <x:c r="D1432" s="2" t="str">
        <x:v>Lagos</x:v>
      </x:c>
      <x:c r="E1432" s="2" t="str">
        <x:v>Fashion</x:v>
      </x:c>
      <x:c r="F1432" s="2" t="str">
        <x:v>Handbag</x:v>
      </x:c>
      <x:c r="G1432" s="2" t="str">
        <x:v>In-store</x:v>
      </x:c>
      <x:c r="H1432" s="7" t="n">
        <x:v>1</x:v>
      </x:c>
      <x:c r="I1432" s="9" t="n">
        <x:v>22000</x:v>
      </x:c>
      <x:c r="J1432" s="9" t="n">
        <x:v>13500</x:v>
      </x:c>
      <x:c r="K1432" s="10" t="n">
        <x:v>0</x:v>
      </x:c>
      <x:c r="L1432" s="2" t="str">
        <x:v>Completed</x:v>
      </x:c>
      <x:c r="M1432" s="12" t="n">
        <x:f>H1432*I1432</x:f>
        <x:v>22000</x:v>
      </x:c>
      <x:c r="N1432" s="12" t="n">
        <x:f>IF(L1432="Completed",ROUND(M1432*(1-K1432),2),0)</x:f>
        <x:v>22000</x:v>
      </x:c>
      <x:c r="O1432" s="12" t="n">
        <x:f>IF(L1432="Completed",H1432*J1432,0)</x:f>
        <x:v>13500</x:v>
      </x:c>
      <x:c r="P1432" s="12" t="n">
        <x:f>N1432-O1432</x:f>
        <x:v>8500</x:v>
      </x:c>
    </x:row>
    <x:row r="1433" ht="21" customHeight="1">
      <x:c r="A1433" s="7" t="n">
        <x:v>1428</x:v>
      </x:c>
      <x:c r="B1433" s="2" t="str">
        <x:v>TXN-01428</x:v>
      </x:c>
      <x:c r="C1433" s="8" t="d">
        <x:v>2025-12-02T00:00:00.000Z</x:v>
      </x:c>
      <x:c r="D1433" s="2" t="str">
        <x:v>Abuja</x:v>
      </x:c>
      <x:c r="E1433" s="2" t="str">
        <x:v>Fashion</x:v>
      </x:c>
      <x:c r="F1433" s="2" t="str">
        <x:v>Sneakers</x:v>
      </x:c>
      <x:c r="G1433" s="2" t="str">
        <x:v>Online</x:v>
      </x:c>
      <x:c r="H1433" s="7" t="n">
        <x:v>1</x:v>
      </x:c>
      <x:c r="I1433" s="9" t="n">
        <x:v>28000</x:v>
      </x:c>
      <x:c r="J1433" s="9" t="n">
        <x:v>17500</x:v>
      </x:c>
      <x:c r="K1433" s="10" t="n">
        <x:v>0.1</x:v>
      </x:c>
      <x:c r="L1433" s="2" t="str">
        <x:v>Completed</x:v>
      </x:c>
      <x:c r="M1433" s="12" t="n">
        <x:f>H1433*I1433</x:f>
        <x:v>28000</x:v>
      </x:c>
      <x:c r="N1433" s="12" t="n">
        <x:f>IF(L1433="Completed",ROUND(M1433*(1-K1433),2),0)</x:f>
        <x:v>25200</x:v>
      </x:c>
      <x:c r="O1433" s="12" t="n">
        <x:f>IF(L1433="Completed",H1433*J1433,0)</x:f>
        <x:v>17500</x:v>
      </x:c>
      <x:c r="P1433" s="12" t="n">
        <x:f>N1433-O1433</x:f>
        <x:v>7700</x:v>
      </x:c>
    </x:row>
    <x:row r="1434" ht="21" customHeight="1">
      <x:c r="A1434" s="7" t="n">
        <x:v>1429</x:v>
      </x:c>
      <x:c r="B1434" s="2" t="str">
        <x:v>TXN-01429</x:v>
      </x:c>
      <x:c r="C1434" s="8" t="d">
        <x:v>2025-12-15T00:00:00.000Z</x:v>
      </x:c>
      <x:c r="D1434" s="2" t="str">
        <x:v>Lagos</x:v>
      </x:c>
      <x:c r="E1434" s="2" t="str">
        <x:v>Fashion</x:v>
      </x:c>
      <x:c r="F1434" s="2" t="str">
        <x:v>Sneakers</x:v>
      </x:c>
      <x:c r="G1434" s="2" t="str">
        <x:v>Online</x:v>
      </x:c>
      <x:c r="H1434" s="7" t="n">
        <x:v>2</x:v>
      </x:c>
      <x:c r="I1434" s="9" t="n">
        <x:v>28000</x:v>
      </x:c>
      <x:c r="J1434" s="9" t="n">
        <x:v>17500</x:v>
      </x:c>
      <x:c r="K1434" s="10" t="n">
        <x:v>0</x:v>
      </x:c>
      <x:c r="L1434" s="2" t="str">
        <x:v>Completed</x:v>
      </x:c>
      <x:c r="M1434" s="12" t="n">
        <x:f>H1434*I1434</x:f>
        <x:v>56000</x:v>
      </x:c>
      <x:c r="N1434" s="12" t="n">
        <x:f>IF(L1434="Completed",ROUND(M1434*(1-K1434),2),0)</x:f>
        <x:v>56000</x:v>
      </x:c>
      <x:c r="O1434" s="12" t="n">
        <x:f>IF(L1434="Completed",H1434*J1434,0)</x:f>
        <x:v>35000</x:v>
      </x:c>
      <x:c r="P1434" s="12" t="n">
        <x:f>N1434-O1434</x:f>
        <x:v>21000</x:v>
      </x:c>
    </x:row>
    <x:row r="1435" ht="21" customHeight="1">
      <x:c r="A1435" s="7" t="n">
        <x:v>1430</x:v>
      </x:c>
      <x:c r="B1435" s="2" t="str">
        <x:v>TXN-01430</x:v>
      </x:c>
      <x:c r="C1435" s="8" t="d">
        <x:v>2025-12-02T00:00:00.000Z</x:v>
      </x:c>
      <x:c r="D1435" s="2" t="str">
        <x:v>Lagos</x:v>
      </x:c>
      <x:c r="E1435" s="2" t="str">
        <x:v>Electronics</x:v>
      </x:c>
      <x:c r="F1435" s="2" t="str">
        <x:v>Headphones</x:v>
      </x:c>
      <x:c r="G1435" s="2" t="str">
        <x:v>Online</x:v>
      </x:c>
      <x:c r="H1435" s="7" t="n">
        <x:v>3</x:v>
      </x:c>
      <x:c r="I1435" s="9" t="n">
        <x:v>18000</x:v>
      </x:c>
      <x:c r="J1435" s="9" t="n">
        <x:v>10500</x:v>
      </x:c>
      <x:c r="K1435" s="10" t="n">
        <x:v>0</x:v>
      </x:c>
      <x:c r="L1435" s="2" t="str">
        <x:v>Completed</x:v>
      </x:c>
      <x:c r="M1435" s="12" t="n">
        <x:f>H1435*I1435</x:f>
        <x:v>54000</x:v>
      </x:c>
      <x:c r="N1435" s="12" t="n">
        <x:f>IF(L1435="Completed",ROUND(M1435*(1-K1435),2),0)</x:f>
        <x:v>54000</x:v>
      </x:c>
      <x:c r="O1435" s="12" t="n">
        <x:f>IF(L1435="Completed",H1435*J1435,0)</x:f>
        <x:v>31500</x:v>
      </x:c>
      <x:c r="P1435" s="12" t="n">
        <x:f>N1435-O1435</x:f>
        <x:v>22500</x:v>
      </x:c>
    </x:row>
    <x:row r="1436" ht="21" customHeight="1">
      <x:c r="A1436" s="7" t="n">
        <x:v>1431</x:v>
      </x:c>
      <x:c r="B1436" s="2" t="str">
        <x:v>TXN-01431</x:v>
      </x:c>
      <x:c r="C1436" s="8" t="d">
        <x:v>2025-12-08T00:00:00.000Z</x:v>
      </x:c>
      <x:c r="D1436" s="2" t="str">
        <x:v>Lagos</x:v>
      </x:c>
      <x:c r="E1436" s="2" t="str">
        <x:v>Electronics</x:v>
      </x:c>
      <x:c r="F1436" s="2" t="str">
        <x:v>Power bank</x:v>
      </x:c>
      <x:c r="G1436" s="2" t="str">
        <x:v>Online</x:v>
      </x:c>
      <x:c r="H1436" s="7" t="n">
        <x:v>1</x:v>
      </x:c>
      <x:c r="I1436" s="9" t="n">
        <x:v>15000</x:v>
      </x:c>
      <x:c r="J1436" s="9" t="n">
        <x:v>9500</x:v>
      </x:c>
      <x:c r="K1436" s="10" t="n">
        <x:v>0.1</x:v>
      </x:c>
      <x:c r="L1436" s="2" t="str">
        <x:v>Completed</x:v>
      </x:c>
      <x:c r="M1436" s="12" t="n">
        <x:f>H1436*I1436</x:f>
        <x:v>15000</x:v>
      </x:c>
      <x:c r="N1436" s="12" t="n">
        <x:f>IF(L1436="Completed",ROUND(M1436*(1-K1436),2),0)</x:f>
        <x:v>13500</x:v>
      </x:c>
      <x:c r="O1436" s="12" t="n">
        <x:f>IF(L1436="Completed",H1436*J1436,0)</x:f>
        <x:v>9500</x:v>
      </x:c>
      <x:c r="P1436" s="12" t="n">
        <x:f>N1436-O1436</x:f>
        <x:v>4000</x:v>
      </x:c>
    </x:row>
    <x:row r="1437" ht="21" customHeight="1">
      <x:c r="A1437" s="7" t="n">
        <x:v>1432</x:v>
      </x:c>
      <x:c r="B1437" s="2" t="str">
        <x:v>TXN-01432</x:v>
      </x:c>
      <x:c r="C1437" s="8" t="d">
        <x:v>2025-12-02T00:00:00.000Z</x:v>
      </x:c>
      <x:c r="D1437" s="2" t="str">
        <x:v>Port Harcourt</x:v>
      </x:c>
      <x:c r="E1437" s="2" t="str">
        <x:v>Fashion</x:v>
      </x:c>
      <x:c r="F1437" s="2" t="str">
        <x:v>Sneakers</x:v>
      </x:c>
      <x:c r="G1437" s="2" t="str">
        <x:v>Online</x:v>
      </x:c>
      <x:c r="H1437" s="7" t="n">
        <x:v>1</x:v>
      </x:c>
      <x:c r="I1437" s="9" t="n">
        <x:v>28000</x:v>
      </x:c>
      <x:c r="J1437" s="9" t="n">
        <x:v>17500</x:v>
      </x:c>
      <x:c r="K1437" s="10" t="n">
        <x:v>0</x:v>
      </x:c>
      <x:c r="L1437" s="2" t="str">
        <x:v>Completed</x:v>
      </x:c>
      <x:c r="M1437" s="12" t="n">
        <x:f>H1437*I1437</x:f>
        <x:v>28000</x:v>
      </x:c>
      <x:c r="N1437" s="12" t="n">
        <x:f>IF(L1437="Completed",ROUND(M1437*(1-K1437),2),0)</x:f>
        <x:v>28000</x:v>
      </x:c>
      <x:c r="O1437" s="12" t="n">
        <x:f>IF(L1437="Completed",H1437*J1437,0)</x:f>
        <x:v>17500</x:v>
      </x:c>
      <x:c r="P1437" s="12" t="n">
        <x:f>N1437-O1437</x:f>
        <x:v>10500</x:v>
      </x:c>
    </x:row>
    <x:row r="1438" ht="21" customHeight="1">
      <x:c r="A1438" s="7" t="n">
        <x:v>1433</x:v>
      </x:c>
      <x:c r="B1438" s="2" t="str">
        <x:v>TXN-01433</x:v>
      </x:c>
      <x:c r="C1438" s="8" t="d">
        <x:v>2025-12-22T00:00:00.000Z</x:v>
      </x:c>
      <x:c r="D1438" s="2" t="str">
        <x:v>Lagos</x:v>
      </x:c>
      <x:c r="E1438" s="2" t="str">
        <x:v>Fashion</x:v>
      </x:c>
      <x:c r="F1438" s="2" t="str">
        <x:v>T-shirt</x:v>
      </x:c>
      <x:c r="G1438" s="2" t="str">
        <x:v>Online</x:v>
      </x:c>
      <x:c r="H1438" s="7" t="n">
        <x:v>4</x:v>
      </x:c>
      <x:c r="I1438" s="9" t="n">
        <x:v>9000</x:v>
      </x:c>
      <x:c r="J1438" s="9" t="n">
        <x:v>5000</x:v>
      </x:c>
      <x:c r="K1438" s="10" t="n">
        <x:v>0.15</x:v>
      </x:c>
      <x:c r="L1438" s="2" t="str">
        <x:v>Completed</x:v>
      </x:c>
      <x:c r="M1438" s="12" t="n">
        <x:f>H1438*I1438</x:f>
        <x:v>36000</x:v>
      </x:c>
      <x:c r="N1438" s="12" t="n">
        <x:f>IF(L1438="Completed",ROUND(M1438*(1-K1438),2),0)</x:f>
        <x:v>30600</x:v>
      </x:c>
      <x:c r="O1438" s="12" t="n">
        <x:f>IF(L1438="Completed",H1438*J1438,0)</x:f>
        <x:v>20000</x:v>
      </x:c>
      <x:c r="P1438" s="12" t="n">
        <x:f>N1438-O1438</x:f>
        <x:v>10600</x:v>
      </x:c>
    </x:row>
    <x:row r="1439" ht="21" customHeight="1">
      <x:c r="A1439" s="7" t="n">
        <x:v>1434</x:v>
      </x:c>
      <x:c r="B1439" s="2" t="str">
        <x:v>TXN-01434</x:v>
      </x:c>
      <x:c r="C1439" s="8" t="d">
        <x:v>2025-12-16T00:00:00.000Z</x:v>
      </x:c>
      <x:c r="D1439" s="2" t="str">
        <x:v>Kano</x:v>
      </x:c>
      <x:c r="E1439" s="2" t="str">
        <x:v>Fashion</x:v>
      </x:c>
      <x:c r="F1439" s="2" t="str">
        <x:v>T-shirt</x:v>
      </x:c>
      <x:c r="G1439" s="2" t="str">
        <x:v>Online</x:v>
      </x:c>
      <x:c r="H1439" s="7" t="n">
        <x:v>2</x:v>
      </x:c>
      <x:c r="I1439" s="9" t="n">
        <x:v>9000</x:v>
      </x:c>
      <x:c r="J1439" s="9" t="n">
        <x:v>5000</x:v>
      </x:c>
      <x:c r="K1439" s="10" t="n">
        <x:v>0</x:v>
      </x:c>
      <x:c r="L1439" s="2" t="str">
        <x:v>Completed</x:v>
      </x:c>
      <x:c r="M1439" s="12" t="n">
        <x:f>H1439*I1439</x:f>
        <x:v>18000</x:v>
      </x:c>
      <x:c r="N1439" s="12" t="n">
        <x:f>IF(L1439="Completed",ROUND(M1439*(1-K1439),2),0)</x:f>
        <x:v>18000</x:v>
      </x:c>
      <x:c r="O1439" s="12" t="n">
        <x:f>IF(L1439="Completed",H1439*J1439,0)</x:f>
        <x:v>10000</x:v>
      </x:c>
      <x:c r="P1439" s="12" t="n">
        <x:f>N1439-O1439</x:f>
        <x:v>8000</x:v>
      </x:c>
    </x:row>
    <x:row r="1440" ht="21" customHeight="1">
      <x:c r="A1440" s="7" t="n">
        <x:v>1435</x:v>
      </x:c>
      <x:c r="B1440" s="2" t="str">
        <x:v>TXN-01435</x:v>
      </x:c>
      <x:c r="C1440" s="8" t="d">
        <x:v>2025-12-15T00:00:00.000Z</x:v>
      </x:c>
      <x:c r="D1440" s="2" t="str">
        <x:v>Lagos</x:v>
      </x:c>
      <x:c r="E1440" s="2" t="str">
        <x:v>Home</x:v>
      </x:c>
      <x:c r="F1440" s="2" t="str">
        <x:v>Bedsheet</x:v>
      </x:c>
      <x:c r="G1440" s="2" t="str">
        <x:v>Online</x:v>
      </x:c>
      <x:c r="H1440" s="7" t="n">
        <x:v>2</x:v>
      </x:c>
      <x:c r="I1440" s="9" t="n">
        <x:v>14000</x:v>
      </x:c>
      <x:c r="J1440" s="9" t="n">
        <x:v>8500</x:v>
      </x:c>
      <x:c r="K1440" s="10" t="n">
        <x:v>0.1</x:v>
      </x:c>
      <x:c r="L1440" s="2" t="str">
        <x:v>Completed</x:v>
      </x:c>
      <x:c r="M1440" s="12" t="n">
        <x:f>H1440*I1440</x:f>
        <x:v>28000</x:v>
      </x:c>
      <x:c r="N1440" s="12" t="n">
        <x:f>IF(L1440="Completed",ROUND(M1440*(1-K1440),2),0)</x:f>
        <x:v>25200</x:v>
      </x:c>
      <x:c r="O1440" s="12" t="n">
        <x:f>IF(L1440="Completed",H1440*J1440,0)</x:f>
        <x:v>17000</x:v>
      </x:c>
      <x:c r="P1440" s="12" t="n">
        <x:f>N1440-O1440</x:f>
        <x:v>8200</x:v>
      </x:c>
    </x:row>
    <x:row r="1441" ht="21" customHeight="1">
      <x:c r="A1441" s="7" t="n">
        <x:v>1436</x:v>
      </x:c>
      <x:c r="B1441" s="2" t="str">
        <x:v>TXN-01436</x:v>
      </x:c>
      <x:c r="C1441" s="8" t="d">
        <x:v>2025-12-02T00:00:00.000Z</x:v>
      </x:c>
      <x:c r="D1441" s="2" t="str">
        <x:v>Lagos</x:v>
      </x:c>
      <x:c r="E1441" s="2" t="str">
        <x:v>Beauty</x:v>
      </x:c>
      <x:c r="F1441" s="2" t="str">
        <x:v>Perfume</x:v>
      </x:c>
      <x:c r="G1441" s="2" t="str">
        <x:v>In-store</x:v>
      </x:c>
      <x:c r="H1441" s="7" t="n">
        <x:v>4</x:v>
      </x:c>
      <x:c r="I1441" s="9" t="n">
        <x:v>17000</x:v>
      </x:c>
      <x:c r="J1441" s="9" t="n">
        <x:v>9000</x:v>
      </x:c>
      <x:c r="K1441" s="10" t="n">
        <x:v>0.05</x:v>
      </x:c>
      <x:c r="L1441" s="2" t="str">
        <x:v>Completed</x:v>
      </x:c>
      <x:c r="M1441" s="12" t="n">
        <x:f>H1441*I1441</x:f>
        <x:v>68000</x:v>
      </x:c>
      <x:c r="N1441" s="12" t="n">
        <x:f>IF(L1441="Completed",ROUND(M1441*(1-K1441),2),0)</x:f>
        <x:v>64600</x:v>
      </x:c>
      <x:c r="O1441" s="12" t="n">
        <x:f>IF(L1441="Completed",H1441*J1441,0)</x:f>
        <x:v>36000</x:v>
      </x:c>
      <x:c r="P1441" s="12" t="n">
        <x:f>N1441-O1441</x:f>
        <x:v>28600</x:v>
      </x:c>
    </x:row>
    <x:row r="1442" ht="21" customHeight="1">
      <x:c r="A1442" s="7" t="n">
        <x:v>1437</x:v>
      </x:c>
      <x:c r="B1442" s="2" t="str">
        <x:v>TXN-01437</x:v>
      </x:c>
      <x:c r="C1442" s="8" t="d">
        <x:v>2025-12-17T00:00:00.000Z</x:v>
      </x:c>
      <x:c r="D1442" s="2" t="str">
        <x:v>Lagos</x:v>
      </x:c>
      <x:c r="E1442" s="2" t="str">
        <x:v>Electronics</x:v>
      </x:c>
      <x:c r="F1442" s="2" t="str">
        <x:v>Power bank</x:v>
      </x:c>
      <x:c r="G1442" s="2" t="str">
        <x:v>In-store</x:v>
      </x:c>
      <x:c r="H1442" s="7" t="n">
        <x:v>2</x:v>
      </x:c>
      <x:c r="I1442" s="9" t="n">
        <x:v>15000</x:v>
      </x:c>
      <x:c r="J1442" s="9" t="n">
        <x:v>9500</x:v>
      </x:c>
      <x:c r="K1442" s="10" t="n">
        <x:v>0.05</x:v>
      </x:c>
      <x:c r="L1442" s="2" t="str">
        <x:v>Completed</x:v>
      </x:c>
      <x:c r="M1442" s="12" t="n">
        <x:f>H1442*I1442</x:f>
        <x:v>30000</x:v>
      </x:c>
      <x:c r="N1442" s="12" t="n">
        <x:f>IF(L1442="Completed",ROUND(M1442*(1-K1442),2),0)</x:f>
        <x:v>28500</x:v>
      </x:c>
      <x:c r="O1442" s="12" t="n">
        <x:f>IF(L1442="Completed",H1442*J1442,0)</x:f>
        <x:v>19000</x:v>
      </x:c>
      <x:c r="P1442" s="12" t="n">
        <x:f>N1442-O1442</x:f>
        <x:v>9500</x:v>
      </x:c>
    </x:row>
    <x:row r="1443" ht="21" customHeight="1">
      <x:c r="A1443" s="7" t="n">
        <x:v>1438</x:v>
      </x:c>
      <x:c r="B1443" s="2" t="str">
        <x:v>TXN-01438</x:v>
      </x:c>
      <x:c r="C1443" s="8" t="d">
        <x:v>2025-12-13T00:00:00.000Z</x:v>
      </x:c>
      <x:c r="D1443" s="2" t="str">
        <x:v>Port Harcourt</x:v>
      </x:c>
      <x:c r="E1443" s="2" t="str">
        <x:v>Home</x:v>
      </x:c>
      <x:c r="F1443" s="2" t="str">
        <x:v>Cookware set</x:v>
      </x:c>
      <x:c r="G1443" s="2" t="str">
        <x:v>Online</x:v>
      </x:c>
      <x:c r="H1443" s="7" t="n">
        <x:v>1</x:v>
      </x:c>
      <x:c r="I1443" s="9" t="n">
        <x:v>35000</x:v>
      </x:c>
      <x:c r="J1443" s="9" t="n">
        <x:v>22500</x:v>
      </x:c>
      <x:c r="K1443" s="10" t="n">
        <x:v>0</x:v>
      </x:c>
      <x:c r="L1443" s="2" t="str">
        <x:v>Completed</x:v>
      </x:c>
      <x:c r="M1443" s="12" t="n">
        <x:f>H1443*I1443</x:f>
        <x:v>35000</x:v>
      </x:c>
      <x:c r="N1443" s="12" t="n">
        <x:f>IF(L1443="Completed",ROUND(M1443*(1-K1443),2),0)</x:f>
        <x:v>35000</x:v>
      </x:c>
      <x:c r="O1443" s="12" t="n">
        <x:f>IF(L1443="Completed",H1443*J1443,0)</x:f>
        <x:v>22500</x:v>
      </x:c>
      <x:c r="P1443" s="12" t="n">
        <x:f>N1443-O1443</x:f>
        <x:v>12500</x:v>
      </x:c>
    </x:row>
    <x:row r="1444" ht="21" customHeight="1">
      <x:c r="A1444" s="7" t="n">
        <x:v>1439</x:v>
      </x:c>
      <x:c r="B1444" s="2" t="str">
        <x:v>TXN-01439</x:v>
      </x:c>
      <x:c r="C1444" s="8" t="d">
        <x:v>2025-12-17T00:00:00.000Z</x:v>
      </x:c>
      <x:c r="D1444" s="2" t="str">
        <x:v>Kano</x:v>
      </x:c>
      <x:c r="E1444" s="2" t="str">
        <x:v>Home</x:v>
      </x:c>
      <x:c r="F1444" s="2" t="str">
        <x:v>Cookware set</x:v>
      </x:c>
      <x:c r="G1444" s="2" t="str">
        <x:v>In-store</x:v>
      </x:c>
      <x:c r="H1444" s="7" t="n">
        <x:v>1</x:v>
      </x:c>
      <x:c r="I1444" s="9" t="n">
        <x:v>35000</x:v>
      </x:c>
      <x:c r="J1444" s="9" t="n">
        <x:v>22500</x:v>
      </x:c>
      <x:c r="K1444" s="10" t="n">
        <x:v>0</x:v>
      </x:c>
      <x:c r="L1444" s="2" t="str">
        <x:v>Completed</x:v>
      </x:c>
      <x:c r="M1444" s="12" t="n">
        <x:f>H1444*I1444</x:f>
        <x:v>35000</x:v>
      </x:c>
      <x:c r="N1444" s="12" t="n">
        <x:f>IF(L1444="Completed",ROUND(M1444*(1-K1444),2),0)</x:f>
        <x:v>35000</x:v>
      </x:c>
      <x:c r="O1444" s="12" t="n">
        <x:f>IF(L1444="Completed",H1444*J1444,0)</x:f>
        <x:v>22500</x:v>
      </x:c>
      <x:c r="P1444" s="12" t="n">
        <x:f>N1444-O1444</x:f>
        <x:v>12500</x:v>
      </x:c>
    </x:row>
    <x:row r="1445" ht="21" customHeight="1">
      <x:c r="A1445" s="7" t="n">
        <x:v>1440</x:v>
      </x:c>
      <x:c r="B1445" s="2" t="str">
        <x:v>TXN-01440</x:v>
      </x:c>
      <x:c r="C1445" s="8" t="d">
        <x:v>2025-12-18T00:00:00.000Z</x:v>
      </x:c>
      <x:c r="D1445" s="2" t="str">
        <x:v>Lagos</x:v>
      </x:c>
      <x:c r="E1445" s="2" t="str">
        <x:v>Beauty</x:v>
      </x:c>
      <x:c r="F1445" s="2" t="str">
        <x:v>Body wash</x:v>
      </x:c>
      <x:c r="G1445" s="2" t="str">
        <x:v>Online</x:v>
      </x:c>
      <x:c r="H1445" s="7" t="n">
        <x:v>1</x:v>
      </x:c>
      <x:c r="I1445" s="9" t="n">
        <x:v>4500</x:v>
      </x:c>
      <x:c r="J1445" s="9" t="n">
        <x:v>2300</x:v>
      </x:c>
      <x:c r="K1445" s="10" t="n">
        <x:v>0.05</x:v>
      </x:c>
      <x:c r="L1445" s="2" t="str">
        <x:v>Completed</x:v>
      </x:c>
      <x:c r="M1445" s="12" t="n">
        <x:f>H1445*I1445</x:f>
        <x:v>4500</x:v>
      </x:c>
      <x:c r="N1445" s="12" t="n">
        <x:f>IF(L1445="Completed",ROUND(M1445*(1-K1445),2),0)</x:f>
        <x:v>4275</x:v>
      </x:c>
      <x:c r="O1445" s="12" t="n">
        <x:f>IF(L1445="Completed",H1445*J1445,0)</x:f>
        <x:v>2300</x:v>
      </x:c>
      <x:c r="P1445" s="12" t="n">
        <x:f>N1445-O1445</x:f>
        <x:v>1975</x:v>
      </x:c>
    </x:row>
    <x:row r="1446" ht="21" customHeight="1">
      <x:c r="A1446" s="7" t="n">
        <x:v>1441</x:v>
      </x:c>
      <x:c r="B1446" s="2" t="str">
        <x:v>TXN-01441</x:v>
      </x:c>
      <x:c r="C1446" s="8" t="d">
        <x:v>2025-12-23T00:00:00.000Z</x:v>
      </x:c>
      <x:c r="D1446" s="2" t="str">
        <x:v>Kano</x:v>
      </x:c>
      <x:c r="E1446" s="2" t="str">
        <x:v>Fashion</x:v>
      </x:c>
      <x:c r="F1446" s="2" t="str">
        <x:v>Sneakers</x:v>
      </x:c>
      <x:c r="G1446" s="2" t="str">
        <x:v>Online</x:v>
      </x:c>
      <x:c r="H1446" s="7" t="n">
        <x:v>1</x:v>
      </x:c>
      <x:c r="I1446" s="9" t="n">
        <x:v>28000</x:v>
      </x:c>
      <x:c r="J1446" s="9" t="n">
        <x:v>17500</x:v>
      </x:c>
      <x:c r="K1446" s="10" t="n">
        <x:v>0.1</x:v>
      </x:c>
      <x:c r="L1446" s="2" t="str">
        <x:v>Returned</x:v>
      </x:c>
      <x:c r="M1446" s="12" t="n">
        <x:f>H1446*I1446</x:f>
        <x:v>28000</x:v>
      </x:c>
      <x:c r="N1446" s="12" t="n">
        <x:f>IF(L1446="Completed",ROUND(M1446*(1-K1446),2),0)</x:f>
        <x:v>0</x:v>
      </x:c>
      <x:c r="O1446" s="12" t="n">
        <x:f>IF(L1446="Completed",H1446*J1446,0)</x:f>
        <x:v>0</x:v>
      </x:c>
      <x:c r="P1446" s="12" t="n">
        <x:f>N1446-O1446</x:f>
        <x:v>0</x:v>
      </x:c>
    </x:row>
    <x:row r="1447" ht="21" customHeight="1">
      <x:c r="A1447" s="7" t="n">
        <x:v>1442</x:v>
      </x:c>
      <x:c r="B1447" s="2" t="str">
        <x:v>TXN-01442</x:v>
      </x:c>
      <x:c r="C1447" s="8" t="d">
        <x:v>2025-12-22T00:00:00.000Z</x:v>
      </x:c>
      <x:c r="D1447" s="2" t="str">
        <x:v>Kano</x:v>
      </x:c>
      <x:c r="E1447" s="2" t="str">
        <x:v>Fashion</x:v>
      </x:c>
      <x:c r="F1447" s="2" t="str">
        <x:v>T-shirt</x:v>
      </x:c>
      <x:c r="G1447" s="2" t="str">
        <x:v>Online</x:v>
      </x:c>
      <x:c r="H1447" s="7" t="n">
        <x:v>1</x:v>
      </x:c>
      <x:c r="I1447" s="9" t="n">
        <x:v>9000</x:v>
      </x:c>
      <x:c r="J1447" s="9" t="n">
        <x:v>5000</x:v>
      </x:c>
      <x:c r="K1447" s="10" t="n">
        <x:v>0</x:v>
      </x:c>
      <x:c r="L1447" s="2" t="str">
        <x:v>Returned</x:v>
      </x:c>
      <x:c r="M1447" s="12" t="n">
        <x:f>H1447*I1447</x:f>
        <x:v>9000</x:v>
      </x:c>
      <x:c r="N1447" s="12" t="n">
        <x:f>IF(L1447="Completed",ROUND(M1447*(1-K1447),2),0)</x:f>
        <x:v>0</x:v>
      </x:c>
      <x:c r="O1447" s="12" t="n">
        <x:f>IF(L1447="Completed",H1447*J1447,0)</x:f>
        <x:v>0</x:v>
      </x:c>
      <x:c r="P1447" s="12" t="n">
        <x:f>N1447-O1447</x:f>
        <x:v>0</x:v>
      </x:c>
    </x:row>
    <x:row r="1448" ht="21" customHeight="1">
      <x:c r="A1448" s="7" t="n">
        <x:v>1443</x:v>
      </x:c>
      <x:c r="B1448" s="2" t="str">
        <x:v>TXN-01443</x:v>
      </x:c>
      <x:c r="C1448" s="8" t="d">
        <x:v>2025-12-08T00:00:00.000Z</x:v>
      </x:c>
      <x:c r="D1448" s="2" t="str">
        <x:v>Abuja</x:v>
      </x:c>
      <x:c r="E1448" s="2" t="str">
        <x:v>Electronics</x:v>
      </x:c>
      <x:c r="F1448" s="2" t="str">
        <x:v>Power bank</x:v>
      </x:c>
      <x:c r="G1448" s="2" t="str">
        <x:v>In-store</x:v>
      </x:c>
      <x:c r="H1448" s="7" t="n">
        <x:v>1</x:v>
      </x:c>
      <x:c r="I1448" s="9" t="n">
        <x:v>15000</x:v>
      </x:c>
      <x:c r="J1448" s="9" t="n">
        <x:v>9500</x:v>
      </x:c>
      <x:c r="K1448" s="10" t="n">
        <x:v>0</x:v>
      </x:c>
      <x:c r="L1448" s="2" t="str">
        <x:v>Completed</x:v>
      </x:c>
      <x:c r="M1448" s="12" t="n">
        <x:f>H1448*I1448</x:f>
        <x:v>15000</x:v>
      </x:c>
      <x:c r="N1448" s="12" t="n">
        <x:f>IF(L1448="Completed",ROUND(M1448*(1-K1448),2),0)</x:f>
        <x:v>15000</x:v>
      </x:c>
      <x:c r="O1448" s="12" t="n">
        <x:f>IF(L1448="Completed",H1448*J1448,0)</x:f>
        <x:v>9500</x:v>
      </x:c>
      <x:c r="P1448" s="12" t="n">
        <x:f>N1448-O1448</x:f>
        <x:v>5500</x:v>
      </x:c>
    </x:row>
    <x:row r="1449" ht="21" customHeight="1">
      <x:c r="A1449" s="7" t="n">
        <x:v>1444</x:v>
      </x:c>
      <x:c r="B1449" s="2" t="str">
        <x:v>TXN-01444</x:v>
      </x:c>
      <x:c r="C1449" s="8" t="d">
        <x:v>2025-12-29T00:00:00.000Z</x:v>
      </x:c>
      <x:c r="D1449" s="2" t="str">
        <x:v>Port Harcourt</x:v>
      </x:c>
      <x:c r="E1449" s="2" t="str">
        <x:v>Fashion</x:v>
      </x:c>
      <x:c r="F1449" s="2" t="str">
        <x:v>Sneakers</x:v>
      </x:c>
      <x:c r="G1449" s="2" t="str">
        <x:v>Online</x:v>
      </x:c>
      <x:c r="H1449" s="7" t="n">
        <x:v>1</x:v>
      </x:c>
      <x:c r="I1449" s="9" t="n">
        <x:v>28000</x:v>
      </x:c>
      <x:c r="J1449" s="9" t="n">
        <x:v>17500</x:v>
      </x:c>
      <x:c r="K1449" s="10" t="n">
        <x:v>0.05</x:v>
      </x:c>
      <x:c r="L1449" s="2" t="str">
        <x:v>Completed</x:v>
      </x:c>
      <x:c r="M1449" s="12" t="n">
        <x:f>H1449*I1449</x:f>
        <x:v>28000</x:v>
      </x:c>
      <x:c r="N1449" s="12" t="n">
        <x:f>IF(L1449="Completed",ROUND(M1449*(1-K1449),2),0)</x:f>
        <x:v>26600</x:v>
      </x:c>
      <x:c r="O1449" s="12" t="n">
        <x:f>IF(L1449="Completed",H1449*J1449,0)</x:f>
        <x:v>17500</x:v>
      </x:c>
      <x:c r="P1449" s="12" t="n">
        <x:f>N1449-O1449</x:f>
        <x:v>9100</x:v>
      </x:c>
    </x:row>
    <x:row r="1450" ht="21" customHeight="1">
      <x:c r="A1450" s="7" t="n">
        <x:v>1445</x:v>
      </x:c>
      <x:c r="B1450" s="2" t="str">
        <x:v>TXN-01445</x:v>
      </x:c>
      <x:c r="C1450" s="8" t="d">
        <x:v>2025-12-27T00:00:00.000Z</x:v>
      </x:c>
      <x:c r="D1450" s="2" t="str">
        <x:v>Lagos</x:v>
      </x:c>
      <x:c r="E1450" s="2" t="str">
        <x:v>Beauty</x:v>
      </x:c>
      <x:c r="F1450" s="2" t="str">
        <x:v>Moisturizer</x:v>
      </x:c>
      <x:c r="G1450" s="2" t="str">
        <x:v>In-store</x:v>
      </x:c>
      <x:c r="H1450" s="7" t="n">
        <x:v>1</x:v>
      </x:c>
      <x:c r="I1450" s="9" t="n">
        <x:v>6500</x:v>
      </x:c>
      <x:c r="J1450" s="9" t="n">
        <x:v>3500</x:v>
      </x:c>
      <x:c r="K1450" s="10" t="n">
        <x:v>0.1</x:v>
      </x:c>
      <x:c r="L1450" s="2" t="str">
        <x:v>Completed</x:v>
      </x:c>
      <x:c r="M1450" s="12" t="n">
        <x:f>H1450*I1450</x:f>
        <x:v>6500</x:v>
      </x:c>
      <x:c r="N1450" s="12" t="n">
        <x:f>IF(L1450="Completed",ROUND(M1450*(1-K1450),2),0)</x:f>
        <x:v>5850</x:v>
      </x:c>
      <x:c r="O1450" s="12" t="n">
        <x:f>IF(L1450="Completed",H1450*J1450,0)</x:f>
        <x:v>3500</x:v>
      </x:c>
      <x:c r="P1450" s="12" t="n">
        <x:f>N1450-O1450</x:f>
        <x:v>2350</x:v>
      </x:c>
    </x:row>
    <x:row r="1451" ht="21" customHeight="1">
      <x:c r="A1451" s="7" t="n">
        <x:v>1446</x:v>
      </x:c>
      <x:c r="B1451" s="2" t="str">
        <x:v>TXN-01446</x:v>
      </x:c>
      <x:c r="C1451" s="8" t="d">
        <x:v>2025-12-06T00:00:00.000Z</x:v>
      </x:c>
      <x:c r="D1451" s="2" t="str">
        <x:v>Lagos</x:v>
      </x:c>
      <x:c r="E1451" s="2" t="str">
        <x:v>Beauty</x:v>
      </x:c>
      <x:c r="F1451" s="2" t="str">
        <x:v>Moisturizer</x:v>
      </x:c>
      <x:c r="G1451" s="2" t="str">
        <x:v>Online</x:v>
      </x:c>
      <x:c r="H1451" s="7" t="n">
        <x:v>3</x:v>
      </x:c>
      <x:c r="I1451" s="9" t="n">
        <x:v>6500</x:v>
      </x:c>
      <x:c r="J1451" s="9" t="n">
        <x:v>3500</x:v>
      </x:c>
      <x:c r="K1451" s="10" t="n">
        <x:v>0.05</x:v>
      </x:c>
      <x:c r="L1451" s="2" t="str">
        <x:v>Completed</x:v>
      </x:c>
      <x:c r="M1451" s="12" t="n">
        <x:f>H1451*I1451</x:f>
        <x:v>19500</x:v>
      </x:c>
      <x:c r="N1451" s="12" t="n">
        <x:f>IF(L1451="Completed",ROUND(M1451*(1-K1451),2),0)</x:f>
        <x:v>18525</x:v>
      </x:c>
      <x:c r="O1451" s="12" t="n">
        <x:f>IF(L1451="Completed",H1451*J1451,0)</x:f>
        <x:v>10500</x:v>
      </x:c>
      <x:c r="P1451" s="12" t="n">
        <x:f>N1451-O1451</x:f>
        <x:v>8025</x:v>
      </x:c>
    </x:row>
    <x:row r="1452" ht="21" customHeight="1">
      <x:c r="A1452" s="7" t="n">
        <x:v>1447</x:v>
      </x:c>
      <x:c r="B1452" s="2" t="str">
        <x:v>TXN-01447</x:v>
      </x:c>
      <x:c r="C1452" s="8" t="d">
        <x:v>2025-12-19T00:00:00.000Z</x:v>
      </x:c>
      <x:c r="D1452" s="2" t="str">
        <x:v>Kano</x:v>
      </x:c>
      <x:c r="E1452" s="2" t="str">
        <x:v>Fashion</x:v>
      </x:c>
      <x:c r="F1452" s="2" t="str">
        <x:v>Sneakers</x:v>
      </x:c>
      <x:c r="G1452" s="2" t="str">
        <x:v>In-store</x:v>
      </x:c>
      <x:c r="H1452" s="7" t="n">
        <x:v>2</x:v>
      </x:c>
      <x:c r="I1452" s="9" t="n">
        <x:v>28000</x:v>
      </x:c>
      <x:c r="J1452" s="9" t="n">
        <x:v>17500</x:v>
      </x:c>
      <x:c r="K1452" s="10" t="n">
        <x:v>0.05</x:v>
      </x:c>
      <x:c r="L1452" s="2" t="str">
        <x:v>Completed</x:v>
      </x:c>
      <x:c r="M1452" s="12" t="n">
        <x:f>H1452*I1452</x:f>
        <x:v>56000</x:v>
      </x:c>
      <x:c r="N1452" s="12" t="n">
        <x:f>IF(L1452="Completed",ROUND(M1452*(1-K1452),2),0)</x:f>
        <x:v>53200</x:v>
      </x:c>
      <x:c r="O1452" s="12" t="n">
        <x:f>IF(L1452="Completed",H1452*J1452,0)</x:f>
        <x:v>35000</x:v>
      </x:c>
      <x:c r="P1452" s="12" t="n">
        <x:f>N1452-O1452</x:f>
        <x:v>18200</x:v>
      </x:c>
    </x:row>
    <x:row r="1453" ht="21" customHeight="1">
      <x:c r="A1453" s="7" t="n">
        <x:v>1448</x:v>
      </x:c>
      <x:c r="B1453" s="2" t="str">
        <x:v>TXN-01448</x:v>
      </x:c>
      <x:c r="C1453" s="8" t="d">
        <x:v>2025-12-21T00:00:00.000Z</x:v>
      </x:c>
      <x:c r="D1453" s="2" t="str">
        <x:v>Abuja</x:v>
      </x:c>
      <x:c r="E1453" s="2" t="str">
        <x:v>Electronics</x:v>
      </x:c>
      <x:c r="F1453" s="2" t="str">
        <x:v>Power bank</x:v>
      </x:c>
      <x:c r="G1453" s="2" t="str">
        <x:v>In-store</x:v>
      </x:c>
      <x:c r="H1453" s="7" t="n">
        <x:v>1</x:v>
      </x:c>
      <x:c r="I1453" s="9" t="n">
        <x:v>15000</x:v>
      </x:c>
      <x:c r="J1453" s="9" t="n">
        <x:v>9500</x:v>
      </x:c>
      <x:c r="K1453" s="10" t="n">
        <x:v>0.1</x:v>
      </x:c>
      <x:c r="L1453" s="2" t="str">
        <x:v>Completed</x:v>
      </x:c>
      <x:c r="M1453" s="12" t="n">
        <x:f>H1453*I1453</x:f>
        <x:v>15000</x:v>
      </x:c>
      <x:c r="N1453" s="12" t="n">
        <x:f>IF(L1453="Completed",ROUND(M1453*(1-K1453),2),0)</x:f>
        <x:v>13500</x:v>
      </x:c>
      <x:c r="O1453" s="12" t="n">
        <x:f>IF(L1453="Completed",H1453*J1453,0)</x:f>
        <x:v>9500</x:v>
      </x:c>
      <x:c r="P1453" s="12" t="n">
        <x:f>N1453-O1453</x:f>
        <x:v>4000</x:v>
      </x:c>
    </x:row>
    <x:row r="1454" ht="21" customHeight="1">
      <x:c r="A1454" s="7" t="n">
        <x:v>1449</x:v>
      </x:c>
      <x:c r="B1454" s="2" t="str">
        <x:v>TXN-01449</x:v>
      </x:c>
      <x:c r="C1454" s="8" t="d">
        <x:v>2025-12-29T00:00:00.000Z</x:v>
      </x:c>
      <x:c r="D1454" s="2" t="str">
        <x:v>Kano</x:v>
      </x:c>
      <x:c r="E1454" s="2" t="str">
        <x:v>Electronics</x:v>
      </x:c>
      <x:c r="F1454" s="2" t="str">
        <x:v>Power bank</x:v>
      </x:c>
      <x:c r="G1454" s="2" t="str">
        <x:v>Online</x:v>
      </x:c>
      <x:c r="H1454" s="7" t="n">
        <x:v>1</x:v>
      </x:c>
      <x:c r="I1454" s="9" t="n">
        <x:v>15000</x:v>
      </x:c>
      <x:c r="J1454" s="9" t="n">
        <x:v>9500</x:v>
      </x:c>
      <x:c r="K1454" s="10" t="n">
        <x:v>0</x:v>
      </x:c>
      <x:c r="L1454" s="2" t="str">
        <x:v>Completed</x:v>
      </x:c>
      <x:c r="M1454" s="12" t="n">
        <x:f>H1454*I1454</x:f>
        <x:v>15000</x:v>
      </x:c>
      <x:c r="N1454" s="12" t="n">
        <x:f>IF(L1454="Completed",ROUND(M1454*(1-K1454),2),0)</x:f>
        <x:v>15000</x:v>
      </x:c>
      <x:c r="O1454" s="12" t="n">
        <x:f>IF(L1454="Completed",H1454*J1454,0)</x:f>
        <x:v>9500</x:v>
      </x:c>
      <x:c r="P1454" s="12" t="n">
        <x:f>N1454-O1454</x:f>
        <x:v>5500</x:v>
      </x:c>
    </x:row>
    <x:row r="1455" ht="21" customHeight="1">
      <x:c r="A1455" s="7" t="n">
        <x:v>1450</x:v>
      </x:c>
      <x:c r="B1455" s="2" t="str">
        <x:v>TXN-01450</x:v>
      </x:c>
      <x:c r="C1455" s="8" t="d">
        <x:v>2025-12-24T00:00:00.000Z</x:v>
      </x:c>
      <x:c r="D1455" s="2" t="str">
        <x:v>Lagos</x:v>
      </x:c>
      <x:c r="E1455" s="2" t="str">
        <x:v>Home</x:v>
      </x:c>
      <x:c r="F1455" s="2" t="str">
        <x:v>Desk lamp</x:v>
      </x:c>
      <x:c r="G1455" s="2" t="str">
        <x:v>In-store</x:v>
      </x:c>
      <x:c r="H1455" s="7" t="n">
        <x:v>1</x:v>
      </x:c>
      <x:c r="I1455" s="9" t="n">
        <x:v>12000</x:v>
      </x:c>
      <x:c r="J1455" s="9" t="n">
        <x:v>7200</x:v>
      </x:c>
      <x:c r="K1455" s="10" t="n">
        <x:v>0.05</x:v>
      </x:c>
      <x:c r="L1455" s="2" t="str">
        <x:v>Completed</x:v>
      </x:c>
      <x:c r="M1455" s="12" t="n">
        <x:f>H1455*I1455</x:f>
        <x:v>12000</x:v>
      </x:c>
      <x:c r="N1455" s="12" t="n">
        <x:f>IF(L1455="Completed",ROUND(M1455*(1-K1455),2),0)</x:f>
        <x:v>11400</x:v>
      </x:c>
      <x:c r="O1455" s="12" t="n">
        <x:f>IF(L1455="Completed",H1455*J1455,0)</x:f>
        <x:v>7200</x:v>
      </x:c>
      <x:c r="P1455" s="12" t="n">
        <x:f>N1455-O1455</x:f>
        <x:v>4200</x:v>
      </x:c>
    </x:row>
    <x:row r="1456" ht="21" customHeight="1">
      <x:c r="A1456" s="7" t="n">
        <x:v>1451</x:v>
      </x:c>
      <x:c r="B1456" s="2" t="str">
        <x:v>TXN-01451</x:v>
      </x:c>
      <x:c r="C1456" s="8" t="d">
        <x:v>2025-12-03T00:00:00.000Z</x:v>
      </x:c>
      <x:c r="D1456" s="2" t="str">
        <x:v>Lagos</x:v>
      </x:c>
      <x:c r="E1456" s="2" t="str">
        <x:v>Fashion</x:v>
      </x:c>
      <x:c r="F1456" s="2" t="str">
        <x:v>Handbag</x:v>
      </x:c>
      <x:c r="G1456" s="2" t="str">
        <x:v>Online</x:v>
      </x:c>
      <x:c r="H1456" s="7" t="n">
        <x:v>1</x:v>
      </x:c>
      <x:c r="I1456" s="9" t="n">
        <x:v>22000</x:v>
      </x:c>
      <x:c r="J1456" s="9" t="n">
        <x:v>13500</x:v>
      </x:c>
      <x:c r="K1456" s="10" t="n">
        <x:v>0</x:v>
      </x:c>
      <x:c r="L1456" s="2" t="str">
        <x:v>Returned</x:v>
      </x:c>
      <x:c r="M1456" s="12" t="n">
        <x:f>H1456*I1456</x:f>
        <x:v>22000</x:v>
      </x:c>
      <x:c r="N1456" s="12" t="n">
        <x:f>IF(L1456="Completed",ROUND(M1456*(1-K1456),2),0)</x:f>
        <x:v>0</x:v>
      </x:c>
      <x:c r="O1456" s="12" t="n">
        <x:f>IF(L1456="Completed",H1456*J1456,0)</x:f>
        <x:v>0</x:v>
      </x:c>
      <x:c r="P1456" s="12" t="n">
        <x:f>N1456-O1456</x:f>
        <x:v>0</x:v>
      </x:c>
    </x:row>
    <x:row r="1457" ht="21" customHeight="1">
      <x:c r="A1457" s="7" t="n">
        <x:v>1452</x:v>
      </x:c>
      <x:c r="B1457" s="2" t="str">
        <x:v>TXN-01452</x:v>
      </x:c>
      <x:c r="C1457" s="8" t="d">
        <x:v>2025-12-23T00:00:00.000Z</x:v>
      </x:c>
      <x:c r="D1457" s="2" t="str">
        <x:v>Lagos</x:v>
      </x:c>
      <x:c r="E1457" s="2" t="str">
        <x:v>Fashion</x:v>
      </x:c>
      <x:c r="F1457" s="2" t="str">
        <x:v>Sneakers</x:v>
      </x:c>
      <x:c r="G1457" s="2" t="str">
        <x:v>Online</x:v>
      </x:c>
      <x:c r="H1457" s="7" t="n">
        <x:v>2</x:v>
      </x:c>
      <x:c r="I1457" s="9" t="n">
        <x:v>28000</x:v>
      </x:c>
      <x:c r="J1457" s="9" t="n">
        <x:v>17500</x:v>
      </x:c>
      <x:c r="K1457" s="10" t="n">
        <x:v>0</x:v>
      </x:c>
      <x:c r="L1457" s="2" t="str">
        <x:v>Completed</x:v>
      </x:c>
      <x:c r="M1457" s="12" t="n">
        <x:f>H1457*I1457</x:f>
        <x:v>56000</x:v>
      </x:c>
      <x:c r="N1457" s="12" t="n">
        <x:f>IF(L1457="Completed",ROUND(M1457*(1-K1457),2),0)</x:f>
        <x:v>56000</x:v>
      </x:c>
      <x:c r="O1457" s="12" t="n">
        <x:f>IF(L1457="Completed",H1457*J1457,0)</x:f>
        <x:v>35000</x:v>
      </x:c>
      <x:c r="P1457" s="12" t="n">
        <x:f>N1457-O1457</x:f>
        <x:v>21000</x:v>
      </x:c>
    </x:row>
    <x:row r="1458" ht="21" customHeight="1">
      <x:c r="A1458" s="7" t="n">
        <x:v>1453</x:v>
      </x:c>
      <x:c r="B1458" s="2" t="str">
        <x:v>TXN-01453</x:v>
      </x:c>
      <x:c r="C1458" s="8" t="d">
        <x:v>2025-12-11T00:00:00.000Z</x:v>
      </x:c>
      <x:c r="D1458" s="2" t="str">
        <x:v>Lagos</x:v>
      </x:c>
      <x:c r="E1458" s="2" t="str">
        <x:v>Fashion</x:v>
      </x:c>
      <x:c r="F1458" s="2" t="str">
        <x:v>Sneakers</x:v>
      </x:c>
      <x:c r="G1458" s="2" t="str">
        <x:v>In-store</x:v>
      </x:c>
      <x:c r="H1458" s="7" t="n">
        <x:v>1</x:v>
      </x:c>
      <x:c r="I1458" s="9" t="n">
        <x:v>28000</x:v>
      </x:c>
      <x:c r="J1458" s="9" t="n">
        <x:v>17500</x:v>
      </x:c>
      <x:c r="K1458" s="10" t="n">
        <x:v>0</x:v>
      </x:c>
      <x:c r="L1458" s="2" t="str">
        <x:v>Completed</x:v>
      </x:c>
      <x:c r="M1458" s="12" t="n">
        <x:f>H1458*I1458</x:f>
        <x:v>28000</x:v>
      </x:c>
      <x:c r="N1458" s="12" t="n">
        <x:f>IF(L1458="Completed",ROUND(M1458*(1-K1458),2),0)</x:f>
        <x:v>28000</x:v>
      </x:c>
      <x:c r="O1458" s="12" t="n">
        <x:f>IF(L1458="Completed",H1458*J1458,0)</x:f>
        <x:v>17500</x:v>
      </x:c>
      <x:c r="P1458" s="12" t="n">
        <x:f>N1458-O1458</x:f>
        <x:v>10500</x:v>
      </x:c>
    </x:row>
    <x:row r="1459" ht="21" customHeight="1">
      <x:c r="A1459" s="7" t="n">
        <x:v>1454</x:v>
      </x:c>
      <x:c r="B1459" s="2" t="str">
        <x:v>TXN-01454</x:v>
      </x:c>
      <x:c r="C1459" s="8" t="d">
        <x:v>2025-12-07T00:00:00.000Z</x:v>
      </x:c>
      <x:c r="D1459" s="2" t="str">
        <x:v>Lagos</x:v>
      </x:c>
      <x:c r="E1459" s="2" t="str">
        <x:v>Fashion</x:v>
      </x:c>
      <x:c r="F1459" s="2" t="str">
        <x:v>Sneakers</x:v>
      </x:c>
      <x:c r="G1459" s="2" t="str">
        <x:v>Online</x:v>
      </x:c>
      <x:c r="H1459" s="7" t="n">
        <x:v>1</x:v>
      </x:c>
      <x:c r="I1459" s="9" t="n">
        <x:v>28000</x:v>
      </x:c>
      <x:c r="J1459" s="9" t="n">
        <x:v>17500</x:v>
      </x:c>
      <x:c r="K1459" s="10" t="n">
        <x:v>0.05</x:v>
      </x:c>
      <x:c r="L1459" s="2" t="str">
        <x:v>Completed</x:v>
      </x:c>
      <x:c r="M1459" s="12" t="n">
        <x:f>H1459*I1459</x:f>
        <x:v>28000</x:v>
      </x:c>
      <x:c r="N1459" s="12" t="n">
        <x:f>IF(L1459="Completed",ROUND(M1459*(1-K1459),2),0)</x:f>
        <x:v>26600</x:v>
      </x:c>
      <x:c r="O1459" s="12" t="n">
        <x:f>IF(L1459="Completed",H1459*J1459,0)</x:f>
        <x:v>17500</x:v>
      </x:c>
      <x:c r="P1459" s="12" t="n">
        <x:f>N1459-O1459</x:f>
        <x:v>9100</x:v>
      </x:c>
    </x:row>
    <x:row r="1460" ht="21" customHeight="1">
      <x:c r="A1460" s="7" t="n">
        <x:v>1455</x:v>
      </x:c>
      <x:c r="B1460" s="2" t="str">
        <x:v>TXN-01455</x:v>
      </x:c>
      <x:c r="C1460" s="8" t="d">
        <x:v>2025-12-13T00:00:00.000Z</x:v>
      </x:c>
      <x:c r="D1460" s="2" t="str">
        <x:v>Port Harcourt</x:v>
      </x:c>
      <x:c r="E1460" s="2" t="str">
        <x:v>Beauty</x:v>
      </x:c>
      <x:c r="F1460" s="2" t="str">
        <x:v>Body wash</x:v>
      </x:c>
      <x:c r="G1460" s="2" t="str">
        <x:v>In-store</x:v>
      </x:c>
      <x:c r="H1460" s="7" t="n">
        <x:v>2</x:v>
      </x:c>
      <x:c r="I1460" s="9" t="n">
        <x:v>4500</x:v>
      </x:c>
      <x:c r="J1460" s="9" t="n">
        <x:v>2300</x:v>
      </x:c>
      <x:c r="K1460" s="10" t="n">
        <x:v>0.1</x:v>
      </x:c>
      <x:c r="L1460" s="2" t="str">
        <x:v>Completed</x:v>
      </x:c>
      <x:c r="M1460" s="12" t="n">
        <x:f>H1460*I1460</x:f>
        <x:v>9000</x:v>
      </x:c>
      <x:c r="N1460" s="12" t="n">
        <x:f>IF(L1460="Completed",ROUND(M1460*(1-K1460),2),0)</x:f>
        <x:v>8100</x:v>
      </x:c>
      <x:c r="O1460" s="12" t="n">
        <x:f>IF(L1460="Completed",H1460*J1460,0)</x:f>
        <x:v>4600</x:v>
      </x:c>
      <x:c r="P1460" s="12" t="n">
        <x:f>N1460-O1460</x:f>
        <x:v>3500</x:v>
      </x:c>
    </x:row>
    <x:row r="1461" ht="21" customHeight="1">
      <x:c r="A1461" s="7" t="n">
        <x:v>1456</x:v>
      </x:c>
      <x:c r="B1461" s="2" t="str">
        <x:v>TXN-01456</x:v>
      </x:c>
      <x:c r="C1461" s="8" t="d">
        <x:v>2025-12-24T00:00:00.000Z</x:v>
      </x:c>
      <x:c r="D1461" s="2" t="str">
        <x:v>Port Harcourt</x:v>
      </x:c>
      <x:c r="E1461" s="2" t="str">
        <x:v>Beauty</x:v>
      </x:c>
      <x:c r="F1461" s="2" t="str">
        <x:v>Moisturizer</x:v>
      </x:c>
      <x:c r="G1461" s="2" t="str">
        <x:v>Online</x:v>
      </x:c>
      <x:c r="H1461" s="7" t="n">
        <x:v>1</x:v>
      </x:c>
      <x:c r="I1461" s="9" t="n">
        <x:v>6500</x:v>
      </x:c>
      <x:c r="J1461" s="9" t="n">
        <x:v>3500</x:v>
      </x:c>
      <x:c r="K1461" s="10" t="n">
        <x:v>0</x:v>
      </x:c>
      <x:c r="L1461" s="2" t="str">
        <x:v>Completed</x:v>
      </x:c>
      <x:c r="M1461" s="12" t="n">
        <x:f>H1461*I1461</x:f>
        <x:v>6500</x:v>
      </x:c>
      <x:c r="N1461" s="12" t="n">
        <x:f>IF(L1461="Completed",ROUND(M1461*(1-K1461),2),0)</x:f>
        <x:v>6500</x:v>
      </x:c>
      <x:c r="O1461" s="12" t="n">
        <x:f>IF(L1461="Completed",H1461*J1461,0)</x:f>
        <x:v>3500</x:v>
      </x:c>
      <x:c r="P1461" s="12" t="n">
        <x:f>N1461-O1461</x:f>
        <x:v>3000</x:v>
      </x:c>
    </x:row>
    <x:row r="1462" ht="21" customHeight="1">
      <x:c r="A1462" s="7" t="n">
        <x:v>1457</x:v>
      </x:c>
      <x:c r="B1462" s="2" t="str">
        <x:v>TXN-01457</x:v>
      </x:c>
      <x:c r="C1462" s="8" t="d">
        <x:v>2025-12-10T00:00:00.000Z</x:v>
      </x:c>
      <x:c r="D1462" s="2" t="str">
        <x:v>Lagos</x:v>
      </x:c>
      <x:c r="E1462" s="2" t="str">
        <x:v>Electronics</x:v>
      </x:c>
      <x:c r="F1462" s="2" t="str">
        <x:v>Power bank</x:v>
      </x:c>
      <x:c r="G1462" s="2" t="str">
        <x:v>Online</x:v>
      </x:c>
      <x:c r="H1462" s="7" t="n">
        <x:v>1</x:v>
      </x:c>
      <x:c r="I1462" s="9" t="n">
        <x:v>15000</x:v>
      </x:c>
      <x:c r="J1462" s="9" t="n">
        <x:v>9500</x:v>
      </x:c>
      <x:c r="K1462" s="10" t="n">
        <x:v>0.05</x:v>
      </x:c>
      <x:c r="L1462" s="2" t="str">
        <x:v>Completed</x:v>
      </x:c>
      <x:c r="M1462" s="12" t="n">
        <x:f>H1462*I1462</x:f>
        <x:v>15000</x:v>
      </x:c>
      <x:c r="N1462" s="12" t="n">
        <x:f>IF(L1462="Completed",ROUND(M1462*(1-K1462),2),0)</x:f>
        <x:v>14250</x:v>
      </x:c>
      <x:c r="O1462" s="12" t="n">
        <x:f>IF(L1462="Completed",H1462*J1462,0)</x:f>
        <x:v>9500</x:v>
      </x:c>
      <x:c r="P1462" s="12" t="n">
        <x:f>N1462-O1462</x:f>
        <x:v>4750</x:v>
      </x:c>
    </x:row>
    <x:row r="1463" ht="21" customHeight="1">
      <x:c r="A1463" s="7" t="n">
        <x:v>1458</x:v>
      </x:c>
      <x:c r="B1463" s="2" t="str">
        <x:v>TXN-01458</x:v>
      </x:c>
      <x:c r="C1463" s="8" t="d">
        <x:v>2025-12-03T00:00:00.000Z</x:v>
      </x:c>
      <x:c r="D1463" s="2" t="str">
        <x:v>Abuja</x:v>
      </x:c>
      <x:c r="E1463" s="2" t="str">
        <x:v>Electronics</x:v>
      </x:c>
      <x:c r="F1463" s="2" t="str">
        <x:v>Power bank</x:v>
      </x:c>
      <x:c r="G1463" s="2" t="str">
        <x:v>Online</x:v>
      </x:c>
      <x:c r="H1463" s="7" t="n">
        <x:v>1</x:v>
      </x:c>
      <x:c r="I1463" s="9" t="n">
        <x:v>15000</x:v>
      </x:c>
      <x:c r="J1463" s="9" t="n">
        <x:v>9500</x:v>
      </x:c>
      <x:c r="K1463" s="10" t="n">
        <x:v>0.15</x:v>
      </x:c>
      <x:c r="L1463" s="2" t="str">
        <x:v>Completed</x:v>
      </x:c>
      <x:c r="M1463" s="12" t="n">
        <x:f>H1463*I1463</x:f>
        <x:v>15000</x:v>
      </x:c>
      <x:c r="N1463" s="12" t="n">
        <x:f>IF(L1463="Completed",ROUND(M1463*(1-K1463),2),0)</x:f>
        <x:v>12750</x:v>
      </x:c>
      <x:c r="O1463" s="12" t="n">
        <x:f>IF(L1463="Completed",H1463*J1463,0)</x:f>
        <x:v>9500</x:v>
      </x:c>
      <x:c r="P1463" s="12" t="n">
        <x:f>N1463-O1463</x:f>
        <x:v>3250</x:v>
      </x:c>
    </x:row>
    <x:row r="1464" ht="21" customHeight="1">
      <x:c r="A1464" s="7" t="n">
        <x:v>1459</x:v>
      </x:c>
      <x:c r="B1464" s="2" t="str">
        <x:v>TXN-01459</x:v>
      </x:c>
      <x:c r="C1464" s="8" t="d">
        <x:v>2025-12-07T00:00:00.000Z</x:v>
      </x:c>
      <x:c r="D1464" s="2" t="str">
        <x:v>Lagos</x:v>
      </x:c>
      <x:c r="E1464" s="2" t="str">
        <x:v>Electronics</x:v>
      </x:c>
      <x:c r="F1464" s="2" t="str">
        <x:v>Headphones</x:v>
      </x:c>
      <x:c r="G1464" s="2" t="str">
        <x:v>Online</x:v>
      </x:c>
      <x:c r="H1464" s="7" t="n">
        <x:v>2</x:v>
      </x:c>
      <x:c r="I1464" s="9" t="n">
        <x:v>18000</x:v>
      </x:c>
      <x:c r="J1464" s="9" t="n">
        <x:v>10500</x:v>
      </x:c>
      <x:c r="K1464" s="10" t="n">
        <x:v>0</x:v>
      </x:c>
      <x:c r="L1464" s="2" t="str">
        <x:v>Completed</x:v>
      </x:c>
      <x:c r="M1464" s="12" t="n">
        <x:f>H1464*I1464</x:f>
        <x:v>36000</x:v>
      </x:c>
      <x:c r="N1464" s="12" t="n">
        <x:f>IF(L1464="Completed",ROUND(M1464*(1-K1464),2),0)</x:f>
        <x:v>36000</x:v>
      </x:c>
      <x:c r="O1464" s="12" t="n">
        <x:f>IF(L1464="Completed",H1464*J1464,0)</x:f>
        <x:v>21000</x:v>
      </x:c>
      <x:c r="P1464" s="12" t="n">
        <x:f>N1464-O1464</x:f>
        <x:v>15000</x:v>
      </x:c>
    </x:row>
    <x:row r="1465" ht="21" customHeight="1">
      <x:c r="A1465" s="7" t="n">
        <x:v>1460</x:v>
      </x:c>
      <x:c r="B1465" s="2" t="str">
        <x:v>TXN-01460</x:v>
      </x:c>
      <x:c r="C1465" s="8" t="d">
        <x:v>2025-12-10T00:00:00.000Z</x:v>
      </x:c>
      <x:c r="D1465" s="2" t="str">
        <x:v>Abuja</x:v>
      </x:c>
      <x:c r="E1465" s="2" t="str">
        <x:v>Home</x:v>
      </x:c>
      <x:c r="F1465" s="2" t="str">
        <x:v>Cookware set</x:v>
      </x:c>
      <x:c r="G1465" s="2" t="str">
        <x:v>Online</x:v>
      </x:c>
      <x:c r="H1465" s="7" t="n">
        <x:v>2</x:v>
      </x:c>
      <x:c r="I1465" s="9" t="n">
        <x:v>35000</x:v>
      </x:c>
      <x:c r="J1465" s="9" t="n">
        <x:v>22500</x:v>
      </x:c>
      <x:c r="K1465" s="10" t="n">
        <x:v>0</x:v>
      </x:c>
      <x:c r="L1465" s="2" t="str">
        <x:v>Completed</x:v>
      </x:c>
      <x:c r="M1465" s="12" t="n">
        <x:f>H1465*I1465</x:f>
        <x:v>70000</x:v>
      </x:c>
      <x:c r="N1465" s="12" t="n">
        <x:f>IF(L1465="Completed",ROUND(M1465*(1-K1465),2),0)</x:f>
        <x:v>70000</x:v>
      </x:c>
      <x:c r="O1465" s="12" t="n">
        <x:f>IF(L1465="Completed",H1465*J1465,0)</x:f>
        <x:v>45000</x:v>
      </x:c>
      <x:c r="P1465" s="12" t="n">
        <x:f>N1465-O1465</x:f>
        <x:v>25000</x:v>
      </x:c>
    </x:row>
    <x:row r="1466" ht="21" customHeight="1">
      <x:c r="A1466" s="7" t="n">
        <x:v>1461</x:v>
      </x:c>
      <x:c r="B1466" s="2" t="str">
        <x:v>TXN-01461</x:v>
      </x:c>
      <x:c r="C1466" s="8" t="d">
        <x:v>2025-12-01T00:00:00.000Z</x:v>
      </x:c>
      <x:c r="D1466" s="2" t="str">
        <x:v>Lagos</x:v>
      </x:c>
      <x:c r="E1466" s="2" t="str">
        <x:v>Home</x:v>
      </x:c>
      <x:c r="F1466" s="2" t="str">
        <x:v>Cookware set</x:v>
      </x:c>
      <x:c r="G1466" s="2" t="str">
        <x:v>In-store</x:v>
      </x:c>
      <x:c r="H1466" s="7" t="n">
        <x:v>1</x:v>
      </x:c>
      <x:c r="I1466" s="9" t="n">
        <x:v>35000</x:v>
      </x:c>
      <x:c r="J1466" s="9" t="n">
        <x:v>22500</x:v>
      </x:c>
      <x:c r="K1466" s="10" t="n">
        <x:v>0</x:v>
      </x:c>
      <x:c r="L1466" s="2" t="str">
        <x:v>Completed</x:v>
      </x:c>
      <x:c r="M1466" s="12" t="n">
        <x:f>H1466*I1466</x:f>
        <x:v>35000</x:v>
      </x:c>
      <x:c r="N1466" s="12" t="n">
        <x:f>IF(L1466="Completed",ROUND(M1466*(1-K1466),2),0)</x:f>
        <x:v>35000</x:v>
      </x:c>
      <x:c r="O1466" s="12" t="n">
        <x:f>IF(L1466="Completed",H1466*J1466,0)</x:f>
        <x:v>22500</x:v>
      </x:c>
      <x:c r="P1466" s="12" t="n">
        <x:f>N1466-O1466</x:f>
        <x:v>12500</x:v>
      </x:c>
    </x:row>
    <x:row r="1467" ht="21" customHeight="1">
      <x:c r="A1467" s="7" t="n">
        <x:v>1462</x:v>
      </x:c>
      <x:c r="B1467" s="2" t="str">
        <x:v>TXN-01462</x:v>
      </x:c>
      <x:c r="C1467" s="8" t="d">
        <x:v>2025-12-17T00:00:00.000Z</x:v>
      </x:c>
      <x:c r="D1467" s="2" t="str">
        <x:v>Lagos</x:v>
      </x:c>
      <x:c r="E1467" s="2" t="str">
        <x:v>Beauty</x:v>
      </x:c>
      <x:c r="F1467" s="2" t="str">
        <x:v>Perfume</x:v>
      </x:c>
      <x:c r="G1467" s="2" t="str">
        <x:v>In-store</x:v>
      </x:c>
      <x:c r="H1467" s="7" t="n">
        <x:v>3</x:v>
      </x:c>
      <x:c r="I1467" s="9" t="n">
        <x:v>17000</x:v>
      </x:c>
      <x:c r="J1467" s="9" t="n">
        <x:v>9000</x:v>
      </x:c>
      <x:c r="K1467" s="10" t="n">
        <x:v>0.1</x:v>
      </x:c>
      <x:c r="L1467" s="2" t="str">
        <x:v>Completed</x:v>
      </x:c>
      <x:c r="M1467" s="12" t="n">
        <x:f>H1467*I1467</x:f>
        <x:v>51000</x:v>
      </x:c>
      <x:c r="N1467" s="12" t="n">
        <x:f>IF(L1467="Completed",ROUND(M1467*(1-K1467),2),0)</x:f>
        <x:v>45900</x:v>
      </x:c>
      <x:c r="O1467" s="12" t="n">
        <x:f>IF(L1467="Completed",H1467*J1467,0)</x:f>
        <x:v>27000</x:v>
      </x:c>
      <x:c r="P1467" s="12" t="n">
        <x:f>N1467-O1467</x:f>
        <x:v>18900</x:v>
      </x:c>
    </x:row>
    <x:row r="1468" ht="21" customHeight="1">
      <x:c r="A1468" s="7" t="n">
        <x:v>1463</x:v>
      </x:c>
      <x:c r="B1468" s="2" t="str">
        <x:v>TXN-01463</x:v>
      </x:c>
      <x:c r="C1468" s="8" t="d">
        <x:v>2025-12-22T00:00:00.000Z</x:v>
      </x:c>
      <x:c r="D1468" s="2" t="str">
        <x:v>Lagos</x:v>
      </x:c>
      <x:c r="E1468" s="2" t="str">
        <x:v>Beauty</x:v>
      </x:c>
      <x:c r="F1468" s="2" t="str">
        <x:v>Perfume</x:v>
      </x:c>
      <x:c r="G1468" s="2" t="str">
        <x:v>In-store</x:v>
      </x:c>
      <x:c r="H1468" s="7" t="n">
        <x:v>1</x:v>
      </x:c>
      <x:c r="I1468" s="9" t="n">
        <x:v>17000</x:v>
      </x:c>
      <x:c r="J1468" s="9" t="n">
        <x:v>9000</x:v>
      </x:c>
      <x:c r="K1468" s="10" t="n">
        <x:v>0</x:v>
      </x:c>
      <x:c r="L1468" s="2" t="str">
        <x:v>Completed</x:v>
      </x:c>
      <x:c r="M1468" s="12" t="n">
        <x:f>H1468*I1468</x:f>
        <x:v>17000</x:v>
      </x:c>
      <x:c r="N1468" s="12" t="n">
        <x:f>IF(L1468="Completed",ROUND(M1468*(1-K1468),2),0)</x:f>
        <x:v>17000</x:v>
      </x:c>
      <x:c r="O1468" s="12" t="n">
        <x:f>IF(L1468="Completed",H1468*J1468,0)</x:f>
        <x:v>9000</x:v>
      </x:c>
      <x:c r="P1468" s="12" t="n">
        <x:f>N1468-O1468</x:f>
        <x:v>8000</x:v>
      </x:c>
    </x:row>
    <x:row r="1469" ht="21" customHeight="1">
      <x:c r="A1469" s="7" t="n">
        <x:v>1464</x:v>
      </x:c>
      <x:c r="B1469" s="2" t="str">
        <x:v>TXN-01464</x:v>
      </x:c>
      <x:c r="C1469" s="8" t="d">
        <x:v>2025-12-26T00:00:00.000Z</x:v>
      </x:c>
      <x:c r="D1469" s="2" t="str">
        <x:v>Abuja</x:v>
      </x:c>
      <x:c r="E1469" s="2" t="str">
        <x:v>Home</x:v>
      </x:c>
      <x:c r="F1469" s="2" t="str">
        <x:v>Bedsheet</x:v>
      </x:c>
      <x:c r="G1469" s="2" t="str">
        <x:v>In-store</x:v>
      </x:c>
      <x:c r="H1469" s="7" t="n">
        <x:v>4</x:v>
      </x:c>
      <x:c r="I1469" s="9" t="n">
        <x:v>14000</x:v>
      </x:c>
      <x:c r="J1469" s="9" t="n">
        <x:v>8500</x:v>
      </x:c>
      <x:c r="K1469" s="10" t="n">
        <x:v>0.1</x:v>
      </x:c>
      <x:c r="L1469" s="2" t="str">
        <x:v>Completed</x:v>
      </x:c>
      <x:c r="M1469" s="12" t="n">
        <x:f>H1469*I1469</x:f>
        <x:v>56000</x:v>
      </x:c>
      <x:c r="N1469" s="12" t="n">
        <x:f>IF(L1469="Completed",ROUND(M1469*(1-K1469),2),0)</x:f>
        <x:v>50400</x:v>
      </x:c>
      <x:c r="O1469" s="12" t="n">
        <x:f>IF(L1469="Completed",H1469*J1469,0)</x:f>
        <x:v>34000</x:v>
      </x:c>
      <x:c r="P1469" s="12" t="n">
        <x:f>N1469-O1469</x:f>
        <x:v>16400</x:v>
      </x:c>
    </x:row>
    <x:row r="1470" ht="21" customHeight="1">
      <x:c r="A1470" s="7" t="n">
        <x:v>1465</x:v>
      </x:c>
      <x:c r="B1470" s="2" t="str">
        <x:v>TXN-01465</x:v>
      </x:c>
      <x:c r="C1470" s="8" t="d">
        <x:v>2025-12-11T00:00:00.000Z</x:v>
      </x:c>
      <x:c r="D1470" s="2" t="str">
        <x:v>Kano</x:v>
      </x:c>
      <x:c r="E1470" s="2" t="str">
        <x:v>Beauty</x:v>
      </x:c>
      <x:c r="F1470" s="2" t="str">
        <x:v>Perfume</x:v>
      </x:c>
      <x:c r="G1470" s="2" t="str">
        <x:v>Online</x:v>
      </x:c>
      <x:c r="H1470" s="7" t="n">
        <x:v>2</x:v>
      </x:c>
      <x:c r="I1470" s="9" t="n">
        <x:v>17000</x:v>
      </x:c>
      <x:c r="J1470" s="9" t="n">
        <x:v>9000</x:v>
      </x:c>
      <x:c r="K1470" s="10" t="n">
        <x:v>0</x:v>
      </x:c>
      <x:c r="L1470" s="2" t="str">
        <x:v>Completed</x:v>
      </x:c>
      <x:c r="M1470" s="12" t="n">
        <x:f>H1470*I1470</x:f>
        <x:v>34000</x:v>
      </x:c>
      <x:c r="N1470" s="12" t="n">
        <x:f>IF(L1470="Completed",ROUND(M1470*(1-K1470),2),0)</x:f>
        <x:v>34000</x:v>
      </x:c>
      <x:c r="O1470" s="12" t="n">
        <x:f>IF(L1470="Completed",H1470*J1470,0)</x:f>
        <x:v>18000</x:v>
      </x:c>
      <x:c r="P1470" s="12" t="n">
        <x:f>N1470-O1470</x:f>
        <x:v>16000</x:v>
      </x:c>
    </x:row>
    <x:row r="1471" ht="21" customHeight="1">
      <x:c r="A1471" s="7" t="n">
        <x:v>1466</x:v>
      </x:c>
      <x:c r="B1471" s="2" t="str">
        <x:v>TXN-01466</x:v>
      </x:c>
      <x:c r="C1471" s="8" t="d">
        <x:v>2025-12-09T00:00:00.000Z</x:v>
      </x:c>
      <x:c r="D1471" s="2" t="str">
        <x:v>Abuja</x:v>
      </x:c>
      <x:c r="E1471" s="2" t="str">
        <x:v>Fashion</x:v>
      </x:c>
      <x:c r="F1471" s="2" t="str">
        <x:v>T-shirt</x:v>
      </x:c>
      <x:c r="G1471" s="2" t="str">
        <x:v>Online</x:v>
      </x:c>
      <x:c r="H1471" s="7" t="n">
        <x:v>3</x:v>
      </x:c>
      <x:c r="I1471" s="9" t="n">
        <x:v>9000</x:v>
      </x:c>
      <x:c r="J1471" s="9" t="n">
        <x:v>5000</x:v>
      </x:c>
      <x:c r="K1471" s="10" t="n">
        <x:v>0</x:v>
      </x:c>
      <x:c r="L1471" s="2" t="str">
        <x:v>Completed</x:v>
      </x:c>
      <x:c r="M1471" s="12" t="n">
        <x:f>H1471*I1471</x:f>
        <x:v>27000</x:v>
      </x:c>
      <x:c r="N1471" s="12" t="n">
        <x:f>IF(L1471="Completed",ROUND(M1471*(1-K1471),2),0)</x:f>
        <x:v>27000</x:v>
      </x:c>
      <x:c r="O1471" s="12" t="n">
        <x:f>IF(L1471="Completed",H1471*J1471,0)</x:f>
        <x:v>15000</x:v>
      </x:c>
      <x:c r="P1471" s="12" t="n">
        <x:f>N1471-O1471</x:f>
        <x:v>12000</x:v>
      </x:c>
    </x:row>
    <x:row r="1472" ht="21" customHeight="1">
      <x:c r="A1472" s="7" t="n">
        <x:v>1467</x:v>
      </x:c>
      <x:c r="B1472" s="2" t="str">
        <x:v>TXN-01467</x:v>
      </x:c>
      <x:c r="C1472" s="8" t="d">
        <x:v>2025-12-29T00:00:00.000Z</x:v>
      </x:c>
      <x:c r="D1472" s="2" t="str">
        <x:v>Lagos</x:v>
      </x:c>
      <x:c r="E1472" s="2" t="str">
        <x:v>Electronics</x:v>
      </x:c>
      <x:c r="F1472" s="2" t="str">
        <x:v>Headphones</x:v>
      </x:c>
      <x:c r="G1472" s="2" t="str">
        <x:v>In-store</x:v>
      </x:c>
      <x:c r="H1472" s="7" t="n">
        <x:v>1</x:v>
      </x:c>
      <x:c r="I1472" s="9" t="n">
        <x:v>18000</x:v>
      </x:c>
      <x:c r="J1472" s="9" t="n">
        <x:v>10500</x:v>
      </x:c>
      <x:c r="K1472" s="10" t="n">
        <x:v>0</x:v>
      </x:c>
      <x:c r="L1472" s="2" t="str">
        <x:v>Completed</x:v>
      </x:c>
      <x:c r="M1472" s="12" t="n">
        <x:f>H1472*I1472</x:f>
        <x:v>18000</x:v>
      </x:c>
      <x:c r="N1472" s="12" t="n">
        <x:f>IF(L1472="Completed",ROUND(M1472*(1-K1472),2),0)</x:f>
        <x:v>18000</x:v>
      </x:c>
      <x:c r="O1472" s="12" t="n">
        <x:f>IF(L1472="Completed",H1472*J1472,0)</x:f>
        <x:v>10500</x:v>
      </x:c>
      <x:c r="P1472" s="12" t="n">
        <x:f>N1472-O1472</x:f>
        <x:v>7500</x:v>
      </x:c>
    </x:row>
    <x:row r="1473" ht="21" customHeight="1">
      <x:c r="A1473" s="7" t="n">
        <x:v>1468</x:v>
      </x:c>
      <x:c r="B1473" s="2" t="str">
        <x:v>TXN-01468</x:v>
      </x:c>
      <x:c r="C1473" s="8" t="d">
        <x:v>2025-12-23T00:00:00.000Z</x:v>
      </x:c>
      <x:c r="D1473" s="2" t="str">
        <x:v>Lagos</x:v>
      </x:c>
      <x:c r="E1473" s="2" t="str">
        <x:v>Beauty</x:v>
      </x:c>
      <x:c r="F1473" s="2" t="str">
        <x:v>Moisturizer</x:v>
      </x:c>
      <x:c r="G1473" s="2" t="str">
        <x:v>Online</x:v>
      </x:c>
      <x:c r="H1473" s="7" t="n">
        <x:v>2</x:v>
      </x:c>
      <x:c r="I1473" s="9" t="n">
        <x:v>6500</x:v>
      </x:c>
      <x:c r="J1473" s="9" t="n">
        <x:v>3500</x:v>
      </x:c>
      <x:c r="K1473" s="10" t="n">
        <x:v>0</x:v>
      </x:c>
      <x:c r="L1473" s="2" t="str">
        <x:v>Completed</x:v>
      </x:c>
      <x:c r="M1473" s="12" t="n">
        <x:f>H1473*I1473</x:f>
        <x:v>13000</x:v>
      </x:c>
      <x:c r="N1473" s="12" t="n">
        <x:f>IF(L1473="Completed",ROUND(M1473*(1-K1473),2),0)</x:f>
        <x:v>13000</x:v>
      </x:c>
      <x:c r="O1473" s="12" t="n">
        <x:f>IF(L1473="Completed",H1473*J1473,0)</x:f>
        <x:v>7000</x:v>
      </x:c>
      <x:c r="P1473" s="12" t="n">
        <x:f>N1473-O1473</x:f>
        <x:v>6000</x:v>
      </x:c>
    </x:row>
    <x:row r="1474" ht="21" customHeight="1">
      <x:c r="A1474" s="7" t="n">
        <x:v>1469</x:v>
      </x:c>
      <x:c r="B1474" s="2" t="str">
        <x:v>TXN-01469</x:v>
      </x:c>
      <x:c r="C1474" s="8" t="d">
        <x:v>2025-12-29T00:00:00.000Z</x:v>
      </x:c>
      <x:c r="D1474" s="2" t="str">
        <x:v>Lagos</x:v>
      </x:c>
      <x:c r="E1474" s="2" t="str">
        <x:v>Electronics</x:v>
      </x:c>
      <x:c r="F1474" s="2" t="str">
        <x:v>Bluetooth speaker</x:v>
      </x:c>
      <x:c r="G1474" s="2" t="str">
        <x:v>In-store</x:v>
      </x:c>
      <x:c r="H1474" s="7" t="n">
        <x:v>3</x:v>
      </x:c>
      <x:c r="I1474" s="9" t="n">
        <x:v>26000</x:v>
      </x:c>
      <x:c r="J1474" s="9" t="n">
        <x:v>17000</x:v>
      </x:c>
      <x:c r="K1474" s="10" t="n">
        <x:v>0</x:v>
      </x:c>
      <x:c r="L1474" s="2" t="str">
        <x:v>Completed</x:v>
      </x:c>
      <x:c r="M1474" s="12" t="n">
        <x:f>H1474*I1474</x:f>
        <x:v>78000</x:v>
      </x:c>
      <x:c r="N1474" s="12" t="n">
        <x:f>IF(L1474="Completed",ROUND(M1474*(1-K1474),2),0)</x:f>
        <x:v>78000</x:v>
      </x:c>
      <x:c r="O1474" s="12" t="n">
        <x:f>IF(L1474="Completed",H1474*J1474,0)</x:f>
        <x:v>51000</x:v>
      </x:c>
      <x:c r="P1474" s="12" t="n">
        <x:f>N1474-O1474</x:f>
        <x:v>27000</x:v>
      </x:c>
    </x:row>
    <x:row r="1475" ht="21" customHeight="1">
      <x:c r="A1475" s="7" t="n">
        <x:v>1470</x:v>
      </x:c>
      <x:c r="B1475" s="2" t="str">
        <x:v>TXN-01470</x:v>
      </x:c>
      <x:c r="C1475" s="8" t="d">
        <x:v>2025-12-20T00:00:00.000Z</x:v>
      </x:c>
      <x:c r="D1475" s="2" t="str">
        <x:v>Abuja</x:v>
      </x:c>
      <x:c r="E1475" s="2" t="str">
        <x:v>Beauty</x:v>
      </x:c>
      <x:c r="F1475" s="2" t="str">
        <x:v>Moisturizer</x:v>
      </x:c>
      <x:c r="G1475" s="2" t="str">
        <x:v>In-store</x:v>
      </x:c>
      <x:c r="H1475" s="7" t="n">
        <x:v>1</x:v>
      </x:c>
      <x:c r="I1475" s="9" t="n">
        <x:v>6500</x:v>
      </x:c>
      <x:c r="J1475" s="9" t="n">
        <x:v>3500</x:v>
      </x:c>
      <x:c r="K1475" s="10" t="n">
        <x:v>0</x:v>
      </x:c>
      <x:c r="L1475" s="2" t="str">
        <x:v>Completed</x:v>
      </x:c>
      <x:c r="M1475" s="12" t="n">
        <x:f>H1475*I1475</x:f>
        <x:v>6500</x:v>
      </x:c>
      <x:c r="N1475" s="12" t="n">
        <x:f>IF(L1475="Completed",ROUND(M1475*(1-K1475),2),0)</x:f>
        <x:v>6500</x:v>
      </x:c>
      <x:c r="O1475" s="12" t="n">
        <x:f>IF(L1475="Completed",H1475*J1475,0)</x:f>
        <x:v>3500</x:v>
      </x:c>
      <x:c r="P1475" s="12" t="n">
        <x:f>N1475-O1475</x:f>
        <x:v>3000</x:v>
      </x:c>
    </x:row>
    <x:row r="1476" ht="21" customHeight="1">
      <x:c r="A1476" s="7" t="n">
        <x:v>1471</x:v>
      </x:c>
      <x:c r="B1476" s="2" t="str">
        <x:v>TXN-01471</x:v>
      </x:c>
      <x:c r="C1476" s="8" t="d">
        <x:v>2025-12-07T00:00:00.000Z</x:v>
      </x:c>
      <x:c r="D1476" s="2" t="str">
        <x:v>Kano</x:v>
      </x:c>
      <x:c r="E1476" s="2" t="str">
        <x:v>Fashion</x:v>
      </x:c>
      <x:c r="F1476" s="2" t="str">
        <x:v>Sneakers</x:v>
      </x:c>
      <x:c r="G1476" s="2" t="str">
        <x:v>In-store</x:v>
      </x:c>
      <x:c r="H1476" s="7" t="n">
        <x:v>1</x:v>
      </x:c>
      <x:c r="I1476" s="9" t="n">
        <x:v>28000</x:v>
      </x:c>
      <x:c r="J1476" s="9" t="n">
        <x:v>17500</x:v>
      </x:c>
      <x:c r="K1476" s="10" t="n">
        <x:v>0.1</x:v>
      </x:c>
      <x:c r="L1476" s="2" t="str">
        <x:v>Returned</x:v>
      </x:c>
      <x:c r="M1476" s="12" t="n">
        <x:f>H1476*I1476</x:f>
        <x:v>28000</x:v>
      </x:c>
      <x:c r="N1476" s="12" t="n">
        <x:f>IF(L1476="Completed",ROUND(M1476*(1-K1476),2),0)</x:f>
        <x:v>0</x:v>
      </x:c>
      <x:c r="O1476" s="12" t="n">
        <x:f>IF(L1476="Completed",H1476*J1476,0)</x:f>
        <x:v>0</x:v>
      </x:c>
      <x:c r="P1476" s="12" t="n">
        <x:f>N1476-O1476</x:f>
        <x:v>0</x:v>
      </x:c>
    </x:row>
    <x:row r="1477" ht="21" customHeight="1">
      <x:c r="A1477" s="7" t="n">
        <x:v>1472</x:v>
      </x:c>
      <x:c r="B1477" s="2" t="str">
        <x:v>TXN-01472</x:v>
      </x:c>
      <x:c r="C1477" s="8" t="d">
        <x:v>2025-12-07T00:00:00.000Z</x:v>
      </x:c>
      <x:c r="D1477" s="2" t="str">
        <x:v>Lagos</x:v>
      </x:c>
      <x:c r="E1477" s="2" t="str">
        <x:v>Fashion</x:v>
      </x:c>
      <x:c r="F1477" s="2" t="str">
        <x:v>T-shirt</x:v>
      </x:c>
      <x:c r="G1477" s="2" t="str">
        <x:v>Online</x:v>
      </x:c>
      <x:c r="H1477" s="7" t="n">
        <x:v>1</x:v>
      </x:c>
      <x:c r="I1477" s="9" t="n">
        <x:v>9000</x:v>
      </x:c>
      <x:c r="J1477" s="9" t="n">
        <x:v>5000</x:v>
      </x:c>
      <x:c r="K1477" s="10" t="n">
        <x:v>0.05</x:v>
      </x:c>
      <x:c r="L1477" s="2" t="str">
        <x:v>Completed</x:v>
      </x:c>
      <x:c r="M1477" s="12" t="n">
        <x:f>H1477*I1477</x:f>
        <x:v>9000</x:v>
      </x:c>
      <x:c r="N1477" s="12" t="n">
        <x:f>IF(L1477="Completed",ROUND(M1477*(1-K1477),2),0)</x:f>
        <x:v>8550</x:v>
      </x:c>
      <x:c r="O1477" s="12" t="n">
        <x:f>IF(L1477="Completed",H1477*J1477,0)</x:f>
        <x:v>5000</x:v>
      </x:c>
      <x:c r="P1477" s="12" t="n">
        <x:f>N1477-O1477</x:f>
        <x:v>3550</x:v>
      </x:c>
    </x:row>
    <x:row r="1478" ht="21" customHeight="1">
      <x:c r="A1478" s="7" t="n">
        <x:v>1473</x:v>
      </x:c>
      <x:c r="B1478" s="2" t="str">
        <x:v>TXN-01473</x:v>
      </x:c>
      <x:c r="C1478" s="8" t="d">
        <x:v>2025-12-14T00:00:00.000Z</x:v>
      </x:c>
      <x:c r="D1478" s="2" t="str">
        <x:v>Abuja</x:v>
      </x:c>
      <x:c r="E1478" s="2" t="str">
        <x:v>Electronics</x:v>
      </x:c>
      <x:c r="F1478" s="2" t="str">
        <x:v>Headphones</x:v>
      </x:c>
      <x:c r="G1478" s="2" t="str">
        <x:v>In-store</x:v>
      </x:c>
      <x:c r="H1478" s="7" t="n">
        <x:v>1</x:v>
      </x:c>
      <x:c r="I1478" s="9" t="n">
        <x:v>18000</x:v>
      </x:c>
      <x:c r="J1478" s="9" t="n">
        <x:v>10500</x:v>
      </x:c>
      <x:c r="K1478" s="10" t="n">
        <x:v>0</x:v>
      </x:c>
      <x:c r="L1478" s="2" t="str">
        <x:v>Completed</x:v>
      </x:c>
      <x:c r="M1478" s="12" t="n">
        <x:f>H1478*I1478</x:f>
        <x:v>18000</x:v>
      </x:c>
      <x:c r="N1478" s="12" t="n">
        <x:f>IF(L1478="Completed",ROUND(M1478*(1-K1478),2),0)</x:f>
        <x:v>18000</x:v>
      </x:c>
      <x:c r="O1478" s="12" t="n">
        <x:f>IF(L1478="Completed",H1478*J1478,0)</x:f>
        <x:v>10500</x:v>
      </x:c>
      <x:c r="P1478" s="12" t="n">
        <x:f>N1478-O1478</x:f>
        <x:v>7500</x:v>
      </x:c>
    </x:row>
    <x:row r="1479" ht="21" customHeight="1">
      <x:c r="A1479" s="7" t="n">
        <x:v>1474</x:v>
      </x:c>
      <x:c r="B1479" s="2" t="str">
        <x:v>TXN-01474</x:v>
      </x:c>
      <x:c r="C1479" s="8" t="d">
        <x:v>2025-12-25T00:00:00.000Z</x:v>
      </x:c>
      <x:c r="D1479" s="2" t="str">
        <x:v>Port Harcourt</x:v>
      </x:c>
      <x:c r="E1479" s="2" t="str">
        <x:v>Electronics</x:v>
      </x:c>
      <x:c r="F1479" s="2" t="str">
        <x:v>Power bank</x:v>
      </x:c>
      <x:c r="G1479" s="2" t="str">
        <x:v>In-store</x:v>
      </x:c>
      <x:c r="H1479" s="7" t="n">
        <x:v>1</x:v>
      </x:c>
      <x:c r="I1479" s="9" t="n">
        <x:v>15000</x:v>
      </x:c>
      <x:c r="J1479" s="9" t="n">
        <x:v>9500</x:v>
      </x:c>
      <x:c r="K1479" s="10" t="n">
        <x:v>0</x:v>
      </x:c>
      <x:c r="L1479" s="2" t="str">
        <x:v>Completed</x:v>
      </x:c>
      <x:c r="M1479" s="12" t="n">
        <x:f>H1479*I1479</x:f>
        <x:v>15000</x:v>
      </x:c>
      <x:c r="N1479" s="12" t="n">
        <x:f>IF(L1479="Completed",ROUND(M1479*(1-K1479),2),0)</x:f>
        <x:v>15000</x:v>
      </x:c>
      <x:c r="O1479" s="12" t="n">
        <x:f>IF(L1479="Completed",H1479*J1479,0)</x:f>
        <x:v>9500</x:v>
      </x:c>
      <x:c r="P1479" s="12" t="n">
        <x:f>N1479-O1479</x:f>
        <x:v>5500</x:v>
      </x:c>
    </x:row>
    <x:row r="1480" ht="21" customHeight="1">
      <x:c r="A1480" s="7" t="n">
        <x:v>1475</x:v>
      </x:c>
      <x:c r="B1480" s="2" t="str">
        <x:v>TXN-01475</x:v>
      </x:c>
      <x:c r="C1480" s="8" t="d">
        <x:v>2025-12-11T00:00:00.000Z</x:v>
      </x:c>
      <x:c r="D1480" s="2" t="str">
        <x:v>Lagos</x:v>
      </x:c>
      <x:c r="E1480" s="2" t="str">
        <x:v>Electronics</x:v>
      </x:c>
      <x:c r="F1480" s="2" t="str">
        <x:v>Headphones</x:v>
      </x:c>
      <x:c r="G1480" s="2" t="str">
        <x:v>Online</x:v>
      </x:c>
      <x:c r="H1480" s="7" t="n">
        <x:v>1</x:v>
      </x:c>
      <x:c r="I1480" s="9" t="n">
        <x:v>18000</x:v>
      </x:c>
      <x:c r="J1480" s="9" t="n">
        <x:v>10500</x:v>
      </x:c>
      <x:c r="K1480" s="10" t="n">
        <x:v>0.15</x:v>
      </x:c>
      <x:c r="L1480" s="2" t="str">
        <x:v>Completed</x:v>
      </x:c>
      <x:c r="M1480" s="12" t="n">
        <x:f>H1480*I1480</x:f>
        <x:v>18000</x:v>
      </x:c>
      <x:c r="N1480" s="12" t="n">
        <x:f>IF(L1480="Completed",ROUND(M1480*(1-K1480),2),0)</x:f>
        <x:v>15300</x:v>
      </x:c>
      <x:c r="O1480" s="12" t="n">
        <x:f>IF(L1480="Completed",H1480*J1480,0)</x:f>
        <x:v>10500</x:v>
      </x:c>
      <x:c r="P1480" s="12" t="n">
        <x:f>N1480-O1480</x:f>
        <x:v>4800</x:v>
      </x:c>
    </x:row>
    <x:row r="1481" ht="21" customHeight="1">
      <x:c r="A1481" s="7" t="n">
        <x:v>1476</x:v>
      </x:c>
      <x:c r="B1481" s="2" t="str">
        <x:v>TXN-01476</x:v>
      </x:c>
      <x:c r="C1481" s="8" t="d">
        <x:v>2025-12-20T00:00:00.000Z</x:v>
      </x:c>
      <x:c r="D1481" s="2" t="str">
        <x:v>Abuja</x:v>
      </x:c>
      <x:c r="E1481" s="2" t="str">
        <x:v>Electronics</x:v>
      </x:c>
      <x:c r="F1481" s="2" t="str">
        <x:v>Bluetooth speaker</x:v>
      </x:c>
      <x:c r="G1481" s="2" t="str">
        <x:v>In-store</x:v>
      </x:c>
      <x:c r="H1481" s="7" t="n">
        <x:v>2</x:v>
      </x:c>
      <x:c r="I1481" s="9" t="n">
        <x:v>26000</x:v>
      </x:c>
      <x:c r="J1481" s="9" t="n">
        <x:v>17000</x:v>
      </x:c>
      <x:c r="K1481" s="10" t="n">
        <x:v>0</x:v>
      </x:c>
      <x:c r="L1481" s="2" t="str">
        <x:v>Completed</x:v>
      </x:c>
      <x:c r="M1481" s="12" t="n">
        <x:f>H1481*I1481</x:f>
        <x:v>52000</x:v>
      </x:c>
      <x:c r="N1481" s="12" t="n">
        <x:f>IF(L1481="Completed",ROUND(M1481*(1-K1481),2),0)</x:f>
        <x:v>52000</x:v>
      </x:c>
      <x:c r="O1481" s="12" t="n">
        <x:f>IF(L1481="Completed",H1481*J1481,0)</x:f>
        <x:v>34000</x:v>
      </x:c>
      <x:c r="P1481" s="12" t="n">
        <x:f>N1481-O1481</x:f>
        <x:v>18000</x:v>
      </x:c>
    </x:row>
    <x:row r="1482" ht="21" customHeight="1">
      <x:c r="A1482" s="7" t="n">
        <x:v>1477</x:v>
      </x:c>
      <x:c r="B1482" s="2" t="str">
        <x:v>TXN-01477</x:v>
      </x:c>
      <x:c r="C1482" s="8" t="d">
        <x:v>2025-12-23T00:00:00.000Z</x:v>
      </x:c>
      <x:c r="D1482" s="2" t="str">
        <x:v>Kano</x:v>
      </x:c>
      <x:c r="E1482" s="2" t="str">
        <x:v>Fashion</x:v>
      </x:c>
      <x:c r="F1482" s="2" t="str">
        <x:v>Sneakers</x:v>
      </x:c>
      <x:c r="G1482" s="2" t="str">
        <x:v>Online</x:v>
      </x:c>
      <x:c r="H1482" s="7" t="n">
        <x:v>2</x:v>
      </x:c>
      <x:c r="I1482" s="9" t="n">
        <x:v>28000</x:v>
      </x:c>
      <x:c r="J1482" s="9" t="n">
        <x:v>17500</x:v>
      </x:c>
      <x:c r="K1482" s="10" t="n">
        <x:v>0.05</x:v>
      </x:c>
      <x:c r="L1482" s="2" t="str">
        <x:v>Completed</x:v>
      </x:c>
      <x:c r="M1482" s="12" t="n">
        <x:f>H1482*I1482</x:f>
        <x:v>56000</x:v>
      </x:c>
      <x:c r="N1482" s="12" t="n">
        <x:f>IF(L1482="Completed",ROUND(M1482*(1-K1482),2),0)</x:f>
        <x:v>53200</x:v>
      </x:c>
      <x:c r="O1482" s="12" t="n">
        <x:f>IF(L1482="Completed",H1482*J1482,0)</x:f>
        <x:v>35000</x:v>
      </x:c>
      <x:c r="P1482" s="12" t="n">
        <x:f>N1482-O1482</x:f>
        <x:v>18200</x:v>
      </x:c>
    </x:row>
    <x:row r="1483" ht="21" customHeight="1">
      <x:c r="A1483" s="7" t="n">
        <x:v>1478</x:v>
      </x:c>
      <x:c r="B1483" s="2" t="str">
        <x:v>TXN-01478</x:v>
      </x:c>
      <x:c r="C1483" s="8" t="d">
        <x:v>2025-12-06T00:00:00.000Z</x:v>
      </x:c>
      <x:c r="D1483" s="2" t="str">
        <x:v>Port Harcourt</x:v>
      </x:c>
      <x:c r="E1483" s="2" t="str">
        <x:v>Home</x:v>
      </x:c>
      <x:c r="F1483" s="2" t="str">
        <x:v>Bedsheet</x:v>
      </x:c>
      <x:c r="G1483" s="2" t="str">
        <x:v>In-store</x:v>
      </x:c>
      <x:c r="H1483" s="7" t="n">
        <x:v>1</x:v>
      </x:c>
      <x:c r="I1483" s="9" t="n">
        <x:v>14000</x:v>
      </x:c>
      <x:c r="J1483" s="9" t="n">
        <x:v>8500</x:v>
      </x:c>
      <x:c r="K1483" s="10" t="n">
        <x:v>0</x:v>
      </x:c>
      <x:c r="L1483" s="2" t="str">
        <x:v>Completed</x:v>
      </x:c>
      <x:c r="M1483" s="12" t="n">
        <x:f>H1483*I1483</x:f>
        <x:v>14000</x:v>
      </x:c>
      <x:c r="N1483" s="12" t="n">
        <x:f>IF(L1483="Completed",ROUND(M1483*(1-K1483),2),0)</x:f>
        <x:v>14000</x:v>
      </x:c>
      <x:c r="O1483" s="12" t="n">
        <x:f>IF(L1483="Completed",H1483*J1483,0)</x:f>
        <x:v>8500</x:v>
      </x:c>
      <x:c r="P1483" s="12" t="n">
        <x:f>N1483-O1483</x:f>
        <x:v>5500</x:v>
      </x:c>
    </x:row>
    <x:row r="1484" ht="21" customHeight="1">
      <x:c r="A1484" s="7" t="n">
        <x:v>1479</x:v>
      </x:c>
      <x:c r="B1484" s="2" t="str">
        <x:v>TXN-01479</x:v>
      </x:c>
      <x:c r="C1484" s="8" t="d">
        <x:v>2025-12-06T00:00:00.000Z</x:v>
      </x:c>
      <x:c r="D1484" s="2" t="str">
        <x:v>Lagos</x:v>
      </x:c>
      <x:c r="E1484" s="2" t="str">
        <x:v>Beauty</x:v>
      </x:c>
      <x:c r="F1484" s="2" t="str">
        <x:v>Perfume</x:v>
      </x:c>
      <x:c r="G1484" s="2" t="str">
        <x:v>In-store</x:v>
      </x:c>
      <x:c r="H1484" s="7" t="n">
        <x:v>1</x:v>
      </x:c>
      <x:c r="I1484" s="9" t="n">
        <x:v>17000</x:v>
      </x:c>
      <x:c r="J1484" s="9" t="n">
        <x:v>9000</x:v>
      </x:c>
      <x:c r="K1484" s="10" t="n">
        <x:v>0</x:v>
      </x:c>
      <x:c r="L1484" s="2" t="str">
        <x:v>Completed</x:v>
      </x:c>
      <x:c r="M1484" s="12" t="n">
        <x:f>H1484*I1484</x:f>
        <x:v>17000</x:v>
      </x:c>
      <x:c r="N1484" s="12" t="n">
        <x:f>IF(L1484="Completed",ROUND(M1484*(1-K1484),2),0)</x:f>
        <x:v>17000</x:v>
      </x:c>
      <x:c r="O1484" s="12" t="n">
        <x:f>IF(L1484="Completed",H1484*J1484,0)</x:f>
        <x:v>9000</x:v>
      </x:c>
      <x:c r="P1484" s="12" t="n">
        <x:f>N1484-O1484</x:f>
        <x:v>8000</x:v>
      </x:c>
    </x:row>
    <x:row r="1485" ht="21" customHeight="1">
      <x:c r="A1485" s="7" t="n">
        <x:v>1480</x:v>
      </x:c>
      <x:c r="B1485" s="2" t="str">
        <x:v>TXN-01480</x:v>
      </x:c>
      <x:c r="C1485" s="8" t="d">
        <x:v>2025-12-11T00:00:00.000Z</x:v>
      </x:c>
      <x:c r="D1485" s="2" t="str">
        <x:v>Abuja</x:v>
      </x:c>
      <x:c r="E1485" s="2" t="str">
        <x:v>Home</x:v>
      </x:c>
      <x:c r="F1485" s="2" t="str">
        <x:v>Cookware set</x:v>
      </x:c>
      <x:c r="G1485" s="2" t="str">
        <x:v>In-store</x:v>
      </x:c>
      <x:c r="H1485" s="7" t="n">
        <x:v>1</x:v>
      </x:c>
      <x:c r="I1485" s="9" t="n">
        <x:v>35000</x:v>
      </x:c>
      <x:c r="J1485" s="9" t="n">
        <x:v>22500</x:v>
      </x:c>
      <x:c r="K1485" s="10" t="n">
        <x:v>0.1</x:v>
      </x:c>
      <x:c r="L1485" s="2" t="str">
        <x:v>Completed</x:v>
      </x:c>
      <x:c r="M1485" s="12" t="n">
        <x:f>H1485*I1485</x:f>
        <x:v>35000</x:v>
      </x:c>
      <x:c r="N1485" s="12" t="n">
        <x:f>IF(L1485="Completed",ROUND(M1485*(1-K1485),2),0)</x:f>
        <x:v>31500</x:v>
      </x:c>
      <x:c r="O1485" s="12" t="n">
        <x:f>IF(L1485="Completed",H1485*J1485,0)</x:f>
        <x:v>22500</x:v>
      </x:c>
      <x:c r="P1485" s="12" t="n">
        <x:f>N1485-O1485</x:f>
        <x:v>9000</x:v>
      </x:c>
    </x:row>
    <x:row r="1486" ht="21" customHeight="1">
      <x:c r="A1486" s="7" t="n">
        <x:v>1481</x:v>
      </x:c>
      <x:c r="B1486" s="2" t="str">
        <x:v>TXN-01481</x:v>
      </x:c>
      <x:c r="C1486" s="8" t="d">
        <x:v>2025-12-18T00:00:00.000Z</x:v>
      </x:c>
      <x:c r="D1486" s="2" t="str">
        <x:v>Lagos</x:v>
      </x:c>
      <x:c r="E1486" s="2" t="str">
        <x:v>Electronics</x:v>
      </x:c>
      <x:c r="F1486" s="2" t="str">
        <x:v>Power bank</x:v>
      </x:c>
      <x:c r="G1486" s="2" t="str">
        <x:v>Online</x:v>
      </x:c>
      <x:c r="H1486" s="7" t="n">
        <x:v>2</x:v>
      </x:c>
      <x:c r="I1486" s="9" t="n">
        <x:v>15000</x:v>
      </x:c>
      <x:c r="J1486" s="9" t="n">
        <x:v>9500</x:v>
      </x:c>
      <x:c r="K1486" s="10" t="n">
        <x:v>0</x:v>
      </x:c>
      <x:c r="L1486" s="2" t="str">
        <x:v>Returned</x:v>
      </x:c>
      <x:c r="M1486" s="12" t="n">
        <x:f>H1486*I1486</x:f>
        <x:v>30000</x:v>
      </x:c>
      <x:c r="N1486" s="12" t="n">
        <x:f>IF(L1486="Completed",ROUND(M1486*(1-K1486),2),0)</x:f>
        <x:v>0</x:v>
      </x:c>
      <x:c r="O1486" s="12" t="n">
        <x:f>IF(L1486="Completed",H1486*J1486,0)</x:f>
        <x:v>0</x:v>
      </x:c>
      <x:c r="P1486" s="12" t="n">
        <x:f>N1486-O1486</x:f>
        <x:v>0</x:v>
      </x:c>
    </x:row>
    <x:row r="1487" ht="21" customHeight="1">
      <x:c r="A1487" s="7" t="n">
        <x:v>1482</x:v>
      </x:c>
      <x:c r="B1487" s="2" t="str">
        <x:v>TXN-01482</x:v>
      </x:c>
      <x:c r="C1487" s="8" t="d">
        <x:v>2025-12-21T00:00:00.000Z</x:v>
      </x:c>
      <x:c r="D1487" s="2" t="str">
        <x:v>Kano</x:v>
      </x:c>
      <x:c r="E1487" s="2" t="str">
        <x:v>Beauty</x:v>
      </x:c>
      <x:c r="F1487" s="2" t="str">
        <x:v>Moisturizer</x:v>
      </x:c>
      <x:c r="G1487" s="2" t="str">
        <x:v>Online</x:v>
      </x:c>
      <x:c r="H1487" s="7" t="n">
        <x:v>2</x:v>
      </x:c>
      <x:c r="I1487" s="9" t="n">
        <x:v>6500</x:v>
      </x:c>
      <x:c r="J1487" s="9" t="n">
        <x:v>3500</x:v>
      </x:c>
      <x:c r="K1487" s="10" t="n">
        <x:v>0.05</x:v>
      </x:c>
      <x:c r="L1487" s="2" t="str">
        <x:v>Completed</x:v>
      </x:c>
      <x:c r="M1487" s="12" t="n">
        <x:f>H1487*I1487</x:f>
        <x:v>13000</x:v>
      </x:c>
      <x:c r="N1487" s="12" t="n">
        <x:f>IF(L1487="Completed",ROUND(M1487*(1-K1487),2),0)</x:f>
        <x:v>12350</x:v>
      </x:c>
      <x:c r="O1487" s="12" t="n">
        <x:f>IF(L1487="Completed",H1487*J1487,0)</x:f>
        <x:v>7000</x:v>
      </x:c>
      <x:c r="P1487" s="12" t="n">
        <x:f>N1487-O1487</x:f>
        <x:v>5350</x:v>
      </x:c>
    </x:row>
    <x:row r="1488" ht="21" customHeight="1">
      <x:c r="A1488" s="7" t="n">
        <x:v>1483</x:v>
      </x:c>
      <x:c r="B1488" s="2" t="str">
        <x:v>TXN-01483</x:v>
      </x:c>
      <x:c r="C1488" s="8" t="d">
        <x:v>2025-12-21T00:00:00.000Z</x:v>
      </x:c>
      <x:c r="D1488" s="2" t="str">
        <x:v>Kano</x:v>
      </x:c>
      <x:c r="E1488" s="2" t="str">
        <x:v>Beauty</x:v>
      </x:c>
      <x:c r="F1488" s="2" t="str">
        <x:v>Body wash</x:v>
      </x:c>
      <x:c r="G1488" s="2" t="str">
        <x:v>Online</x:v>
      </x:c>
      <x:c r="H1488" s="7" t="n">
        <x:v>1</x:v>
      </x:c>
      <x:c r="I1488" s="9" t="n">
        <x:v>4500</x:v>
      </x:c>
      <x:c r="J1488" s="9" t="n">
        <x:v>2300</x:v>
      </x:c>
      <x:c r="K1488" s="10" t="n">
        <x:v>0</x:v>
      </x:c>
      <x:c r="L1488" s="2" t="str">
        <x:v>Completed</x:v>
      </x:c>
      <x:c r="M1488" s="12" t="n">
        <x:f>H1488*I1488</x:f>
        <x:v>4500</x:v>
      </x:c>
      <x:c r="N1488" s="12" t="n">
        <x:f>IF(L1488="Completed",ROUND(M1488*(1-K1488),2),0)</x:f>
        <x:v>4500</x:v>
      </x:c>
      <x:c r="O1488" s="12" t="n">
        <x:f>IF(L1488="Completed",H1488*J1488,0)</x:f>
        <x:v>2300</x:v>
      </x:c>
      <x:c r="P1488" s="12" t="n">
        <x:f>N1488-O1488</x:f>
        <x:v>2200</x:v>
      </x:c>
    </x:row>
    <x:row r="1489" ht="21" customHeight="1">
      <x:c r="A1489" s="7" t="n">
        <x:v>1484</x:v>
      </x:c>
      <x:c r="B1489" s="2" t="str">
        <x:v>TXN-01484</x:v>
      </x:c>
      <x:c r="C1489" s="8" t="d">
        <x:v>2025-12-28T00:00:00.000Z</x:v>
      </x:c>
      <x:c r="D1489" s="2" t="str">
        <x:v>Abuja</x:v>
      </x:c>
      <x:c r="E1489" s="2" t="str">
        <x:v>Home</x:v>
      </x:c>
      <x:c r="F1489" s="2" t="str">
        <x:v>Desk lamp</x:v>
      </x:c>
      <x:c r="G1489" s="2" t="str">
        <x:v>In-store</x:v>
      </x:c>
      <x:c r="H1489" s="7" t="n">
        <x:v>3</x:v>
      </x:c>
      <x:c r="I1489" s="9" t="n">
        <x:v>12000</x:v>
      </x:c>
      <x:c r="J1489" s="9" t="n">
        <x:v>7200</x:v>
      </x:c>
      <x:c r="K1489" s="10" t="n">
        <x:v>0.05</x:v>
      </x:c>
      <x:c r="L1489" s="2" t="str">
        <x:v>Completed</x:v>
      </x:c>
      <x:c r="M1489" s="12" t="n">
        <x:f>H1489*I1489</x:f>
        <x:v>36000</x:v>
      </x:c>
      <x:c r="N1489" s="12" t="n">
        <x:f>IF(L1489="Completed",ROUND(M1489*(1-K1489),2),0)</x:f>
        <x:v>34200</x:v>
      </x:c>
      <x:c r="O1489" s="12" t="n">
        <x:f>IF(L1489="Completed",H1489*J1489,0)</x:f>
        <x:v>21600</x:v>
      </x:c>
      <x:c r="P1489" s="12" t="n">
        <x:f>N1489-O1489</x:f>
        <x:v>12600</x:v>
      </x:c>
    </x:row>
    <x:row r="1490" ht="21" customHeight="1">
      <x:c r="A1490" s="7" t="n">
        <x:v>1485</x:v>
      </x:c>
      <x:c r="B1490" s="2" t="str">
        <x:v>TXN-01485</x:v>
      </x:c>
      <x:c r="C1490" s="8" t="d">
        <x:v>2025-12-17T00:00:00.000Z</x:v>
      </x:c>
      <x:c r="D1490" s="2" t="str">
        <x:v>Lagos</x:v>
      </x:c>
      <x:c r="E1490" s="2" t="str">
        <x:v>Electronics</x:v>
      </x:c>
      <x:c r="F1490" s="2" t="str">
        <x:v>Headphones</x:v>
      </x:c>
      <x:c r="G1490" s="2" t="str">
        <x:v>In-store</x:v>
      </x:c>
      <x:c r="H1490" s="7" t="n">
        <x:v>1</x:v>
      </x:c>
      <x:c r="I1490" s="9" t="n">
        <x:v>18000</x:v>
      </x:c>
      <x:c r="J1490" s="9" t="n">
        <x:v>10500</x:v>
      </x:c>
      <x:c r="K1490" s="10" t="n">
        <x:v>0.1</x:v>
      </x:c>
      <x:c r="L1490" s="2" t="str">
        <x:v>Completed</x:v>
      </x:c>
      <x:c r="M1490" s="12" t="n">
        <x:f>H1490*I1490</x:f>
        <x:v>18000</x:v>
      </x:c>
      <x:c r="N1490" s="12" t="n">
        <x:f>IF(L1490="Completed",ROUND(M1490*(1-K1490),2),0)</x:f>
        <x:v>16200</x:v>
      </x:c>
      <x:c r="O1490" s="12" t="n">
        <x:f>IF(L1490="Completed",H1490*J1490,0)</x:f>
        <x:v>10500</x:v>
      </x:c>
      <x:c r="P1490" s="12" t="n">
        <x:f>N1490-O1490</x:f>
        <x:v>5700</x:v>
      </x:c>
    </x:row>
    <x:row r="1491" ht="21" customHeight="1">
      <x:c r="A1491" s="7" t="n">
        <x:v>1486</x:v>
      </x:c>
      <x:c r="B1491" s="2" t="str">
        <x:v>TXN-01486</x:v>
      </x:c>
      <x:c r="C1491" s="8" t="d">
        <x:v>2025-12-04T00:00:00.000Z</x:v>
      </x:c>
      <x:c r="D1491" s="2" t="str">
        <x:v>Lagos</x:v>
      </x:c>
      <x:c r="E1491" s="2" t="str">
        <x:v>Fashion</x:v>
      </x:c>
      <x:c r="F1491" s="2" t="str">
        <x:v>Handbag</x:v>
      </x:c>
      <x:c r="G1491" s="2" t="str">
        <x:v>Online</x:v>
      </x:c>
      <x:c r="H1491" s="7" t="n">
        <x:v>3</x:v>
      </x:c>
      <x:c r="I1491" s="9" t="n">
        <x:v>22000</x:v>
      </x:c>
      <x:c r="J1491" s="9" t="n">
        <x:v>13500</x:v>
      </x:c>
      <x:c r="K1491" s="10" t="n">
        <x:v>0</x:v>
      </x:c>
      <x:c r="L1491" s="2" t="str">
        <x:v>Completed</x:v>
      </x:c>
      <x:c r="M1491" s="12" t="n">
        <x:f>H1491*I1491</x:f>
        <x:v>66000</x:v>
      </x:c>
      <x:c r="N1491" s="12" t="n">
        <x:f>IF(L1491="Completed",ROUND(M1491*(1-K1491),2),0)</x:f>
        <x:v>66000</x:v>
      </x:c>
      <x:c r="O1491" s="12" t="n">
        <x:f>IF(L1491="Completed",H1491*J1491,0)</x:f>
        <x:v>40500</x:v>
      </x:c>
      <x:c r="P1491" s="12" t="n">
        <x:f>N1491-O1491</x:f>
        <x:v>25500</x:v>
      </x:c>
    </x:row>
    <x:row r="1492" ht="21" customHeight="1">
      <x:c r="A1492" s="7" t="n">
        <x:v>1487</x:v>
      </x:c>
      <x:c r="B1492" s="2" t="str">
        <x:v>TXN-01487</x:v>
      </x:c>
      <x:c r="C1492" s="8" t="d">
        <x:v>2025-12-30T00:00:00.000Z</x:v>
      </x:c>
      <x:c r="D1492" s="2" t="str">
        <x:v>Abuja</x:v>
      </x:c>
      <x:c r="E1492" s="2" t="str">
        <x:v>Beauty</x:v>
      </x:c>
      <x:c r="F1492" s="2" t="str">
        <x:v>Perfume</x:v>
      </x:c>
      <x:c r="G1492" s="2" t="str">
        <x:v>In-store</x:v>
      </x:c>
      <x:c r="H1492" s="7" t="n">
        <x:v>1</x:v>
      </x:c>
      <x:c r="I1492" s="9" t="n">
        <x:v>17000</x:v>
      </x:c>
      <x:c r="J1492" s="9" t="n">
        <x:v>9000</x:v>
      </x:c>
      <x:c r="K1492" s="10" t="n">
        <x:v>0</x:v>
      </x:c>
      <x:c r="L1492" s="2" t="str">
        <x:v>Completed</x:v>
      </x:c>
      <x:c r="M1492" s="12" t="n">
        <x:f>H1492*I1492</x:f>
        <x:v>17000</x:v>
      </x:c>
      <x:c r="N1492" s="12" t="n">
        <x:f>IF(L1492="Completed",ROUND(M1492*(1-K1492),2),0)</x:f>
        <x:v>17000</x:v>
      </x:c>
      <x:c r="O1492" s="12" t="n">
        <x:f>IF(L1492="Completed",H1492*J1492,0)</x:f>
        <x:v>9000</x:v>
      </x:c>
      <x:c r="P1492" s="12" t="n">
        <x:f>N1492-O1492</x:f>
        <x:v>8000</x:v>
      </x:c>
    </x:row>
    <x:row r="1493" ht="21" customHeight="1">
      <x:c r="A1493" s="7" t="n">
        <x:v>1488</x:v>
      </x:c>
      <x:c r="B1493" s="2" t="str">
        <x:v>TXN-01488</x:v>
      </x:c>
      <x:c r="C1493" s="8" t="d">
        <x:v>2025-12-05T00:00:00.000Z</x:v>
      </x:c>
      <x:c r="D1493" s="2" t="str">
        <x:v>Lagos</x:v>
      </x:c>
      <x:c r="E1493" s="2" t="str">
        <x:v>Home</x:v>
      </x:c>
      <x:c r="F1493" s="2" t="str">
        <x:v>Bedsheet</x:v>
      </x:c>
      <x:c r="G1493" s="2" t="str">
        <x:v>Online</x:v>
      </x:c>
      <x:c r="H1493" s="7" t="n">
        <x:v>1</x:v>
      </x:c>
      <x:c r="I1493" s="9" t="n">
        <x:v>14000</x:v>
      </x:c>
      <x:c r="J1493" s="9" t="n">
        <x:v>8500</x:v>
      </x:c>
      <x:c r="K1493" s="10" t="n">
        <x:v>0.1</x:v>
      </x:c>
      <x:c r="L1493" s="2" t="str">
        <x:v>Returned</x:v>
      </x:c>
      <x:c r="M1493" s="12" t="n">
        <x:f>H1493*I1493</x:f>
        <x:v>14000</x:v>
      </x:c>
      <x:c r="N1493" s="12" t="n">
        <x:f>IF(L1493="Completed",ROUND(M1493*(1-K1493),2),0)</x:f>
        <x:v>0</x:v>
      </x:c>
      <x:c r="O1493" s="12" t="n">
        <x:f>IF(L1493="Completed",H1493*J1493,0)</x:f>
        <x:v>0</x:v>
      </x:c>
      <x:c r="P1493" s="12" t="n">
        <x:f>N1493-O1493</x:f>
        <x:v>0</x:v>
      </x:c>
    </x:row>
    <x:row r="1494" ht="21" customHeight="1">
      <x:c r="A1494" s="7" t="n">
        <x:v>1489</x:v>
      </x:c>
      <x:c r="B1494" s="2" t="str">
        <x:v>TXN-01489</x:v>
      </x:c>
      <x:c r="C1494" s="8" t="d">
        <x:v>2025-12-23T00:00:00.000Z</x:v>
      </x:c>
      <x:c r="D1494" s="2" t="str">
        <x:v>Port Harcourt</x:v>
      </x:c>
      <x:c r="E1494" s="2" t="str">
        <x:v>Home</x:v>
      </x:c>
      <x:c r="F1494" s="2" t="str">
        <x:v>Bedsheet</x:v>
      </x:c>
      <x:c r="G1494" s="2" t="str">
        <x:v>In-store</x:v>
      </x:c>
      <x:c r="H1494" s="7" t="n">
        <x:v>1</x:v>
      </x:c>
      <x:c r="I1494" s="9" t="n">
        <x:v>14000</x:v>
      </x:c>
      <x:c r="J1494" s="9" t="n">
        <x:v>8500</x:v>
      </x:c>
      <x:c r="K1494" s="10" t="n">
        <x:v>0</x:v>
      </x:c>
      <x:c r="L1494" s="2" t="str">
        <x:v>Completed</x:v>
      </x:c>
      <x:c r="M1494" s="12" t="n">
        <x:f>H1494*I1494</x:f>
        <x:v>14000</x:v>
      </x:c>
      <x:c r="N1494" s="12" t="n">
        <x:f>IF(L1494="Completed",ROUND(M1494*(1-K1494),2),0)</x:f>
        <x:v>14000</x:v>
      </x:c>
      <x:c r="O1494" s="12" t="n">
        <x:f>IF(L1494="Completed",H1494*J1494,0)</x:f>
        <x:v>8500</x:v>
      </x:c>
      <x:c r="P1494" s="12" t="n">
        <x:f>N1494-O1494</x:f>
        <x:v>5500</x:v>
      </x:c>
    </x:row>
    <x:row r="1495" ht="21" customHeight="1">
      <x:c r="A1495" s="7" t="n">
        <x:v>1490</x:v>
      </x:c>
      <x:c r="B1495" s="2" t="str">
        <x:v>TXN-01490</x:v>
      </x:c>
      <x:c r="C1495" s="8" t="d">
        <x:v>2025-12-19T00:00:00.000Z</x:v>
      </x:c>
      <x:c r="D1495" s="2" t="str">
        <x:v>Lagos</x:v>
      </x:c>
      <x:c r="E1495" s="2" t="str">
        <x:v>Home</x:v>
      </x:c>
      <x:c r="F1495" s="2" t="str">
        <x:v>Bedsheet</x:v>
      </x:c>
      <x:c r="G1495" s="2" t="str">
        <x:v>Online</x:v>
      </x:c>
      <x:c r="H1495" s="7" t="n">
        <x:v>1</x:v>
      </x:c>
      <x:c r="I1495" s="9" t="n">
        <x:v>14000</x:v>
      </x:c>
      <x:c r="J1495" s="9" t="n">
        <x:v>8500</x:v>
      </x:c>
      <x:c r="K1495" s="10" t="n">
        <x:v>0.1</x:v>
      </x:c>
      <x:c r="L1495" s="2" t="str">
        <x:v>Completed</x:v>
      </x:c>
      <x:c r="M1495" s="12" t="n">
        <x:f>H1495*I1495</x:f>
        <x:v>14000</x:v>
      </x:c>
      <x:c r="N1495" s="12" t="n">
        <x:f>IF(L1495="Completed",ROUND(M1495*(1-K1495),2),0)</x:f>
        <x:v>12600</x:v>
      </x:c>
      <x:c r="O1495" s="12" t="n">
        <x:f>IF(L1495="Completed",H1495*J1495,0)</x:f>
        <x:v>8500</x:v>
      </x:c>
      <x:c r="P1495" s="12" t="n">
        <x:f>N1495-O1495</x:f>
        <x:v>4100</x:v>
      </x:c>
    </x:row>
    <x:row r="1496" ht="21" customHeight="1">
      <x:c r="A1496" s="7" t="n">
        <x:v>1491</x:v>
      </x:c>
      <x:c r="B1496" s="2" t="str">
        <x:v>TXN-01491</x:v>
      </x:c>
      <x:c r="C1496" s="8" t="d">
        <x:v>2025-12-14T00:00:00.000Z</x:v>
      </x:c>
      <x:c r="D1496" s="2" t="str">
        <x:v>Lagos</x:v>
      </x:c>
      <x:c r="E1496" s="2" t="str">
        <x:v>Fashion</x:v>
      </x:c>
      <x:c r="F1496" s="2" t="str">
        <x:v>T-shirt</x:v>
      </x:c>
      <x:c r="G1496" s="2" t="str">
        <x:v>Online</x:v>
      </x:c>
      <x:c r="H1496" s="7" t="n">
        <x:v>2</x:v>
      </x:c>
      <x:c r="I1496" s="9" t="n">
        <x:v>9000</x:v>
      </x:c>
      <x:c r="J1496" s="9" t="n">
        <x:v>5000</x:v>
      </x:c>
      <x:c r="K1496" s="10" t="n">
        <x:v>0</x:v>
      </x:c>
      <x:c r="L1496" s="2" t="str">
        <x:v>Completed</x:v>
      </x:c>
      <x:c r="M1496" s="12" t="n">
        <x:f>H1496*I1496</x:f>
        <x:v>18000</x:v>
      </x:c>
      <x:c r="N1496" s="12" t="n">
        <x:f>IF(L1496="Completed",ROUND(M1496*(1-K1496),2),0)</x:f>
        <x:v>18000</x:v>
      </x:c>
      <x:c r="O1496" s="12" t="n">
        <x:f>IF(L1496="Completed",H1496*J1496,0)</x:f>
        <x:v>10000</x:v>
      </x:c>
      <x:c r="P1496" s="12" t="n">
        <x:f>N1496-O1496</x:f>
        <x:v>8000</x:v>
      </x:c>
    </x:row>
    <x:row r="1497" ht="21" customHeight="1">
      <x:c r="A1497" s="7" t="n">
        <x:v>1492</x:v>
      </x:c>
      <x:c r="B1497" s="2" t="str">
        <x:v>TXN-01492</x:v>
      </x:c>
      <x:c r="C1497" s="8" t="d">
        <x:v>2025-12-28T00:00:00.000Z</x:v>
      </x:c>
      <x:c r="D1497" s="2" t="str">
        <x:v>Abuja</x:v>
      </x:c>
      <x:c r="E1497" s="2" t="str">
        <x:v>Home</x:v>
      </x:c>
      <x:c r="F1497" s="2" t="str">
        <x:v>Cookware set</x:v>
      </x:c>
      <x:c r="G1497" s="2" t="str">
        <x:v>In-store</x:v>
      </x:c>
      <x:c r="H1497" s="7" t="n">
        <x:v>2</x:v>
      </x:c>
      <x:c r="I1497" s="9" t="n">
        <x:v>35000</x:v>
      </x:c>
      <x:c r="J1497" s="9" t="n">
        <x:v>22500</x:v>
      </x:c>
      <x:c r="K1497" s="10" t="n">
        <x:v>0</x:v>
      </x:c>
      <x:c r="L1497" s="2" t="str">
        <x:v>Completed</x:v>
      </x:c>
      <x:c r="M1497" s="12" t="n">
        <x:f>H1497*I1497</x:f>
        <x:v>70000</x:v>
      </x:c>
      <x:c r="N1497" s="12" t="n">
        <x:f>IF(L1497="Completed",ROUND(M1497*(1-K1497),2),0)</x:f>
        <x:v>70000</x:v>
      </x:c>
      <x:c r="O1497" s="12" t="n">
        <x:f>IF(L1497="Completed",H1497*J1497,0)</x:f>
        <x:v>45000</x:v>
      </x:c>
      <x:c r="P1497" s="12" t="n">
        <x:f>N1497-O1497</x:f>
        <x:v>25000</x:v>
      </x:c>
    </x:row>
    <x:row r="1498" ht="21" customHeight="1">
      <x:c r="A1498" s="7" t="n">
        <x:v>1493</x:v>
      </x:c>
      <x:c r="B1498" s="2" t="str">
        <x:v>TXN-01493</x:v>
      </x:c>
      <x:c r="C1498" s="8" t="d">
        <x:v>2025-12-28T00:00:00.000Z</x:v>
      </x:c>
      <x:c r="D1498" s="2" t="str">
        <x:v>Lagos</x:v>
      </x:c>
      <x:c r="E1498" s="2" t="str">
        <x:v>Beauty</x:v>
      </x:c>
      <x:c r="F1498" s="2" t="str">
        <x:v>Moisturizer</x:v>
      </x:c>
      <x:c r="G1498" s="2" t="str">
        <x:v>In-store</x:v>
      </x:c>
      <x:c r="H1498" s="7" t="n">
        <x:v>1</x:v>
      </x:c>
      <x:c r="I1498" s="9" t="n">
        <x:v>6500</x:v>
      </x:c>
      <x:c r="J1498" s="9" t="n">
        <x:v>3500</x:v>
      </x:c>
      <x:c r="K1498" s="10" t="n">
        <x:v>0</x:v>
      </x:c>
      <x:c r="L1498" s="2" t="str">
        <x:v>Completed</x:v>
      </x:c>
      <x:c r="M1498" s="12" t="n">
        <x:f>H1498*I1498</x:f>
        <x:v>6500</x:v>
      </x:c>
      <x:c r="N1498" s="12" t="n">
        <x:f>IF(L1498="Completed",ROUND(M1498*(1-K1498),2),0)</x:f>
        <x:v>6500</x:v>
      </x:c>
      <x:c r="O1498" s="12" t="n">
        <x:f>IF(L1498="Completed",H1498*J1498,0)</x:f>
        <x:v>3500</x:v>
      </x:c>
      <x:c r="P1498" s="12" t="n">
        <x:f>N1498-O1498</x:f>
        <x:v>3000</x:v>
      </x:c>
    </x:row>
    <x:row r="1499" ht="21" customHeight="1">
      <x:c r="A1499" s="7" t="n">
        <x:v>1494</x:v>
      </x:c>
      <x:c r="B1499" s="2" t="str">
        <x:v>TXN-01494</x:v>
      </x:c>
      <x:c r="C1499" s="8" t="d">
        <x:v>2025-12-03T00:00:00.000Z</x:v>
      </x:c>
      <x:c r="D1499" s="2" t="str">
        <x:v>Lagos</x:v>
      </x:c>
      <x:c r="E1499" s="2" t="str">
        <x:v>Home</x:v>
      </x:c>
      <x:c r="F1499" s="2" t="str">
        <x:v>Desk lamp</x:v>
      </x:c>
      <x:c r="G1499" s="2" t="str">
        <x:v>Online</x:v>
      </x:c>
      <x:c r="H1499" s="7" t="n">
        <x:v>1</x:v>
      </x:c>
      <x:c r="I1499" s="9" t="n">
        <x:v>12000</x:v>
      </x:c>
      <x:c r="J1499" s="9" t="n">
        <x:v>7200</x:v>
      </x:c>
      <x:c r="K1499" s="10" t="n">
        <x:v>0.05</x:v>
      </x:c>
      <x:c r="L1499" s="2" t="str">
        <x:v>Completed</x:v>
      </x:c>
      <x:c r="M1499" s="12" t="n">
        <x:f>H1499*I1499</x:f>
        <x:v>12000</x:v>
      </x:c>
      <x:c r="N1499" s="12" t="n">
        <x:f>IF(L1499="Completed",ROUND(M1499*(1-K1499),2),0)</x:f>
        <x:v>11400</x:v>
      </x:c>
      <x:c r="O1499" s="12" t="n">
        <x:f>IF(L1499="Completed",H1499*J1499,0)</x:f>
        <x:v>7200</x:v>
      </x:c>
      <x:c r="P1499" s="12" t="n">
        <x:f>N1499-O1499</x:f>
        <x:v>4200</x:v>
      </x:c>
    </x:row>
    <x:row r="1500" ht="21" customHeight="1">
      <x:c r="A1500" s="7" t="n">
        <x:v>1495</x:v>
      </x:c>
      <x:c r="B1500" s="2" t="str">
        <x:v>TXN-01495</x:v>
      </x:c>
      <x:c r="C1500" s="8" t="d">
        <x:v>2025-12-11T00:00:00.000Z</x:v>
      </x:c>
      <x:c r="D1500" s="2" t="str">
        <x:v>Port Harcourt</x:v>
      </x:c>
      <x:c r="E1500" s="2" t="str">
        <x:v>Beauty</x:v>
      </x:c>
      <x:c r="F1500" s="2" t="str">
        <x:v>Body wash</x:v>
      </x:c>
      <x:c r="G1500" s="2" t="str">
        <x:v>In-store</x:v>
      </x:c>
      <x:c r="H1500" s="7" t="n">
        <x:v>1</x:v>
      </x:c>
      <x:c r="I1500" s="9" t="n">
        <x:v>4500</x:v>
      </x:c>
      <x:c r="J1500" s="9" t="n">
        <x:v>2300</x:v>
      </x:c>
      <x:c r="K1500" s="10" t="n">
        <x:v>0.05</x:v>
      </x:c>
      <x:c r="L1500" s="2" t="str">
        <x:v>Completed</x:v>
      </x:c>
      <x:c r="M1500" s="12" t="n">
        <x:f>H1500*I1500</x:f>
        <x:v>4500</x:v>
      </x:c>
      <x:c r="N1500" s="12" t="n">
        <x:f>IF(L1500="Completed",ROUND(M1500*(1-K1500),2),0)</x:f>
        <x:v>4275</x:v>
      </x:c>
      <x:c r="O1500" s="12" t="n">
        <x:f>IF(L1500="Completed",H1500*J1500,0)</x:f>
        <x:v>2300</x:v>
      </x:c>
      <x:c r="P1500" s="12" t="n">
        <x:f>N1500-O1500</x:f>
        <x:v>1975</x:v>
      </x:c>
    </x:row>
    <x:row r="1501" ht="21" customHeight="1">
      <x:c r="A1501" s="7" t="n">
        <x:v>1496</x:v>
      </x:c>
      <x:c r="B1501" s="2" t="str">
        <x:v>TXN-01496</x:v>
      </x:c>
      <x:c r="C1501" s="8" t="d">
        <x:v>2025-12-31T00:00:00.000Z</x:v>
      </x:c>
      <x:c r="D1501" s="2" t="str">
        <x:v>Port Harcourt</x:v>
      </x:c>
      <x:c r="E1501" s="2" t="str">
        <x:v>Fashion</x:v>
      </x:c>
      <x:c r="F1501" s="2" t="str">
        <x:v>Sneakers</x:v>
      </x:c>
      <x:c r="G1501" s="2" t="str">
        <x:v>Online</x:v>
      </x:c>
      <x:c r="H1501" s="7" t="n">
        <x:v>1</x:v>
      </x:c>
      <x:c r="I1501" s="9" t="n">
        <x:v>28000</x:v>
      </x:c>
      <x:c r="J1501" s="9" t="n">
        <x:v>17500</x:v>
      </x:c>
      <x:c r="K1501" s="10" t="n">
        <x:v>0</x:v>
      </x:c>
      <x:c r="L1501" s="2" t="str">
        <x:v>Completed</x:v>
      </x:c>
      <x:c r="M1501" s="12" t="n">
        <x:f>H1501*I1501</x:f>
        <x:v>28000</x:v>
      </x:c>
      <x:c r="N1501" s="12" t="n">
        <x:f>IF(L1501="Completed",ROUND(M1501*(1-K1501),2),0)</x:f>
        <x:v>28000</x:v>
      </x:c>
      <x:c r="O1501" s="12" t="n">
        <x:f>IF(L1501="Completed",H1501*J1501,0)</x:f>
        <x:v>17500</x:v>
      </x:c>
      <x:c r="P1501" s="12" t="n">
        <x:f>N1501-O1501</x:f>
        <x:v>10500</x:v>
      </x:c>
    </x:row>
    <x:row r="1502" ht="21" customHeight="1">
      <x:c r="A1502" s="7" t="n">
        <x:v>1497</x:v>
      </x:c>
      <x:c r="B1502" s="2" t="str">
        <x:v>TXN-01497</x:v>
      </x:c>
      <x:c r="C1502" s="8" t="d">
        <x:v>2025-12-17T00:00:00.000Z</x:v>
      </x:c>
      <x:c r="D1502" s="2" t="str">
        <x:v>Lagos</x:v>
      </x:c>
      <x:c r="E1502" s="2" t="str">
        <x:v>Beauty</x:v>
      </x:c>
      <x:c r="F1502" s="2" t="str">
        <x:v>Body wash</x:v>
      </x:c>
      <x:c r="G1502" s="2" t="str">
        <x:v>In-store</x:v>
      </x:c>
      <x:c r="H1502" s="7" t="n">
        <x:v>2</x:v>
      </x:c>
      <x:c r="I1502" s="9" t="n">
        <x:v>4500</x:v>
      </x:c>
      <x:c r="J1502" s="9" t="n">
        <x:v>2300</x:v>
      </x:c>
      <x:c r="K1502" s="10" t="n">
        <x:v>0.05</x:v>
      </x:c>
      <x:c r="L1502" s="2" t="str">
        <x:v>Completed</x:v>
      </x:c>
      <x:c r="M1502" s="12" t="n">
        <x:f>H1502*I1502</x:f>
        <x:v>9000</x:v>
      </x:c>
      <x:c r="N1502" s="12" t="n">
        <x:f>IF(L1502="Completed",ROUND(M1502*(1-K1502),2),0)</x:f>
        <x:v>8550</x:v>
      </x:c>
      <x:c r="O1502" s="12" t="n">
        <x:f>IF(L1502="Completed",H1502*J1502,0)</x:f>
        <x:v>4600</x:v>
      </x:c>
      <x:c r="P1502" s="12" t="n">
        <x:f>N1502-O1502</x:f>
        <x:v>3950</x:v>
      </x:c>
    </x:row>
    <x:row r="1503" ht="21" customHeight="1">
      <x:c r="A1503" s="7" t="n">
        <x:v>1498</x:v>
      </x:c>
      <x:c r="B1503" s="2" t="str">
        <x:v>TXN-01498</x:v>
      </x:c>
      <x:c r="C1503" s="8" t="d">
        <x:v>2025-12-13T00:00:00.000Z</x:v>
      </x:c>
      <x:c r="D1503" s="2" t="str">
        <x:v>Lagos</x:v>
      </x:c>
      <x:c r="E1503" s="2" t="str">
        <x:v>Electronics</x:v>
      </x:c>
      <x:c r="F1503" s="2" t="str">
        <x:v>Power bank</x:v>
      </x:c>
      <x:c r="G1503" s="2" t="str">
        <x:v>Online</x:v>
      </x:c>
      <x:c r="H1503" s="7" t="n">
        <x:v>2</x:v>
      </x:c>
      <x:c r="I1503" s="9" t="n">
        <x:v>15000</x:v>
      </x:c>
      <x:c r="J1503" s="9" t="n">
        <x:v>9500</x:v>
      </x:c>
      <x:c r="K1503" s="10" t="n">
        <x:v>0.05</x:v>
      </x:c>
      <x:c r="L1503" s="2" t="str">
        <x:v>Completed</x:v>
      </x:c>
      <x:c r="M1503" s="12" t="n">
        <x:f>H1503*I1503</x:f>
        <x:v>30000</x:v>
      </x:c>
      <x:c r="N1503" s="12" t="n">
        <x:f>IF(L1503="Completed",ROUND(M1503*(1-K1503),2),0)</x:f>
        <x:v>28500</x:v>
      </x:c>
      <x:c r="O1503" s="12" t="n">
        <x:f>IF(L1503="Completed",H1503*J1503,0)</x:f>
        <x:v>19000</x:v>
      </x:c>
      <x:c r="P1503" s="12" t="n">
        <x:f>N1503-O1503</x:f>
        <x:v>9500</x:v>
      </x:c>
    </x:row>
    <x:row r="1504" ht="21" customHeight="1">
      <x:c r="A1504" s="7" t="n">
        <x:v>1499</x:v>
      </x:c>
      <x:c r="B1504" s="2" t="str">
        <x:v>TXN-01499</x:v>
      </x:c>
      <x:c r="C1504" s="8" t="d">
        <x:v>2025-12-04T00:00:00.000Z</x:v>
      </x:c>
      <x:c r="D1504" s="2" t="str">
        <x:v>Kano</x:v>
      </x:c>
      <x:c r="E1504" s="2" t="str">
        <x:v>Beauty</x:v>
      </x:c>
      <x:c r="F1504" s="2" t="str">
        <x:v>Perfume</x:v>
      </x:c>
      <x:c r="G1504" s="2" t="str">
        <x:v>Online</x:v>
      </x:c>
      <x:c r="H1504" s="7" t="n">
        <x:v>2</x:v>
      </x:c>
      <x:c r="I1504" s="9" t="n">
        <x:v>17000</x:v>
      </x:c>
      <x:c r="J1504" s="9" t="n">
        <x:v>9000</x:v>
      </x:c>
      <x:c r="K1504" s="10" t="n">
        <x:v>0.1</x:v>
      </x:c>
      <x:c r="L1504" s="2" t="str">
        <x:v>Completed</x:v>
      </x:c>
      <x:c r="M1504" s="12" t="n">
        <x:f>H1504*I1504</x:f>
        <x:v>34000</x:v>
      </x:c>
      <x:c r="N1504" s="12" t="n">
        <x:f>IF(L1504="Completed",ROUND(M1504*(1-K1504),2),0)</x:f>
        <x:v>30600</x:v>
      </x:c>
      <x:c r="O1504" s="12" t="n">
        <x:f>IF(L1504="Completed",H1504*J1504,0)</x:f>
        <x:v>18000</x:v>
      </x:c>
      <x:c r="P1504" s="12" t="n">
        <x:f>N1504-O1504</x:f>
        <x:v>12600</x:v>
      </x:c>
    </x:row>
    <x:row r="1505" ht="21" customHeight="1">
      <x:c r="A1505" s="7" t="n">
        <x:v>1500</x:v>
      </x:c>
      <x:c r="B1505" s="2" t="str">
        <x:v>TXN-01500</x:v>
      </x:c>
      <x:c r="C1505" s="8" t="d">
        <x:v>2025-12-13T00:00:00.000Z</x:v>
      </x:c>
      <x:c r="D1505" s="2" t="str">
        <x:v>Lagos</x:v>
      </x:c>
      <x:c r="E1505" s="2" t="str">
        <x:v>Beauty</x:v>
      </x:c>
      <x:c r="F1505" s="2" t="str">
        <x:v>Moisturizer</x:v>
      </x:c>
      <x:c r="G1505" s="2" t="str">
        <x:v>Online</x:v>
      </x:c>
      <x:c r="H1505" s="7" t="n">
        <x:v>2</x:v>
      </x:c>
      <x:c r="I1505" s="9" t="n">
        <x:v>6500</x:v>
      </x:c>
      <x:c r="J1505" s="9" t="n">
        <x:v>3500</x:v>
      </x:c>
      <x:c r="K1505" s="10" t="n">
        <x:v>0</x:v>
      </x:c>
      <x:c r="L1505" s="2" t="str">
        <x:v>Completed</x:v>
      </x:c>
      <x:c r="M1505" s="12" t="n">
        <x:f>H1505*I1505</x:f>
        <x:v>13000</x:v>
      </x:c>
      <x:c r="N1505" s="12" t="n">
        <x:f>IF(L1505="Completed",ROUND(M1505*(1-K1505),2),0)</x:f>
        <x:v>13000</x:v>
      </x:c>
      <x:c r="O1505" s="12" t="n">
        <x:f>IF(L1505="Completed",H1505*J1505,0)</x:f>
        <x:v>7000</x:v>
      </x:c>
      <x:c r="P1505" s="12" t="n">
        <x:f>N1505-O1505</x:f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5c0541482b304d4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7" hidden="0" customWidth="1"/>
    <x:col min="7" max="7" width="22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1" customHeight="1">
      <x:c r="A2" s="3" t="str">
        <x:v>Original source rows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4" t="str">
        <x:v>Source: simulated CSV, seed 4517. Text, missing values and invalid records are retained for cleaning.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6" customHeight="1">
      <x:c r="A5" s="15" t="str">
        <x:v>source_row</x:v>
      </x:c>
      <x:c r="B5" s="15" t="str">
        <x:v>transaction_id</x:v>
      </x:c>
      <x:c r="C5" s="15" t="str">
        <x:v>order_date</x:v>
      </x:c>
      <x:c r="D5" s="15" t="str">
        <x:v>city</x:v>
      </x:c>
      <x:c r="E5" s="15" t="str">
        <x:v>category</x:v>
      </x:c>
      <x:c r="F5" s="15" t="str">
        <x:v>product</x:v>
      </x:c>
      <x:c r="G5" s="15" t="str">
        <x:v>channel</x:v>
      </x:c>
      <x:c r="H5" s="15" t="str">
        <x:v>quantity</x:v>
      </x:c>
      <x:c r="I5" s="15" t="str">
        <x:v>unit_price_ngn</x:v>
      </x:c>
      <x:c r="J5" s="15" t="str">
        <x:v>unit_cost_ngn</x:v>
      </x:c>
      <x:c r="K5" s="15" t="str">
        <x:v>discount_rate</x:v>
      </x:c>
      <x:c r="L5" s="15" t="str">
        <x:v>status</x:v>
      </x:c>
    </x:row>
    <x:row r="6" ht="21" customHeight="1">
      <x:c r="A6" s="2" t="n">
        <x:v>1</x:v>
      </x:c>
      <x:c r="B6" s="2" t="str">
        <x:v>TXN-00001</x:v>
      </x:c>
      <x:c r="C6" s="2" t="str">
        <x:v>2025-01-03</x:v>
      </x:c>
      <x:c r="D6" s="2" t="str">
        <x:v> abuja </x:v>
      </x:c>
      <x:c r="E6" s="2" t="str">
        <x:v>Fashion</x:v>
      </x:c>
      <x:c r="F6" s="2" t="str">
        <x:v>Handbag</x:v>
      </x:c>
      <x:c r="G6" s="2" t="str">
        <x:v> online </x:v>
      </x:c>
      <x:c r="H6" s="2" t="n">
        <x:v>1</x:v>
      </x:c>
      <x:c r="I6" s="2" t="n">
        <x:v>22000</x:v>
      </x:c>
      <x:c r="J6" s="2" t="n">
        <x:v>13500</x:v>
      </x:c>
      <x:c r="K6" s="2" t="n">
        <x:v>0</x:v>
      </x:c>
      <x:c r="L6" s="2" t="str">
        <x:v> COMPLETED </x:v>
      </x:c>
    </x:row>
    <x:row r="7" ht="21" customHeight="1">
      <x:c r="A7" s="2" t="n">
        <x:v>2</x:v>
      </x:c>
      <x:c r="B7" s="2" t="str">
        <x:v>TXN-00002</x:v>
      </x:c>
      <x:c r="C7" s="2" t="str">
        <x:v>2025-01-04</x:v>
      </x:c>
      <x:c r="D7" s="2" t="str">
        <x:v>Abuja</x:v>
      </x:c>
      <x:c r="E7" s="2" t="str">
        <x:v>Fashion</x:v>
      </x:c>
      <x:c r="F7" s="2" t="str">
        <x:v>T-shirt</x:v>
      </x:c>
      <x:c r="G7" s="2" t="str">
        <x:v>Online</x:v>
      </x:c>
      <x:c r="H7" s="2" t="n">
        <x:v>2</x:v>
      </x:c>
      <x:c r="I7" s="2" t="n">
        <x:v>9000</x:v>
      </x:c>
      <x:c r="J7" s="2" t="n">
        <x:v>5000</x:v>
      </x:c>
      <x:c r="K7" s="2" t="n">
        <x:v>0.05</x:v>
      </x:c>
      <x:c r="L7" s="2" t="str">
        <x:v>Completed</x:v>
      </x:c>
    </x:row>
    <x:row r="8" ht="21" customHeight="1">
      <x:c r="A8" s="2" t="n">
        <x:v>3</x:v>
      </x:c>
      <x:c r="B8" s="2" t="str">
        <x:v>TXN-00003</x:v>
      </x:c>
      <x:c r="C8" s="2" t="str">
        <x:v>2025-01-29</x:v>
      </x:c>
      <x:c r="D8" s="2" t="str">
        <x:v>Lagos</x:v>
      </x:c>
      <x:c r="E8" s="2" t="str">
        <x:v>Home</x:v>
      </x:c>
      <x:c r="F8" s="2" t="str">
        <x:v>Cookware set</x:v>
      </x:c>
      <x:c r="G8" s="2" t="str">
        <x:v>In-store</x:v>
      </x:c>
      <x:c r="H8" s="2" t="n">
        <x:v>2</x:v>
      </x:c>
      <x:c r="I8" s="2" t="n">
        <x:v>35000</x:v>
      </x:c>
      <x:c r="J8" s="2" t="n">
        <x:v>22500</x:v>
      </x:c>
      <x:c r="K8" s="2" t="n">
        <x:v>0.1</x:v>
      </x:c>
      <x:c r="L8" s="2" t="str">
        <x:v>Completed</x:v>
      </x:c>
    </x:row>
    <x:row r="9" ht="21" customHeight="1">
      <x:c r="A9" s="2" t="n">
        <x:v>4</x:v>
      </x:c>
      <x:c r="B9" s="2" t="str">
        <x:v>TXN-00004</x:v>
      </x:c>
      <x:c r="C9" s="2" t="str">
        <x:v>2025-01-09</x:v>
      </x:c>
      <x:c r="D9" s="2" t="str">
        <x:v>Abuja</x:v>
      </x:c>
      <x:c r="E9" s="2" t="str">
        <x:v>Electronics</x:v>
      </x:c>
      <x:c r="F9" s="2" t="str">
        <x:v>Power bank</x:v>
      </x:c>
      <x:c r="G9" s="2" t="str">
        <x:v>Online</x:v>
      </x:c>
      <x:c r="H9" s="2" t="n">
        <x:v>3</x:v>
      </x:c>
      <x:c r="I9" s="2" t="n">
        <x:v>15000</x:v>
      </x:c>
      <x:c r="J9" s="2" t="n">
        <x:v>9500</x:v>
      </x:c>
      <x:c r="K9" s="2" t="n">
        <x:v>0</x:v>
      </x:c>
      <x:c r="L9" s="2" t="str">
        <x:v>Completed</x:v>
      </x:c>
    </x:row>
    <x:row r="10" ht="21" customHeight="1">
      <x:c r="A10" s="2" t="n">
        <x:v>5</x:v>
      </x:c>
      <x:c r="B10" s="2" t="str">
        <x:v>TXN-00005</x:v>
      </x:c>
      <x:c r="C10" s="2" t="str">
        <x:v>2025-01-21</x:v>
      </x:c>
      <x:c r="D10" s="2" t="str">
        <x:v>Port Harcourt</x:v>
      </x:c>
      <x:c r="E10" s="2" t="str">
        <x:v>Home</x:v>
      </x:c>
      <x:c r="F10" s="2" t="str">
        <x:v>Bedsheet</x:v>
      </x:c>
      <x:c r="G10" s="2" t="str">
        <x:v>Online</x:v>
      </x:c>
      <x:c r="H10" s="2" t="n">
        <x:v>2</x:v>
      </x:c>
      <x:c r="I10" s="2" t="n">
        <x:v>14000</x:v>
      </x:c>
      <x:c r="J10" s="2" t="n">
        <x:v>8500</x:v>
      </x:c>
      <x:c r="K10" s="2" t="n">
        <x:v>0</x:v>
      </x:c>
      <x:c r="L10" s="2" t="str">
        <x:v>Completed</x:v>
      </x:c>
    </x:row>
    <x:row r="11" ht="21" customHeight="1">
      <x:c r="A11" s="2" t="n">
        <x:v>6</x:v>
      </x:c>
      <x:c r="B11" s="2" t="str">
        <x:v>TXN-00006</x:v>
      </x:c>
      <x:c r="C11" s="2" t="str">
        <x:v>2025-01-16</x:v>
      </x:c>
      <x:c r="D11" s="2" t="str">
        <x:v>Kano</x:v>
      </x:c>
      <x:c r="E11" s="2" t="str">
        <x:v>Fashion</x:v>
      </x:c>
      <x:c r="F11" s="2" t="str">
        <x:v>Handbag</x:v>
      </x:c>
      <x:c r="G11" s="2" t="str">
        <x:v>Online</x:v>
      </x:c>
      <x:c r="H11" s="2" t="n">
        <x:v>1</x:v>
      </x:c>
      <x:c r="I11" s="2" t="n">
        <x:v>22000</x:v>
      </x:c>
      <x:c r="J11" s="2" t="n">
        <x:v>13500</x:v>
      </x:c>
      <x:c r="K11" s="2" t="n">
        <x:v>0.05</x:v>
      </x:c>
      <x:c r="L11" s="2" t="str">
        <x:v>Completed</x:v>
      </x:c>
    </x:row>
    <x:row r="12" ht="21" customHeight="1">
      <x:c r="A12" s="2" t="n">
        <x:v>7</x:v>
      </x:c>
      <x:c r="B12" s="2" t="str">
        <x:v>TXN-00007</x:v>
      </x:c>
      <x:c r="C12" s="2" t="str">
        <x:v>2025-01-07</x:v>
      </x:c>
      <x:c r="D12" s="2" t="str">
        <x:v>Lagos</x:v>
      </x:c>
      <x:c r="E12" s="2" t="str">
        <x:v>Fashion</x:v>
      </x:c>
      <x:c r="F12" s="2" t="str">
        <x:v>T-shirt</x:v>
      </x:c>
      <x:c r="G12" s="2" t="str">
        <x:v>In-store</x:v>
      </x:c>
      <x:c r="H12" s="2" t="n">
        <x:v>1</x:v>
      </x:c>
      <x:c r="I12" s="2" t="n">
        <x:v>9000</x:v>
      </x:c>
      <x:c r="J12" s="2" t="n">
        <x:v>5000</x:v>
      </x:c>
      <x:c r="K12" s="2" t="n">
        <x:v>0</x:v>
      </x:c>
      <x:c r="L12" s="2" t="str">
        <x:v>Completed</x:v>
      </x:c>
    </x:row>
    <x:row r="13" ht="21" customHeight="1">
      <x:c r="A13" s="2" t="n">
        <x:v>8</x:v>
      </x:c>
      <x:c r="B13" s="2" t="str">
        <x:v>TXN-00008</x:v>
      </x:c>
      <x:c r="C13" s="2" t="str">
        <x:v>2025-01-20</x:v>
      </x:c>
      <x:c r="D13" s="2" t="str">
        <x:v> lagos </x:v>
      </x:c>
      <x:c r="E13" s="2" t="str">
        <x:v>Electronics</x:v>
      </x:c>
      <x:c r="F13" s="2" t="str">
        <x:v>Power bank</x:v>
      </x:c>
      <x:c r="G13" s="2" t="str">
        <x:v>In-store</x:v>
      </x:c>
      <x:c r="H13" s="2" t="n">
        <x:v>1</x:v>
      </x:c>
      <x:c r="I13" s="2" t="n">
        <x:v>15000</x:v>
      </x:c>
      <x:c r="J13" s="2" t="n">
        <x:v>9500</x:v>
      </x:c>
      <x:c r="K13" s="2" t="n">
        <x:v>0.1</x:v>
      </x:c>
      <x:c r="L13" s="2" t="str">
        <x:v>Completed</x:v>
      </x:c>
    </x:row>
    <x:row r="14" ht="21" customHeight="1">
      <x:c r="A14" s="2" t="n">
        <x:v>9</x:v>
      </x:c>
      <x:c r="B14" s="2" t="str">
        <x:v>TXN-00009</x:v>
      </x:c>
      <x:c r="C14" s="2" t="str">
        <x:v>2025-01-12</x:v>
      </x:c>
      <x:c r="D14" s="2" t="str">
        <x:v>Abuja</x:v>
      </x:c>
      <x:c r="E14" s="2" t="str">
        <x:v>Fashion</x:v>
      </x:c>
      <x:c r="F14" s="2" t="str">
        <x:v>T-shirt</x:v>
      </x:c>
      <x:c r="G14" s="2" t="str">
        <x:v>In-store</x:v>
      </x:c>
      <x:c r="H14" s="2" t="n">
        <x:v>1</x:v>
      </x:c>
      <x:c r="I14" s="2" t="n">
        <x:v>9000</x:v>
      </x:c>
      <x:c r="J14" s="2" t="n">
        <x:v>5000</x:v>
      </x:c>
      <x:c r="K14" s="2" t="n">
        <x:v>0</x:v>
      </x:c>
      <x:c r="L14" s="2" t="str">
        <x:v>Completed</x:v>
      </x:c>
    </x:row>
    <x:row r="15" ht="21" customHeight="1">
      <x:c r="A15" s="2" t="n">
        <x:v>10</x:v>
      </x:c>
      <x:c r="B15" s="2" t="str">
        <x:v>TXN-00010</x:v>
      </x:c>
      <x:c r="C15" s="2" t="str">
        <x:v>2025-01-18</x:v>
      </x:c>
      <x:c r="D15" s="2" t="str">
        <x:v>Lagos</x:v>
      </x:c>
      <x:c r="E15" s="2" t="str">
        <x:v>Beauty</x:v>
      </x:c>
      <x:c r="F15" s="2" t="str">
        <x:v>Perfume</x:v>
      </x:c>
      <x:c r="G15" s="2" t="str">
        <x:v>Online</x:v>
      </x:c>
      <x:c r="H15" s="2" t="n">
        <x:v>2</x:v>
      </x:c>
      <x:c r="I15" s="2" t="n">
        <x:v>17000</x:v>
      </x:c>
      <x:c r="J15" s="2" t="n">
        <x:v>9000</x:v>
      </x:c>
      <x:c r="K15" s="2" t="n">
        <x:v>0</x:v>
      </x:c>
      <x:c r="L15" s="2" t="str">
        <x:v> COMPLETED </x:v>
      </x:c>
    </x:row>
    <x:row r="16" ht="21" customHeight="1">
      <x:c r="A16" s="2" t="n">
        <x:v>11</x:v>
      </x:c>
      <x:c r="B16" s="2" t="str">
        <x:v>TXN-00011</x:v>
      </x:c>
      <x:c r="C16" s="2" t="str">
        <x:v>2025-01-19</x:v>
      </x:c>
      <x:c r="D16" s="2" t="str">
        <x:v>Lagos</x:v>
      </x:c>
      <x:c r="E16" s="2" t="str">
        <x:v>Beauty</x:v>
      </x:c>
      <x:c r="F16" s="2" t="str">
        <x:v>Moisturizer</x:v>
      </x:c>
      <x:c r="G16" s="2" t="str">
        <x:v>In-store</x:v>
      </x:c>
      <x:c r="H16" s="2" t="n">
        <x:v>1</x:v>
      </x:c>
      <x:c r="I16" s="2" t="n">
        <x:v>6500</x:v>
      </x:c>
      <x:c r="J16" s="2" t="n">
        <x:v>3500</x:v>
      </x:c>
      <x:c r="K16" s="2" t="n">
        <x:v>0.1</x:v>
      </x:c>
      <x:c r="L16" s="2" t="str">
        <x:v>Completed</x:v>
      </x:c>
    </x:row>
    <x:row r="17" ht="21" customHeight="1">
      <x:c r="A17" s="2" t="n">
        <x:v>12</x:v>
      </x:c>
      <x:c r="B17" s="2" t="str">
        <x:v>TXN-00012</x:v>
      </x:c>
      <x:c r="C17" s="2" t="str">
        <x:v>2025-01-11</x:v>
      </x:c>
      <x:c r="D17" s="2" t="str">
        <x:v>Port Harcourt</x:v>
      </x:c>
      <x:c r="E17" s="2" t="str">
        <x:v>Beauty</x:v>
      </x:c>
      <x:c r="F17" s="2" t="str">
        <x:v>Moisturizer</x:v>
      </x:c>
      <x:c r="G17" s="2" t="str">
        <x:v> online </x:v>
      </x:c>
      <x:c r="H17" s="2" t="n">
        <x:v>2</x:v>
      </x:c>
      <x:c r="I17" s="2" t="n">
        <x:v>6500</x:v>
      </x:c>
      <x:c r="J17" s="2" t="n">
        <x:v>3500</x:v>
      </x:c>
      <x:c r="K17" s="2" t="n">
        <x:v>0</x:v>
      </x:c>
      <x:c r="L17" s="2" t="str">
        <x:v>Completed</x:v>
      </x:c>
    </x:row>
    <x:row r="18" ht="21" customHeight="1">
      <x:c r="A18" s="2" t="n">
        <x:v>13</x:v>
      </x:c>
      <x:c r="B18" s="2" t="str">
        <x:v>TXN-00013</x:v>
      </x:c>
      <x:c r="C18" s="2" t="str">
        <x:v>2025-01-26</x:v>
      </x:c>
      <x:c r="D18" s="2" t="str">
        <x:v>Lagos</x:v>
      </x:c>
      <x:c r="E18" s="2" t="str">
        <x:v>Home</x:v>
      </x:c>
      <x:c r="F18" s="2" t="str">
        <x:v>Cookware set</x:v>
      </x:c>
      <x:c r="G18" s="2" t="str">
        <x:v>Online</x:v>
      </x:c>
      <x:c r="H18" s="2" t="n">
        <x:v>1</x:v>
      </x:c>
      <x:c r="I18" s="2" t="n">
        <x:v>35000</x:v>
      </x:c>
      <x:c r="J18" s="2" t="n">
        <x:v>22500</x:v>
      </x:c>
      <x:c r="K18" s="2" t="n">
        <x:v>0.05</x:v>
      </x:c>
      <x:c r="L18" s="2" t="str">
        <x:v>Completed</x:v>
      </x:c>
    </x:row>
    <x:row r="19" ht="21" customHeight="1">
      <x:c r="A19" s="2" t="n">
        <x:v>14</x:v>
      </x:c>
      <x:c r="B19" s="2" t="str">
        <x:v>TXN-00014</x:v>
      </x:c>
      <x:c r="C19" s="2" t="str">
        <x:v>2025-01-16</x:v>
      </x:c>
      <x:c r="D19" s="2" t="str">
        <x:v>Port Harcourt</x:v>
      </x:c>
      <x:c r="E19" s="2" t="str">
        <x:v>Fashion</x:v>
      </x:c>
      <x:c r="F19" s="2" t="str">
        <x:v>T-shirt</x:v>
      </x:c>
      <x:c r="G19" s="2" t="str">
        <x:v>In-store</x:v>
      </x:c>
      <x:c r="H19" s="2" t="n">
        <x:v>1</x:v>
      </x:c>
      <x:c r="I19" s="2" t="n">
        <x:v>9000</x:v>
      </x:c>
      <x:c r="J19" s="2" t="n">
        <x:v>5000</x:v>
      </x:c>
      <x:c r="K19" s="2" t="n">
        <x:v>0</x:v>
      </x:c>
      <x:c r="L19" s="2" t="str">
        <x:v>Completed</x:v>
      </x:c>
    </x:row>
    <x:row r="20" ht="21" customHeight="1">
      <x:c r="A20" s="2" t="n">
        <x:v>15</x:v>
      </x:c>
      <x:c r="B20" s="2" t="str">
        <x:v>TXN-00015</x:v>
      </x:c>
      <x:c r="C20" s="2" t="str">
        <x:v>2025-01-30</x:v>
      </x:c>
      <x:c r="D20" s="2" t="str">
        <x:v> kano </x:v>
      </x:c>
      <x:c r="E20" s="2" t="str">
        <x:v>Electronics</x:v>
      </x:c>
      <x:c r="F20" s="2" t="str">
        <x:v>Headphones</x:v>
      </x:c>
      <x:c r="G20" s="2" t="str">
        <x:v>Online</x:v>
      </x:c>
      <x:c r="H20" s="2" t="n">
        <x:v>1</x:v>
      </x:c>
      <x:c r="I20" s="2" t="n">
        <x:v>18000</x:v>
      </x:c>
      <x:c r="J20" s="2" t="n">
        <x:v>10500</x:v>
      </x:c>
      <x:c r="K20" s="2" t="n">
        <x:v>0.05</x:v>
      </x:c>
      <x:c r="L20" s="2" t="str">
        <x:v>Completed</x:v>
      </x:c>
    </x:row>
    <x:row r="21" ht="21" customHeight="1">
      <x:c r="A21" s="2" t="n">
        <x:v>16</x:v>
      </x:c>
      <x:c r="B21" s="2" t="str">
        <x:v>TXN-00016</x:v>
      </x:c>
      <x:c r="C21" s="2" t="str">
        <x:v>2025-01-14</x:v>
      </x:c>
      <x:c r="D21" s="2" t="str">
        <x:v>Port Harcourt</x:v>
      </x:c>
      <x:c r="E21" s="2" t="str">
        <x:v>Beauty</x:v>
      </x:c>
      <x:c r="F21" s="2" t="str">
        <x:v>Perfume</x:v>
      </x:c>
      <x:c r="G21" s="2" t="str">
        <x:v>Online</x:v>
      </x:c>
      <x:c r="H21" s="2" t="n">
        <x:v>1</x:v>
      </x:c>
      <x:c r="I21" s="2" t="n">
        <x:v>17000</x:v>
      </x:c>
      <x:c r="J21" s="2" t="n">
        <x:v>9000</x:v>
      </x:c>
      <x:c r="K21" s="2" t="n">
        <x:v>0</x:v>
      </x:c>
      <x:c r="L21" s="2" t="str">
        <x:v>Completed</x:v>
      </x:c>
    </x:row>
    <x:row r="22" ht="21" customHeight="1">
      <x:c r="A22" s="2" t="n">
        <x:v>17</x:v>
      </x:c>
      <x:c r="B22" s="2" t="str">
        <x:v>TXN-00017</x:v>
      </x:c>
      <x:c r="C22" s="2" t="str">
        <x:v>2025-01-11</x:v>
      </x:c>
      <x:c r="D22" s="2" t="str">
        <x:v>Kano</x:v>
      </x:c>
      <x:c r="E22" s="2" t="str">
        <x:v>Fashion</x:v>
      </x:c>
      <x:c r="F22" s="2" t="str">
        <x:v>Sneakers</x:v>
      </x:c>
      <x:c r="G22" s="2" t="str">
        <x:v>In-store</x:v>
      </x:c>
      <x:c r="H22" s="2" t="n">
        <x:v>1</x:v>
      </x:c>
      <x:c r="I22" s="2" t="n">
        <x:v>28000</x:v>
      </x:c>
      <x:c r="J22" s="2" t="n">
        <x:v>17500</x:v>
      </x:c>
      <x:c r="K22" s="2" t="n">
        <x:v>0.05</x:v>
      </x:c>
      <x:c r="L22" s="2" t="str">
        <x:v>Completed</x:v>
      </x:c>
    </x:row>
    <x:row r="23" ht="21" customHeight="1">
      <x:c r="A23" s="2" t="n">
        <x:v>18</x:v>
      </x:c>
      <x:c r="B23" s="2" t="str">
        <x:v>TXN-00018</x:v>
      </x:c>
      <x:c r="C23" s="2" t="str">
        <x:v>2025-01-07</x:v>
      </x:c>
      <x:c r="D23" s="2" t="str">
        <x:v>Lagos</x:v>
      </x:c>
      <x:c r="E23" s="2" t="str">
        <x:v>Home</x:v>
      </x:c>
      <x:c r="F23" s="2" t="str">
        <x:v>Cookware set</x:v>
      </x:c>
      <x:c r="G23" s="2" t="str">
        <x:v>In-store</x:v>
      </x:c>
      <x:c r="H23" s="2" t="n">
        <x:v>1</x:v>
      </x:c>
      <x:c r="I23" s="2" t="n">
        <x:v>35000</x:v>
      </x:c>
      <x:c r="J23" s="2" t="n">
        <x:v>22500</x:v>
      </x:c>
      <x:c r="K23" s="2" t="n">
        <x:v>0</x:v>
      </x:c>
      <x:c r="L23" s="2" t="str">
        <x:v>Completed</x:v>
      </x:c>
    </x:row>
    <x:row r="24" ht="21" customHeight="1">
      <x:c r="A24" s="2" t="n">
        <x:v>19</x:v>
      </x:c>
      <x:c r="B24" s="2" t="str">
        <x:v>TXN-00019</x:v>
      </x:c>
      <x:c r="C24" s="2" t="str">
        <x:v>2025-01-03</x:v>
      </x:c>
      <x:c r="D24" s="2" t="str">
        <x:v>Lagos</x:v>
      </x:c>
      <x:c r="E24" s="2" t="str">
        <x:v>Beauty</x:v>
      </x:c>
      <x:c r="F24" s="2" t="str">
        <x:v>Moisturizer</x:v>
      </x:c>
      <x:c r="G24" s="2" t="str">
        <x:v>Online</x:v>
      </x:c>
      <x:c r="H24" s="2" t="n">
        <x:v>1</x:v>
      </x:c>
      <x:c r="I24" s="2" t="n">
        <x:v>6500</x:v>
      </x:c>
      <x:c r="J24" s="2" t="n">
        <x:v>3500</x:v>
      </x:c>
      <x:c r="K24" s="2" t="n">
        <x:v>0</x:v>
      </x:c>
      <x:c r="L24" s="2" t="str">
        <x:v> COMPLETED </x:v>
      </x:c>
    </x:row>
    <x:row r="25" ht="21" customHeight="1">
      <x:c r="A25" s="2" t="n">
        <x:v>20</x:v>
      </x:c>
      <x:c r="B25" s="2" t="str">
        <x:v>TXN-00020</x:v>
      </x:c>
      <x:c r="C25" s="2" t="str">
        <x:v>2025-01-01</x:v>
      </x:c>
      <x:c r="D25" s="2" t="str">
        <x:v>Lagos</x:v>
      </x:c>
      <x:c r="E25" s="2" t="str">
        <x:v>Fashion</x:v>
      </x:c>
      <x:c r="F25" s="2" t="str">
        <x:v>Handbag</x:v>
      </x:c>
      <x:c r="G25" s="2" t="str">
        <x:v>Online</x:v>
      </x:c>
      <x:c r="H25" s="2" t="n">
        <x:v>4</x:v>
      </x:c>
      <x:c r="I25" s="2" t="n">
        <x:v>22000</x:v>
      </x:c>
      <x:c r="J25" s="2" t="n">
        <x:v>13500</x:v>
      </x:c>
      <x:c r="K25" s="2" t="n">
        <x:v>0</x:v>
      </x:c>
      <x:c r="L25" s="2" t="str">
        <x:v>Completed</x:v>
      </x:c>
    </x:row>
    <x:row r="26" ht="21" customHeight="1">
      <x:c r="A26" s="2" t="n">
        <x:v>21</x:v>
      </x:c>
      <x:c r="B26" s="2" t="str">
        <x:v>TXN-00021</x:v>
      </x:c>
      <x:c r="C26" s="2" t="str">
        <x:v>2025-01-22</x:v>
      </x:c>
      <x:c r="D26" s="2" t="str">
        <x:v>Lagos</x:v>
      </x:c>
      <x:c r="E26" s="2" t="str">
        <x:v>Home</x:v>
      </x:c>
      <x:c r="F26" s="2" t="str">
        <x:v>Bedsheet</x:v>
      </x:c>
      <x:c r="G26" s="2" t="str">
        <x:v>Online</x:v>
      </x:c>
      <x:c r="H26" s="2" t="n">
        <x:v>3</x:v>
      </x:c>
      <x:c r="I26" s="2" t="n">
        <x:v>14000</x:v>
      </x:c>
      <x:c r="J26" s="2" t="n">
        <x:v>8500</x:v>
      </x:c>
      <x:c r="K26" s="2" t="n">
        <x:v>0</x:v>
      </x:c>
      <x:c r="L26" s="2" t="str">
        <x:v>Completed</x:v>
      </x:c>
    </x:row>
    <x:row r="27" ht="21" customHeight="1">
      <x:c r="A27" s="2" t="n">
        <x:v>22</x:v>
      </x:c>
      <x:c r="B27" s="2" t="str">
        <x:v>TXN-00022</x:v>
      </x:c>
      <x:c r="C27" s="2" t="str">
        <x:v>2025-01-25</x:v>
      </x:c>
      <x:c r="D27" s="2" t="str">
        <x:v> lagos </x:v>
      </x:c>
      <x:c r="E27" s="2" t="str">
        <x:v>Beauty</x:v>
      </x:c>
      <x:c r="F27" s="2" t="str">
        <x:v>Body wash</x:v>
      </x:c>
      <x:c r="G27" s="2" t="str">
        <x:v>Online</x:v>
      </x:c>
      <x:c r="H27" s="2" t="n">
        <x:v>3</x:v>
      </x:c>
      <x:c r="I27" s="2" t="n">
        <x:v>4500</x:v>
      </x:c>
      <x:c r="J27" s="2" t="n">
        <x:v>2300</x:v>
      </x:c>
      <x:c r="K27" s="2" t="n">
        <x:v>0</x:v>
      </x:c>
      <x:c r="L27" s="2" t="str">
        <x:v>Completed</x:v>
      </x:c>
    </x:row>
    <x:row r="28" ht="21" customHeight="1">
      <x:c r="A28" s="2" t="n">
        <x:v>23</x:v>
      </x:c>
      <x:c r="B28" s="2" t="str">
        <x:v>TXN-00023</x:v>
      </x:c>
      <x:c r="C28" s="2" t="str">
        <x:v>2025-01-14</x:v>
      </x:c>
      <x:c r="D28" s="2" t="str">
        <x:v>Abuja</x:v>
      </x:c>
      <x:c r="E28" s="2" t="str">
        <x:v>Fashion</x:v>
      </x:c>
      <x:c r="F28" s="2" t="str">
        <x:v>Sneakers</x:v>
      </x:c>
      <x:c r="G28" s="2" t="str">
        <x:v> in-store </x:v>
      </x:c>
      <x:c r="H28" s="2" t="n">
        <x:v>2</x:v>
      </x:c>
      <x:c r="I28" s="2" t="n">
        <x:v>28000</x:v>
      </x:c>
      <x:c r="J28" s="2" t="n">
        <x:v>17500</x:v>
      </x:c>
      <x:c r="K28" s="2" t="n">
        <x:v>0</x:v>
      </x:c>
      <x:c r="L28" s="2" t="str">
        <x:v>Returned</x:v>
      </x:c>
    </x:row>
    <x:row r="29" ht="21" customHeight="1">
      <x:c r="A29" s="2" t="n">
        <x:v>24</x:v>
      </x:c>
      <x:c r="B29" s="2" t="str">
        <x:v>TXN-00024</x:v>
      </x:c>
      <x:c r="C29" s="2" t="str">
        <x:v>2025-01-30</x:v>
      </x:c>
      <x:c r="D29" s="2" t="str">
        <x:v>Port Harcourt</x:v>
      </x:c>
      <x:c r="E29" s="2" t="str">
        <x:v>Beauty</x:v>
      </x:c>
      <x:c r="F29" s="2" t="str">
        <x:v>Perfume</x:v>
      </x:c>
      <x:c r="G29" s="2" t="str">
        <x:v>Online</x:v>
      </x:c>
      <x:c r="H29" s="2" t="n">
        <x:v>1</x:v>
      </x:c>
      <x:c r="I29" s="2" t="n">
        <x:v>17000</x:v>
      </x:c>
      <x:c r="J29" s="2" t="n">
        <x:v>9000</x:v>
      </x:c>
      <x:c r="K29" s="2" t="n">
        <x:v>0</x:v>
      </x:c>
      <x:c r="L29" s="2" t="str">
        <x:v>Completed</x:v>
      </x:c>
    </x:row>
    <x:row r="30" ht="21" customHeight="1">
      <x:c r="A30" s="2" t="n">
        <x:v>25</x:v>
      </x:c>
      <x:c r="B30" s="2" t="str">
        <x:v>TXN-00025</x:v>
      </x:c>
      <x:c r="C30" s="2" t="str">
        <x:v>2025-01-14</x:v>
      </x:c>
      <x:c r="D30" s="2" t="str">
        <x:v>Lagos</x:v>
      </x:c>
      <x:c r="E30" s="2" t="str">
        <x:v>Fashion</x:v>
      </x:c>
      <x:c r="F30" s="2" t="str">
        <x:v>T-shirt</x:v>
      </x:c>
      <x:c r="G30" s="2" t="str">
        <x:v>Online</x:v>
      </x:c>
      <x:c r="H30" s="2" t="n">
        <x:v>2</x:v>
      </x:c>
      <x:c r="I30" s="2" t="n">
        <x:v>9000</x:v>
      </x:c>
      <x:c r="J30" s="2" t="n">
        <x:v>5000</x:v>
      </x:c>
      <x:c r="K30" s="2" t="n">
        <x:v>0</x:v>
      </x:c>
      <x:c r="L30" s="2" t="str">
        <x:v>Returned</x:v>
      </x:c>
    </x:row>
    <x:row r="31" ht="21" customHeight="1">
      <x:c r="A31" s="2" t="n">
        <x:v>26</x:v>
      </x:c>
      <x:c r="B31" s="2" t="str">
        <x:v>TXN-00026</x:v>
      </x:c>
      <x:c r="C31" s="2" t="str">
        <x:v>2025-01-29</x:v>
      </x:c>
      <x:c r="D31" s="2" t="str">
        <x:v>Lagos</x:v>
      </x:c>
      <x:c r="E31" s="2" t="str">
        <x:v>Electronics</x:v>
      </x:c>
      <x:c r="F31" s="2" t="str">
        <x:v>Power bank</x:v>
      </x:c>
      <x:c r="G31" s="2" t="str">
        <x:v>Online</x:v>
      </x:c>
      <x:c r="H31" s="2" t="n">
        <x:v>4</x:v>
      </x:c>
      <x:c r="I31" s="2" t="n">
        <x:v>15000</x:v>
      </x:c>
      <x:c r="J31" s="2" t="n">
        <x:v>9500</x:v>
      </x:c>
      <x:c r="K31" s="2" t="n">
        <x:v>0.1</x:v>
      </x:c>
      <x:c r="L31" s="2" t="str">
        <x:v>Completed</x:v>
      </x:c>
    </x:row>
    <x:row r="32" ht="21" customHeight="1">
      <x:c r="A32" s="2" t="n">
        <x:v>27</x:v>
      </x:c>
      <x:c r="B32" s="2" t="str">
        <x:v>TXN-00027</x:v>
      </x:c>
      <x:c r="C32" s="2" t="str">
        <x:v>2025-01-19</x:v>
      </x:c>
      <x:c r="D32" s="2" t="str">
        <x:v>Lagos</x:v>
      </x:c>
      <x:c r="E32" s="2" t="str">
        <x:v>Home</x:v>
      </x:c>
      <x:c r="F32" s="2" t="str">
        <x:v>Bedsheet</x:v>
      </x:c>
      <x:c r="G32" s="2" t="str">
        <x:v>In-store</x:v>
      </x:c>
      <x:c r="H32" s="2" t="n">
        <x:v>1</x:v>
      </x:c>
      <x:c r="I32" s="2" t="n">
        <x:v>14000</x:v>
      </x:c>
      <x:c r="J32" s="2" t="n">
        <x:v>8500</x:v>
      </x:c>
      <x:c r="K32" s="2" t="n">
        <x:v>0</x:v>
      </x:c>
      <x:c r="L32" s="2" t="str">
        <x:v>Completed</x:v>
      </x:c>
    </x:row>
    <x:row r="33" ht="21" customHeight="1">
      <x:c r="A33" s="2" t="n">
        <x:v>28</x:v>
      </x:c>
      <x:c r="B33" s="2" t="str">
        <x:v>TXN-00028</x:v>
      </x:c>
      <x:c r="C33" s="2" t="str">
        <x:v>2025-01-17</x:v>
      </x:c>
      <x:c r="D33" s="2" t="str">
        <x:v>Lagos</x:v>
      </x:c>
      <x:c r="E33" s="2" t="str">
        <x:v>Electronics</x:v>
      </x:c>
      <x:c r="F33" s="2" t="str">
        <x:v>Headphones</x:v>
      </x:c>
      <x:c r="G33" s="2" t="str">
        <x:v>In-store</x:v>
      </x:c>
      <x:c r="H33" s="2" t="n">
        <x:v>2</x:v>
      </x:c>
      <x:c r="I33" s="2" t="n">
        <x:v>18000</x:v>
      </x:c>
      <x:c r="J33" s="2" t="n">
        <x:v>10500</x:v>
      </x:c>
      <x:c r="K33" s="2" t="n">
        <x:v>0</x:v>
      </x:c>
      <x:c r="L33" s="2" t="str">
        <x:v> COMPLETED </x:v>
      </x:c>
    </x:row>
    <x:row r="34" ht="21" customHeight="1">
      <x:c r="A34" s="2" t="n">
        <x:v>29</x:v>
      </x:c>
      <x:c r="B34" s="2" t="str">
        <x:v>TXN-00029</x:v>
      </x:c>
      <x:c r="C34" s="2" t="str">
        <x:v>2025-01-03</x:v>
      </x:c>
      <x:c r="D34" s="2" t="str">
        <x:v> abuja </x:v>
      </x:c>
      <x:c r="E34" s="2" t="str">
        <x:v>Beauty</x:v>
      </x:c>
      <x:c r="F34" s="2" t="str">
        <x:v>Moisturizer</x:v>
      </x:c>
      <x:c r="G34" s="2" t="str">
        <x:v>In-store</x:v>
      </x:c>
      <x:c r="H34" s="2" t="n">
        <x:v>1</x:v>
      </x:c>
      <x:c r="I34" s="2" t="n">
        <x:v>6500</x:v>
      </x:c>
      <x:c r="J34" s="2" t="n">
        <x:v>3500</x:v>
      </x:c>
      <x:c r="K34" s="2" t="n">
        <x:v>0.05</x:v>
      </x:c>
      <x:c r="L34" s="2" t="str">
        <x:v>Completed</x:v>
      </x:c>
    </x:row>
    <x:row r="35" ht="21" customHeight="1">
      <x:c r="A35" s="2" t="n">
        <x:v>30</x:v>
      </x:c>
      <x:c r="B35" s="2" t="str">
        <x:v>TXN-00030</x:v>
      </x:c>
      <x:c r="C35" s="2" t="str">
        <x:v>2025-01-23</x:v>
      </x:c>
      <x:c r="D35" s="2" t="str">
        <x:v>Abuja</x:v>
      </x:c>
      <x:c r="E35" s="2" t="str">
        <x:v>Fashion</x:v>
      </x:c>
      <x:c r="F35" s="2" t="str">
        <x:v>Sneakers</x:v>
      </x:c>
      <x:c r="G35" s="2" t="str">
        <x:v>Online</x:v>
      </x:c>
      <x:c r="H35" s="2" t="n">
        <x:v>1</x:v>
      </x:c>
      <x:c r="I35" s="2" t="n">
        <x:v>28000</x:v>
      </x:c>
      <x:c r="J35" s="2" t="n">
        <x:v>17500</x:v>
      </x:c>
      <x:c r="K35" s="2" t="n">
        <x:v>0</x:v>
      </x:c>
      <x:c r="L35" s="2" t="str">
        <x:v>Completed</x:v>
      </x:c>
    </x:row>
    <x:row r="36" ht="21" customHeight="1">
      <x:c r="A36" s="2" t="n">
        <x:v>31</x:v>
      </x:c>
      <x:c r="B36" s="2" t="str">
        <x:v>TXN-00031</x:v>
      </x:c>
      <x:c r="C36" s="2" t="str">
        <x:v>2025-01-26</x:v>
      </x:c>
      <x:c r="D36" s="2" t="str">
        <x:v>Port Harcourt</x:v>
      </x:c>
      <x:c r="E36" s="2" t="str">
        <x:v>Beauty</x:v>
      </x:c>
      <x:c r="F36" s="2" t="str">
        <x:v>Moisturizer</x:v>
      </x:c>
      <x:c r="G36" s="2" t="str">
        <x:v>Online</x:v>
      </x:c>
      <x:c r="H36" s="2" t="n">
        <x:v>1</x:v>
      </x:c>
      <x:c r="I36" s="2" t="n">
        <x:v>6500</x:v>
      </x:c>
      <x:c r="J36" s="2" t="n">
        <x:v>3500</x:v>
      </x:c>
      <x:c r="K36" s="2" t="n">
        <x:v>0</x:v>
      </x:c>
      <x:c r="L36" s="2" t="str">
        <x:v>Completed</x:v>
      </x:c>
    </x:row>
    <x:row r="37" ht="21" customHeight="1">
      <x:c r="A37" s="2" t="n">
        <x:v>32</x:v>
      </x:c>
      <x:c r="B37" s="2" t="str">
        <x:v>TXN-00032</x:v>
      </x:c>
      <x:c r="C37" s="2" t="str">
        <x:v>2025-01-10</x:v>
      </x:c>
      <x:c r="D37" s="2" t="str">
        <x:v>Lagos</x:v>
      </x:c>
      <x:c r="E37" s="2" t="str">
        <x:v>Electronics</x:v>
      </x:c>
      <x:c r="F37" s="2" t="str">
        <x:v>Power bank</x:v>
      </x:c>
      <x:c r="G37" s="2" t="str">
        <x:v>Online</x:v>
      </x:c>
      <x:c r="H37" s="2" t="n">
        <x:v>1</x:v>
      </x:c>
      <x:c r="I37" s="2" t="n">
        <x:v>15000</x:v>
      </x:c>
      <x:c r="J37" s="2" t="n">
        <x:v>9500</x:v>
      </x:c>
      <x:c r="K37" s="2" t="n">
        <x:v>0</x:v>
      </x:c>
      <x:c r="L37" s="2" t="str">
        <x:v>Completed</x:v>
      </x:c>
    </x:row>
    <x:row r="38" ht="21" customHeight="1">
      <x:c r="A38" s="2" t="n">
        <x:v>33</x:v>
      </x:c>
      <x:c r="B38" s="2" t="str">
        <x:v>TXN-00033</x:v>
      </x:c>
      <x:c r="C38" s="2" t="str">
        <x:v>2025-01-27</x:v>
      </x:c>
      <x:c r="D38" s="2" t="str">
        <x:v>Port Harcourt</x:v>
      </x:c>
      <x:c r="E38" s="2" t="str">
        <x:v>Fashion</x:v>
      </x:c>
      <x:c r="F38" s="2" t="str">
        <x:v>Handbag</x:v>
      </x:c>
      <x:c r="G38" s="2" t="str">
        <x:v>Online</x:v>
      </x:c>
      <x:c r="H38" s="2" t="n">
        <x:v>2</x:v>
      </x:c>
      <x:c r="I38" s="2" t="n">
        <x:v>22000</x:v>
      </x:c>
      <x:c r="J38" s="2" t="n">
        <x:v>13500</x:v>
      </x:c>
      <x:c r="K38" s="2" t="n">
        <x:v>0.1</x:v>
      </x:c>
      <x:c r="L38" s="2" t="str">
        <x:v>Returned</x:v>
      </x:c>
    </x:row>
    <x:row r="39" ht="21" customHeight="1">
      <x:c r="A39" s="2" t="n">
        <x:v>34</x:v>
      </x:c>
      <x:c r="B39" s="2" t="str">
        <x:v>TXN-00034</x:v>
      </x:c>
      <x:c r="C39" s="2" t="str">
        <x:v>2025-01-01</x:v>
      </x:c>
      <x:c r="D39" s="2" t="str">
        <x:v>Abuja</x:v>
      </x:c>
      <x:c r="E39" s="2" t="str">
        <x:v>Electronics</x:v>
      </x:c>
      <x:c r="F39" s="2" t="str">
        <x:v>Power bank</x:v>
      </x:c>
      <x:c r="G39" s="2" t="str">
        <x:v> online </x:v>
      </x:c>
      <x:c r="H39" s="2" t="n">
        <x:v>3</x:v>
      </x:c>
      <x:c r="I39" s="2" t="n">
        <x:v>15000</x:v>
      </x:c>
      <x:c r="J39" s="2" t="n">
        <x:v>9500</x:v>
      </x:c>
      <x:c r="K39" s="2" t="str"/>
      <x:c r="L39" s="2" t="str">
        <x:v>Completed</x:v>
      </x:c>
    </x:row>
    <x:row r="40" ht="21" customHeight="1">
      <x:c r="A40" s="2" t="n">
        <x:v>35</x:v>
      </x:c>
      <x:c r="B40" s="2" t="str">
        <x:v>TXN-00035</x:v>
      </x:c>
      <x:c r="C40" s="2" t="str">
        <x:v>2025-01-14</x:v>
      </x:c>
      <x:c r="D40" s="2" t="str">
        <x:v>Lagos</x:v>
      </x:c>
      <x:c r="E40" s="2" t="str">
        <x:v>Home</x:v>
      </x:c>
      <x:c r="F40" s="2" t="str">
        <x:v>Desk lamp</x:v>
      </x:c>
      <x:c r="G40" s="2" t="str">
        <x:v>Online</x:v>
      </x:c>
      <x:c r="H40" s="2" t="n">
        <x:v>1</x:v>
      </x:c>
      <x:c r="I40" s="2" t="n">
        <x:v>12000</x:v>
      </x:c>
      <x:c r="J40" s="2" t="n">
        <x:v>7200</x:v>
      </x:c>
      <x:c r="K40" s="2" t="n">
        <x:v>0.05</x:v>
      </x:c>
      <x:c r="L40" s="2" t="str">
        <x:v>Completed</x:v>
      </x:c>
    </x:row>
    <x:row r="41" ht="21" customHeight="1">
      <x:c r="A41" s="2" t="n">
        <x:v>36</x:v>
      </x:c>
      <x:c r="B41" s="2" t="str">
        <x:v>TXN-00036</x:v>
      </x:c>
      <x:c r="C41" s="2" t="str">
        <x:v>2025-01-08</x:v>
      </x:c>
      <x:c r="D41" s="2" t="str">
        <x:v> abuja </x:v>
      </x:c>
      <x:c r="E41" s="2" t="str">
        <x:v>Electronics</x:v>
      </x:c>
      <x:c r="F41" s="2" t="str">
        <x:v>Bluetooth speaker</x:v>
      </x:c>
      <x:c r="G41" s="2" t="str">
        <x:v>In-store</x:v>
      </x:c>
      <x:c r="H41" s="2" t="n">
        <x:v>1</x:v>
      </x:c>
      <x:c r="I41" s="2" t="n">
        <x:v>26000</x:v>
      </x:c>
      <x:c r="J41" s="2" t="n">
        <x:v>17000</x:v>
      </x:c>
      <x:c r="K41" s="2" t="n">
        <x:v>0</x:v>
      </x:c>
      <x:c r="L41" s="2" t="str">
        <x:v>Completed</x:v>
      </x:c>
    </x:row>
    <x:row r="42" ht="21" customHeight="1">
      <x:c r="A42" s="2" t="n">
        <x:v>37</x:v>
      </x:c>
      <x:c r="B42" s="2" t="str">
        <x:v>TXN-00037</x:v>
      </x:c>
      <x:c r="C42" s="2" t="str">
        <x:v>2025-01-09</x:v>
      </x:c>
      <x:c r="D42" s="2" t="str">
        <x:v>Kano</x:v>
      </x:c>
      <x:c r="E42" s="2" t="str">
        <x:v>Home</x:v>
      </x:c>
      <x:c r="F42" s="2" t="str">
        <x:v>Bedsheet</x:v>
      </x:c>
      <x:c r="G42" s="2" t="str">
        <x:v>Online</x:v>
      </x:c>
      <x:c r="H42" s="2" t="n">
        <x:v>1</x:v>
      </x:c>
      <x:c r="I42" s="2" t="n">
        <x:v>14000</x:v>
      </x:c>
      <x:c r="J42" s="2" t="n">
        <x:v>8500</x:v>
      </x:c>
      <x:c r="K42" s="2" t="n">
        <x:v>0.05</x:v>
      </x:c>
      <x:c r="L42" s="2" t="str">
        <x:v> COMPLETED </x:v>
      </x:c>
    </x:row>
    <x:row r="43" ht="21" customHeight="1">
      <x:c r="A43" s="2" t="n">
        <x:v>38</x:v>
      </x:c>
      <x:c r="B43" s="2" t="str">
        <x:v>TXN-00038</x:v>
      </x:c>
      <x:c r="C43" s="2" t="str">
        <x:v>2025-01-19</x:v>
      </x:c>
      <x:c r="D43" s="2" t="str">
        <x:v>Port Harcourt</x:v>
      </x:c>
      <x:c r="E43" s="2" t="str">
        <x:v>Electronics</x:v>
      </x:c>
      <x:c r="F43" s="2" t="str">
        <x:v>Bluetooth speaker</x:v>
      </x:c>
      <x:c r="G43" s="2" t="str">
        <x:v>Online</x:v>
      </x:c>
      <x:c r="H43" s="2" t="n">
        <x:v>1</x:v>
      </x:c>
      <x:c r="I43" s="2" t="n">
        <x:v>26000</x:v>
      </x:c>
      <x:c r="J43" s="2" t="n">
        <x:v>17000</x:v>
      </x:c>
      <x:c r="K43" s="2" t="n">
        <x:v>0.05</x:v>
      </x:c>
      <x:c r="L43" s="2" t="str">
        <x:v>Completed</x:v>
      </x:c>
    </x:row>
    <x:row r="44" ht="21" customHeight="1">
      <x:c r="A44" s="2" t="n">
        <x:v>39</x:v>
      </x:c>
      <x:c r="B44" s="2" t="str">
        <x:v>TXN-00039</x:v>
      </x:c>
      <x:c r="C44" s="2" t="str">
        <x:v>2025-01-09</x:v>
      </x:c>
      <x:c r="D44" s="2" t="str">
        <x:v>Port Harcourt</x:v>
      </x:c>
      <x:c r="E44" s="2" t="str">
        <x:v>Beauty</x:v>
      </x:c>
      <x:c r="F44" s="2" t="str">
        <x:v>Perfume</x:v>
      </x:c>
      <x:c r="G44" s="2" t="str">
        <x:v>In-store</x:v>
      </x:c>
      <x:c r="H44" s="2" t="n">
        <x:v>1</x:v>
      </x:c>
      <x:c r="I44" s="2" t="n">
        <x:v>17000</x:v>
      </x:c>
      <x:c r="J44" s="2" t="n">
        <x:v>9000</x:v>
      </x:c>
      <x:c r="K44" s="2" t="n">
        <x:v>0</x:v>
      </x:c>
      <x:c r="L44" s="2" t="str">
        <x:v>Completed</x:v>
      </x:c>
    </x:row>
    <x:row r="45" ht="21" customHeight="1">
      <x:c r="A45" s="2" t="n">
        <x:v>40</x:v>
      </x:c>
      <x:c r="B45" s="2" t="str">
        <x:v>TXN-00040</x:v>
      </x:c>
      <x:c r="C45" s="2" t="str">
        <x:v>2025-01-20</x:v>
      </x:c>
      <x:c r="D45" s="2" t="str">
        <x:v>Lagos</x:v>
      </x:c>
      <x:c r="E45" s="2" t="str">
        <x:v>Home</x:v>
      </x:c>
      <x:c r="F45" s="2" t="str">
        <x:v>Cookware set</x:v>
      </x:c>
      <x:c r="G45" s="2" t="str">
        <x:v>In-store</x:v>
      </x:c>
      <x:c r="H45" s="2" t="n">
        <x:v>3</x:v>
      </x:c>
      <x:c r="I45" s="2" t="n">
        <x:v>35000</x:v>
      </x:c>
      <x:c r="J45" s="2" t="n">
        <x:v>22500</x:v>
      </x:c>
      <x:c r="K45" s="2" t="n">
        <x:v>0</x:v>
      </x:c>
      <x:c r="L45" s="2" t="str">
        <x:v>Completed</x:v>
      </x:c>
    </x:row>
    <x:row r="46" ht="21" customHeight="1">
      <x:c r="A46" s="2" t="n">
        <x:v>41</x:v>
      </x:c>
      <x:c r="B46" s="2" t="str">
        <x:v>TXN-00041</x:v>
      </x:c>
      <x:c r="C46" s="2" t="str">
        <x:v>2025-01-28</x:v>
      </x:c>
      <x:c r="D46" s="2" t="str">
        <x:v>Port Harcourt</x:v>
      </x:c>
      <x:c r="E46" s="2" t="str">
        <x:v>Fashion</x:v>
      </x:c>
      <x:c r="F46" s="2" t="str">
        <x:v>Sneakers</x:v>
      </x:c>
      <x:c r="G46" s="2" t="str">
        <x:v>Online</x:v>
      </x:c>
      <x:c r="H46" s="2" t="n">
        <x:v>1</x:v>
      </x:c>
      <x:c r="I46" s="2" t="n">
        <x:v>28000</x:v>
      </x:c>
      <x:c r="J46" s="2" t="n">
        <x:v>17500</x:v>
      </x:c>
      <x:c r="K46" s="2" t="n">
        <x:v>0</x:v>
      </x:c>
      <x:c r="L46" s="2" t="str">
        <x:v>Completed</x:v>
      </x:c>
    </x:row>
    <x:row r="47" ht="21" customHeight="1">
      <x:c r="A47" s="2" t="n">
        <x:v>42</x:v>
      </x:c>
      <x:c r="B47" s="2" t="str">
        <x:v>TXN-00042</x:v>
      </x:c>
      <x:c r="C47" s="2" t="str">
        <x:v>2025-01-12</x:v>
      </x:c>
      <x:c r="D47" s="2" t="str">
        <x:v>Lagos</x:v>
      </x:c>
      <x:c r="E47" s="2" t="str">
        <x:v>Home</x:v>
      </x:c>
      <x:c r="F47" s="2" t="str">
        <x:v>Cookware set</x:v>
      </x:c>
      <x:c r="G47" s="2" t="str">
        <x:v>In-store</x:v>
      </x:c>
      <x:c r="H47" s="2" t="n">
        <x:v>1</x:v>
      </x:c>
      <x:c r="I47" s="2" t="n">
        <x:v>35000</x:v>
      </x:c>
      <x:c r="J47" s="2" t="n">
        <x:v>22500</x:v>
      </x:c>
      <x:c r="K47" s="2" t="n">
        <x:v>0.05</x:v>
      </x:c>
      <x:c r="L47" s="2" t="str">
        <x:v>Completed</x:v>
      </x:c>
    </x:row>
    <x:row r="48" ht="21" customHeight="1">
      <x:c r="A48" s="2" t="n">
        <x:v>43</x:v>
      </x:c>
      <x:c r="B48" s="2" t="str">
        <x:v>TXN-00043</x:v>
      </x:c>
      <x:c r="C48" s="2" t="str">
        <x:v>2025-01-13</x:v>
      </x:c>
      <x:c r="D48" s="2" t="str">
        <x:v> kano </x:v>
      </x:c>
      <x:c r="E48" s="2" t="str">
        <x:v>Beauty</x:v>
      </x:c>
      <x:c r="F48" s="2" t="str">
        <x:v>Moisturizer</x:v>
      </x:c>
      <x:c r="G48" s="2" t="str">
        <x:v>In-store</x:v>
      </x:c>
      <x:c r="H48" s="2" t="n">
        <x:v>1</x:v>
      </x:c>
      <x:c r="I48" s="2" t="n">
        <x:v>6500</x:v>
      </x:c>
      <x:c r="J48" s="2" t="n">
        <x:v>3500</x:v>
      </x:c>
      <x:c r="K48" s="2" t="n">
        <x:v>0.1</x:v>
      </x:c>
      <x:c r="L48" s="2" t="str">
        <x:v>Completed</x:v>
      </x:c>
    </x:row>
    <x:row r="49" ht="21" customHeight="1">
      <x:c r="A49" s="2" t="n">
        <x:v>44</x:v>
      </x:c>
      <x:c r="B49" s="2" t="str">
        <x:v>TXN-00044</x:v>
      </x:c>
      <x:c r="C49" s="2" t="str">
        <x:v>2025-01-22</x:v>
      </x:c>
      <x:c r="D49" s="2" t="str">
        <x:v>Lagos</x:v>
      </x:c>
      <x:c r="E49" s="2" t="str">
        <x:v>Home</x:v>
      </x:c>
      <x:c r="F49" s="2" t="str">
        <x:v>Bedsheet</x:v>
      </x:c>
      <x:c r="G49" s="2" t="str">
        <x:v>In-store</x:v>
      </x:c>
      <x:c r="H49" s="2" t="n">
        <x:v>1</x:v>
      </x:c>
      <x:c r="I49" s="2" t="n">
        <x:v>14000</x:v>
      </x:c>
      <x:c r="J49" s="2" t="n">
        <x:v>8500</x:v>
      </x:c>
      <x:c r="K49" s="2" t="n">
        <x:v>0.05</x:v>
      </x:c>
      <x:c r="L49" s="2" t="str">
        <x:v>Completed</x:v>
      </x:c>
    </x:row>
    <x:row r="50" ht="21" customHeight="1">
      <x:c r="A50" s="2" t="n">
        <x:v>45</x:v>
      </x:c>
      <x:c r="B50" s="2" t="str">
        <x:v>TXN-00045</x:v>
      </x:c>
      <x:c r="C50" s="2" t="str">
        <x:v>2025-01-20</x:v>
      </x:c>
      <x:c r="D50" s="2" t="str">
        <x:v>Kano</x:v>
      </x:c>
      <x:c r="E50" s="2" t="str">
        <x:v>Electronics</x:v>
      </x:c>
      <x:c r="F50" s="2" t="str">
        <x:v>Bluetooth speaker</x:v>
      </x:c>
      <x:c r="G50" s="2" t="str">
        <x:v> in-store </x:v>
      </x:c>
      <x:c r="H50" s="2" t="n">
        <x:v>1</x:v>
      </x:c>
      <x:c r="I50" s="2" t="n">
        <x:v>26000</x:v>
      </x:c>
      <x:c r="J50" s="2" t="n">
        <x:v>17000</x:v>
      </x:c>
      <x:c r="K50" s="2" t="n">
        <x:v>0.1</x:v>
      </x:c>
      <x:c r="L50" s="2" t="str">
        <x:v>Completed</x:v>
      </x:c>
    </x:row>
    <x:row r="51" ht="21" customHeight="1">
      <x:c r="A51" s="2" t="n">
        <x:v>46</x:v>
      </x:c>
      <x:c r="B51" s="2" t="str">
        <x:v>TXN-00046</x:v>
      </x:c>
      <x:c r="C51" s="2" t="str">
        <x:v>2025-01-04</x:v>
      </x:c>
      <x:c r="D51" s="2" t="str">
        <x:v>Kano</x:v>
      </x:c>
      <x:c r="E51" s="2" t="str">
        <x:v>Fashion</x:v>
      </x:c>
      <x:c r="F51" s="2" t="str">
        <x:v>Sneakers</x:v>
      </x:c>
      <x:c r="G51" s="2" t="str">
        <x:v>Online</x:v>
      </x:c>
      <x:c r="H51" s="2" t="n">
        <x:v>3</x:v>
      </x:c>
      <x:c r="I51" s="2" t="n">
        <x:v>28000</x:v>
      </x:c>
      <x:c r="J51" s="2" t="n">
        <x:v>17500</x:v>
      </x:c>
      <x:c r="K51" s="2" t="n">
        <x:v>0</x:v>
      </x:c>
      <x:c r="L51" s="2" t="str">
        <x:v> COMPLETED </x:v>
      </x:c>
    </x:row>
    <x:row r="52" ht="21" customHeight="1">
      <x:c r="A52" s="2" t="n">
        <x:v>47</x:v>
      </x:c>
      <x:c r="B52" s="2" t="str">
        <x:v>TXN-00047</x:v>
      </x:c>
      <x:c r="C52" s="2" t="str">
        <x:v>2025-01-05</x:v>
      </x:c>
      <x:c r="D52" s="2" t="str">
        <x:v>Lagos</x:v>
      </x:c>
      <x:c r="E52" s="2" t="str">
        <x:v>Fashion</x:v>
      </x:c>
      <x:c r="F52" s="2" t="str">
        <x:v>T-shirt</x:v>
      </x:c>
      <x:c r="G52" s="2" t="str">
        <x:v>Online</x:v>
      </x:c>
      <x:c r="H52" s="2" t="n">
        <x:v>2</x:v>
      </x:c>
      <x:c r="I52" s="2" t="n">
        <x:v>9000</x:v>
      </x:c>
      <x:c r="J52" s="2" t="n">
        <x:v>5000</x:v>
      </x:c>
      <x:c r="K52" s="2" t="n">
        <x:v>0.05</x:v>
      </x:c>
      <x:c r="L52" s="2" t="str">
        <x:v>Completed</x:v>
      </x:c>
    </x:row>
    <x:row r="53" ht="21" customHeight="1">
      <x:c r="A53" s="2" t="n">
        <x:v>48</x:v>
      </x:c>
      <x:c r="B53" s="2" t="str">
        <x:v>TXN-00048</x:v>
      </x:c>
      <x:c r="C53" s="2" t="str">
        <x:v>2025-01-22</x:v>
      </x:c>
      <x:c r="D53" s="2" t="str">
        <x:v>Kano</x:v>
      </x:c>
      <x:c r="E53" s="2" t="str">
        <x:v>Electronics</x:v>
      </x:c>
      <x:c r="F53" s="2" t="str">
        <x:v>Headphones</x:v>
      </x:c>
      <x:c r="G53" s="2" t="str">
        <x:v>Online</x:v>
      </x:c>
      <x:c r="H53" s="2" t="n">
        <x:v>1</x:v>
      </x:c>
      <x:c r="I53" s="2" t="n">
        <x:v>18000</x:v>
      </x:c>
      <x:c r="J53" s="2" t="n">
        <x:v>10500</x:v>
      </x:c>
      <x:c r="K53" s="2" t="n">
        <x:v>0</x:v>
      </x:c>
      <x:c r="L53" s="2" t="str">
        <x:v>Completed</x:v>
      </x:c>
    </x:row>
    <x:row r="54" ht="21" customHeight="1">
      <x:c r="A54" s="2" t="n">
        <x:v>49</x:v>
      </x:c>
      <x:c r="B54" s="2" t="str">
        <x:v>TXN-00049</x:v>
      </x:c>
      <x:c r="C54" s="2" t="str">
        <x:v>2025-01-22</x:v>
      </x:c>
      <x:c r="D54" s="2" t="str">
        <x:v>Lagos</x:v>
      </x:c>
      <x:c r="E54" s="2" t="str">
        <x:v>Fashion</x:v>
      </x:c>
      <x:c r="F54" s="2" t="str">
        <x:v>Handbag</x:v>
      </x:c>
      <x:c r="G54" s="2" t="str">
        <x:v>In-store</x:v>
      </x:c>
      <x:c r="H54" s="2" t="n">
        <x:v>2</x:v>
      </x:c>
      <x:c r="I54" s="2" t="n">
        <x:v>22000</x:v>
      </x:c>
      <x:c r="J54" s="2" t="n">
        <x:v>13500</x:v>
      </x:c>
      <x:c r="K54" s="2" t="n">
        <x:v>0.05</x:v>
      </x:c>
      <x:c r="L54" s="2" t="str">
        <x:v>Completed</x:v>
      </x:c>
    </x:row>
    <x:row r="55" ht="21" customHeight="1">
      <x:c r="A55" s="2" t="n">
        <x:v>50</x:v>
      </x:c>
      <x:c r="B55" s="2" t="str">
        <x:v>TXN-00050</x:v>
      </x:c>
      <x:c r="C55" s="2" t="str">
        <x:v>2025-01-09</x:v>
      </x:c>
      <x:c r="D55" s="2" t="str">
        <x:v> kano </x:v>
      </x:c>
      <x:c r="E55" s="2" t="str">
        <x:v>Fashion</x:v>
      </x:c>
      <x:c r="F55" s="2" t="str">
        <x:v>T-shirt</x:v>
      </x:c>
      <x:c r="G55" s="2" t="str">
        <x:v>Online</x:v>
      </x:c>
      <x:c r="H55" s="2" t="n">
        <x:v>3</x:v>
      </x:c>
      <x:c r="I55" s="2" t="n">
        <x:v>9000</x:v>
      </x:c>
      <x:c r="J55" s="2" t="n">
        <x:v>5000</x:v>
      </x:c>
      <x:c r="K55" s="2" t="n">
        <x:v>0</x:v>
      </x:c>
      <x:c r="L55" s="2" t="str">
        <x:v>Completed</x:v>
      </x:c>
    </x:row>
    <x:row r="56" ht="21" customHeight="1">
      <x:c r="A56" s="2" t="n">
        <x:v>51</x:v>
      </x:c>
      <x:c r="B56" s="2" t="str">
        <x:v>TXN-00051</x:v>
      </x:c>
      <x:c r="C56" s="2" t="str">
        <x:v>2025-01-21</x:v>
      </x:c>
      <x:c r="D56" s="2" t="str">
        <x:v>Lagos</x:v>
      </x:c>
      <x:c r="E56" s="2" t="str">
        <x:v>Fashion</x:v>
      </x:c>
      <x:c r="F56" s="2" t="str">
        <x:v>Handbag</x:v>
      </x:c>
      <x:c r="G56" s="2" t="str">
        <x:v>In-store</x:v>
      </x:c>
      <x:c r="H56" s="2" t="n">
        <x:v>1</x:v>
      </x:c>
      <x:c r="I56" s="2" t="n">
        <x:v>22000</x:v>
      </x:c>
      <x:c r="J56" s="2" t="n">
        <x:v>13500</x:v>
      </x:c>
      <x:c r="K56" s="2" t="n">
        <x:v>0</x:v>
      </x:c>
      <x:c r="L56" s="2" t="str">
        <x:v>Returned</x:v>
      </x:c>
    </x:row>
    <x:row r="57" ht="21" customHeight="1">
      <x:c r="A57" s="2" t="n">
        <x:v>52</x:v>
      </x:c>
      <x:c r="B57" s="2" t="str">
        <x:v>TXN-00052</x:v>
      </x:c>
      <x:c r="C57" s="2" t="str">
        <x:v>2025-01-29</x:v>
      </x:c>
      <x:c r="D57" s="2" t="str">
        <x:v>Abuja</x:v>
      </x:c>
      <x:c r="E57" s="2" t="str">
        <x:v>Fashion</x:v>
      </x:c>
      <x:c r="F57" s="2" t="str">
        <x:v>Sneakers</x:v>
      </x:c>
      <x:c r="G57" s="2" t="str">
        <x:v>Online</x:v>
      </x:c>
      <x:c r="H57" s="2" t="n">
        <x:v>2</x:v>
      </x:c>
      <x:c r="I57" s="2" t="n">
        <x:v>28000</x:v>
      </x:c>
      <x:c r="J57" s="2" t="n">
        <x:v>17500</x:v>
      </x:c>
      <x:c r="K57" s="2" t="n">
        <x:v>0</x:v>
      </x:c>
      <x:c r="L57" s="2" t="str">
        <x:v>Returned</x:v>
      </x:c>
    </x:row>
    <x:row r="58" ht="21" customHeight="1">
      <x:c r="A58" s="2" t="n">
        <x:v>53</x:v>
      </x:c>
      <x:c r="B58" s="2" t="str">
        <x:v>TXN-00053</x:v>
      </x:c>
      <x:c r="C58" s="2" t="str">
        <x:v>2025-01-22</x:v>
      </x:c>
      <x:c r="D58" s="2" t="str">
        <x:v>Lagos</x:v>
      </x:c>
      <x:c r="E58" s="2" t="str">
        <x:v>Electronics</x:v>
      </x:c>
      <x:c r="F58" s="2" t="str">
        <x:v>Bluetooth speaker</x:v>
      </x:c>
      <x:c r="G58" s="2" t="str">
        <x:v>Online</x:v>
      </x:c>
      <x:c r="H58" s="2" t="n">
        <x:v>1</x:v>
      </x:c>
      <x:c r="I58" s="2" t="n">
        <x:v>26000</x:v>
      </x:c>
      <x:c r="J58" s="2" t="n">
        <x:v>17000</x:v>
      </x:c>
      <x:c r="K58" s="2" t="n">
        <x:v>0.05</x:v>
      </x:c>
      <x:c r="L58" s="2" t="str">
        <x:v>Completed</x:v>
      </x:c>
    </x:row>
    <x:row r="59" ht="21" customHeight="1">
      <x:c r="A59" s="2" t="n">
        <x:v>54</x:v>
      </x:c>
      <x:c r="B59" s="2" t="str">
        <x:v>TXN-00054</x:v>
      </x:c>
      <x:c r="C59" s="2" t="str">
        <x:v>2025-01-23</x:v>
      </x:c>
      <x:c r="D59" s="2" t="str">
        <x:v>Lagos</x:v>
      </x:c>
      <x:c r="E59" s="2" t="str">
        <x:v>Electronics</x:v>
      </x:c>
      <x:c r="F59" s="2" t="str">
        <x:v>Headphones</x:v>
      </x:c>
      <x:c r="G59" s="2" t="str">
        <x:v>In-store</x:v>
      </x:c>
      <x:c r="H59" s="2" t="n">
        <x:v>3</x:v>
      </x:c>
      <x:c r="I59" s="2" t="n">
        <x:v>18000</x:v>
      </x:c>
      <x:c r="J59" s="2" t="n">
        <x:v>10500</x:v>
      </x:c>
      <x:c r="K59" s="2" t="n">
        <x:v>0</x:v>
      </x:c>
      <x:c r="L59" s="2" t="str">
        <x:v>Completed</x:v>
      </x:c>
    </x:row>
    <x:row r="60" ht="21" customHeight="1">
      <x:c r="A60" s="2" t="n">
        <x:v>55</x:v>
      </x:c>
      <x:c r="B60" s="2" t="str">
        <x:v>TXN-00055</x:v>
      </x:c>
      <x:c r="C60" s="2" t="str">
        <x:v>2025-01-05</x:v>
      </x:c>
      <x:c r="D60" s="2" t="str">
        <x:v>Kano</x:v>
      </x:c>
      <x:c r="E60" s="2" t="str">
        <x:v>Electronics</x:v>
      </x:c>
      <x:c r="F60" s="2" t="str">
        <x:v>Power bank</x:v>
      </x:c>
      <x:c r="G60" s="2" t="str">
        <x:v>In-store</x:v>
      </x:c>
      <x:c r="H60" s="2" t="n">
        <x:v>1</x:v>
      </x:c>
      <x:c r="I60" s="2" t="n">
        <x:v>15000</x:v>
      </x:c>
      <x:c r="J60" s="2" t="n">
        <x:v>9500</x:v>
      </x:c>
      <x:c r="K60" s="2" t="n">
        <x:v>0.05</x:v>
      </x:c>
      <x:c r="L60" s="2" t="str">
        <x:v> COMPLETED </x:v>
      </x:c>
    </x:row>
    <x:row r="61" ht="21" customHeight="1">
      <x:c r="A61" s="2" t="n">
        <x:v>56</x:v>
      </x:c>
      <x:c r="B61" s="2" t="str">
        <x:v>TXN-00056</x:v>
      </x:c>
      <x:c r="C61" s="2" t="str">
        <x:v>2025-01-22</x:v>
      </x:c>
      <x:c r="D61" s="2" t="str">
        <x:v>Kano</x:v>
      </x:c>
      <x:c r="E61" s="2" t="str">
        <x:v>Beauty</x:v>
      </x:c>
      <x:c r="F61" s="2" t="str">
        <x:v>Perfume</x:v>
      </x:c>
      <x:c r="G61" s="2" t="str">
        <x:v> in-store </x:v>
      </x:c>
      <x:c r="H61" s="2" t="n">
        <x:v>1</x:v>
      </x:c>
      <x:c r="I61" s="2" t="n">
        <x:v>17000</x:v>
      </x:c>
      <x:c r="J61" s="2" t="n">
        <x:v>9000</x:v>
      </x:c>
      <x:c r="K61" s="2" t="n">
        <x:v>0.1</x:v>
      </x:c>
      <x:c r="L61" s="2" t="str">
        <x:v>Completed</x:v>
      </x:c>
    </x:row>
    <x:row r="62" ht="21" customHeight="1">
      <x:c r="A62" s="2" t="n">
        <x:v>57</x:v>
      </x:c>
      <x:c r="B62" s="2" t="str">
        <x:v>TXN-00057</x:v>
      </x:c>
      <x:c r="C62" s="2" t="str">
        <x:v>2025-01-20</x:v>
      </x:c>
      <x:c r="D62" s="2" t="str">
        <x:v> abuja </x:v>
      </x:c>
      <x:c r="E62" s="2" t="str">
        <x:v>Fashion</x:v>
      </x:c>
      <x:c r="F62" s="2" t="str">
        <x:v>Handbag</x:v>
      </x:c>
      <x:c r="G62" s="2" t="str">
        <x:v>Online</x:v>
      </x:c>
      <x:c r="H62" s="2" t="n">
        <x:v>3</x:v>
      </x:c>
      <x:c r="I62" s="2" t="n">
        <x:v>22000</x:v>
      </x:c>
      <x:c r="J62" s="2" t="n">
        <x:v>13500</x:v>
      </x:c>
      <x:c r="K62" s="2" t="n">
        <x:v>0</x:v>
      </x:c>
      <x:c r="L62" s="2" t="str">
        <x:v>Returned</x:v>
      </x:c>
    </x:row>
    <x:row r="63" ht="21" customHeight="1">
      <x:c r="A63" s="2" t="n">
        <x:v>58</x:v>
      </x:c>
      <x:c r="B63" s="2" t="str">
        <x:v>TXN-00058</x:v>
      </x:c>
      <x:c r="C63" s="2" t="str">
        <x:v>2025-01-26</x:v>
      </x:c>
      <x:c r="D63" s="2" t="str">
        <x:v>Port Harcourt</x:v>
      </x:c>
      <x:c r="E63" s="2" t="str">
        <x:v>Fashion</x:v>
      </x:c>
      <x:c r="F63" s="2" t="str">
        <x:v>T-shirt</x:v>
      </x:c>
      <x:c r="G63" s="2" t="str">
        <x:v>In-store</x:v>
      </x:c>
      <x:c r="H63" s="2" t="n">
        <x:v>4</x:v>
      </x:c>
      <x:c r="I63" s="2" t="n">
        <x:v>9000</x:v>
      </x:c>
      <x:c r="J63" s="2" t="n">
        <x:v>5000</x:v>
      </x:c>
      <x:c r="K63" s="2" t="n">
        <x:v>0.05</x:v>
      </x:c>
      <x:c r="L63" s="2" t="str">
        <x:v>Completed</x:v>
      </x:c>
    </x:row>
    <x:row r="64" ht="21" customHeight="1">
      <x:c r="A64" s="2" t="n">
        <x:v>59</x:v>
      </x:c>
      <x:c r="B64" s="2" t="str">
        <x:v>TXN-00059</x:v>
      </x:c>
      <x:c r="C64" s="2" t="str">
        <x:v>2025-01-25</x:v>
      </x:c>
      <x:c r="D64" s="2" t="str">
        <x:v>Abuja</x:v>
      </x:c>
      <x:c r="E64" s="2" t="str">
        <x:v>Electronics</x:v>
      </x:c>
      <x:c r="F64" s="2" t="str">
        <x:v>Power bank</x:v>
      </x:c>
      <x:c r="G64" s="2" t="str">
        <x:v>In-store</x:v>
      </x:c>
      <x:c r="H64" s="2" t="n">
        <x:v>1</x:v>
      </x:c>
      <x:c r="I64" s="2" t="n">
        <x:v>15000</x:v>
      </x:c>
      <x:c r="J64" s="2" t="n">
        <x:v>9500</x:v>
      </x:c>
      <x:c r="K64" s="2" t="n">
        <x:v>0</x:v>
      </x:c>
      <x:c r="L64" s="2" t="str">
        <x:v>Completed</x:v>
      </x:c>
    </x:row>
    <x:row r="65" ht="21" customHeight="1">
      <x:c r="A65" s="2" t="n">
        <x:v>60</x:v>
      </x:c>
      <x:c r="B65" s="2" t="str">
        <x:v>TXN-00060</x:v>
      </x:c>
      <x:c r="C65" s="2" t="str">
        <x:v>2025-01-16</x:v>
      </x:c>
      <x:c r="D65" s="2" t="str">
        <x:v>Port Harcourt</x:v>
      </x:c>
      <x:c r="E65" s="2" t="str">
        <x:v>Electronics</x:v>
      </x:c>
      <x:c r="F65" s="2" t="str">
        <x:v>Bluetooth speaker</x:v>
      </x:c>
      <x:c r="G65" s="2" t="str">
        <x:v>Online</x:v>
      </x:c>
      <x:c r="H65" s="2" t="n">
        <x:v>2</x:v>
      </x:c>
      <x:c r="I65" s="2" t="n">
        <x:v>26000</x:v>
      </x:c>
      <x:c r="J65" s="2" t="n">
        <x:v>17000</x:v>
      </x:c>
      <x:c r="K65" s="2" t="n">
        <x:v>0</x:v>
      </x:c>
      <x:c r="L65" s="2" t="str">
        <x:v>Completed</x:v>
      </x:c>
    </x:row>
    <x:row r="66" ht="21" customHeight="1">
      <x:c r="A66" s="2" t="n">
        <x:v>61</x:v>
      </x:c>
      <x:c r="B66" s="2" t="str">
        <x:v>TXN-00061</x:v>
      </x:c>
      <x:c r="C66" s="2" t="str">
        <x:v>2025-01-04</x:v>
      </x:c>
      <x:c r="D66" s="2" t="str">
        <x:v>Lagos</x:v>
      </x:c>
      <x:c r="E66" s="2" t="str">
        <x:v>Home</x:v>
      </x:c>
      <x:c r="F66" s="2" t="str">
        <x:v>Bedsheet</x:v>
      </x:c>
      <x:c r="G66" s="2" t="str">
        <x:v>Online</x:v>
      </x:c>
      <x:c r="H66" s="2" t="n">
        <x:v>1</x:v>
      </x:c>
      <x:c r="I66" s="2" t="n">
        <x:v>14000</x:v>
      </x:c>
      <x:c r="J66" s="2" t="n">
        <x:v>8500</x:v>
      </x:c>
      <x:c r="K66" s="2" t="n">
        <x:v>0.05</x:v>
      </x:c>
      <x:c r="L66" s="2" t="str">
        <x:v>Completed</x:v>
      </x:c>
    </x:row>
    <x:row r="67" ht="21" customHeight="1">
      <x:c r="A67" s="2" t="n">
        <x:v>62</x:v>
      </x:c>
      <x:c r="B67" s="2" t="str">
        <x:v>TXN-00062</x:v>
      </x:c>
      <x:c r="C67" s="2" t="str">
        <x:v>2025-01-24</x:v>
      </x:c>
      <x:c r="D67" s="2" t="str">
        <x:v>Port Harcourt</x:v>
      </x:c>
      <x:c r="E67" s="2" t="str">
        <x:v>Fashion</x:v>
      </x:c>
      <x:c r="F67" s="2" t="str">
        <x:v>Handbag</x:v>
      </x:c>
      <x:c r="G67" s="2" t="str">
        <x:v>Online</x:v>
      </x:c>
      <x:c r="H67" s="2" t="n">
        <x:v>2</x:v>
      </x:c>
      <x:c r="I67" s="2" t="n">
        <x:v>22000</x:v>
      </x:c>
      <x:c r="J67" s="2" t="n">
        <x:v>13500</x:v>
      </x:c>
      <x:c r="K67" s="2" t="n">
        <x:v>0.05</x:v>
      </x:c>
      <x:c r="L67" s="2" t="str">
        <x:v>Completed</x:v>
      </x:c>
    </x:row>
    <x:row r="68" ht="21" customHeight="1">
      <x:c r="A68" s="2" t="n">
        <x:v>63</x:v>
      </x:c>
      <x:c r="B68" s="2" t="str">
        <x:v>TXN-00063</x:v>
      </x:c>
      <x:c r="C68" s="2" t="str">
        <x:v>2025-01-19</x:v>
      </x:c>
      <x:c r="D68" s="2" t="str">
        <x:v>Abuja</x:v>
      </x:c>
      <x:c r="E68" s="2" t="str">
        <x:v>Electronics</x:v>
      </x:c>
      <x:c r="F68" s="2" t="str">
        <x:v>Bluetooth speaker</x:v>
      </x:c>
      <x:c r="G68" s="2" t="str">
        <x:v>Online</x:v>
      </x:c>
      <x:c r="H68" s="2" t="n">
        <x:v>1</x:v>
      </x:c>
      <x:c r="I68" s="2" t="n">
        <x:v>26000</x:v>
      </x:c>
      <x:c r="J68" s="2" t="n">
        <x:v>17000</x:v>
      </x:c>
      <x:c r="K68" s="2" t="n">
        <x:v>0</x:v>
      </x:c>
      <x:c r="L68" s="2" t="str">
        <x:v>Completed</x:v>
      </x:c>
    </x:row>
    <x:row r="69" ht="21" customHeight="1">
      <x:c r="A69" s="2" t="n">
        <x:v>64</x:v>
      </x:c>
      <x:c r="B69" s="2" t="str">
        <x:v>TXN-00064</x:v>
      </x:c>
      <x:c r="C69" s="2" t="str">
        <x:v>2025-01-17</x:v>
      </x:c>
      <x:c r="D69" s="2" t="str">
        <x:v> abuja </x:v>
      </x:c>
      <x:c r="E69" s="2" t="str">
        <x:v>Beauty</x:v>
      </x:c>
      <x:c r="F69" s="2" t="str">
        <x:v>Body wash</x:v>
      </x:c>
      <x:c r="G69" s="2" t="str">
        <x:v>Online</x:v>
      </x:c>
      <x:c r="H69" s="2" t="n">
        <x:v>1</x:v>
      </x:c>
      <x:c r="I69" s="2" t="n">
        <x:v>4500</x:v>
      </x:c>
      <x:c r="J69" s="2" t="n">
        <x:v>2300</x:v>
      </x:c>
      <x:c r="K69" s="2" t="n">
        <x:v>0</x:v>
      </x:c>
      <x:c r="L69" s="2" t="str">
        <x:v> COMPLETED </x:v>
      </x:c>
    </x:row>
    <x:row r="70" ht="21" customHeight="1">
      <x:c r="A70" s="2" t="n">
        <x:v>65</x:v>
      </x:c>
      <x:c r="B70" s="2" t="str">
        <x:v>TXN-00065</x:v>
      </x:c>
      <x:c r="C70" s="2" t="str">
        <x:v>2025-01-28</x:v>
      </x:c>
      <x:c r="D70" s="2" t="str">
        <x:v>Abuja</x:v>
      </x:c>
      <x:c r="E70" s="2" t="str">
        <x:v>Home</x:v>
      </x:c>
      <x:c r="F70" s="2" t="str">
        <x:v>Bedsheet</x:v>
      </x:c>
      <x:c r="G70" s="2" t="str">
        <x:v>Online</x:v>
      </x:c>
      <x:c r="H70" s="2" t="n">
        <x:v>2</x:v>
      </x:c>
      <x:c r="I70" s="2" t="n">
        <x:v>14000</x:v>
      </x:c>
      <x:c r="J70" s="2" t="n">
        <x:v>8500</x:v>
      </x:c>
      <x:c r="K70" s="2" t="n">
        <x:v>0</x:v>
      </x:c>
      <x:c r="L70" s="2" t="str">
        <x:v>Completed</x:v>
      </x:c>
    </x:row>
    <x:row r="71" ht="21" customHeight="1">
      <x:c r="A71" s="2" t="n">
        <x:v>66</x:v>
      </x:c>
      <x:c r="B71" s="2" t="str">
        <x:v>TXN-00066</x:v>
      </x:c>
      <x:c r="C71" s="2" t="str">
        <x:v>2025-01-26</x:v>
      </x:c>
      <x:c r="D71" s="2" t="str"/>
      <x:c r="E71" s="2" t="str">
        <x:v>Home</x:v>
      </x:c>
      <x:c r="F71" s="2" t="str">
        <x:v>Bedsheet</x:v>
      </x:c>
      <x:c r="G71" s="2" t="str">
        <x:v>In-store</x:v>
      </x:c>
      <x:c r="H71" s="2" t="n">
        <x:v>2</x:v>
      </x:c>
      <x:c r="I71" s="2" t="n">
        <x:v>14000</x:v>
      </x:c>
      <x:c r="J71" s="2" t="n">
        <x:v>8500</x:v>
      </x:c>
      <x:c r="K71" s="2" t="n">
        <x:v>0</x:v>
      </x:c>
      <x:c r="L71" s="2" t="str">
        <x:v>Completed</x:v>
      </x:c>
    </x:row>
    <x:row r="72" ht="21" customHeight="1">
      <x:c r="A72" s="2" t="n">
        <x:v>67</x:v>
      </x:c>
      <x:c r="B72" s="2" t="str">
        <x:v>TXN-00067</x:v>
      </x:c>
      <x:c r="C72" s="2" t="str">
        <x:v>2025-01-23</x:v>
      </x:c>
      <x:c r="D72" s="2" t="str">
        <x:v>Abuja</x:v>
      </x:c>
      <x:c r="E72" s="2" t="str">
        <x:v>Electronics</x:v>
      </x:c>
      <x:c r="F72" s="2" t="str">
        <x:v>Bluetooth speaker</x:v>
      </x:c>
      <x:c r="G72" s="2" t="str">
        <x:v> online </x:v>
      </x:c>
      <x:c r="H72" s="2" t="n">
        <x:v>1</x:v>
      </x:c>
      <x:c r="I72" s="2" t="n">
        <x:v>26000</x:v>
      </x:c>
      <x:c r="J72" s="2" t="n">
        <x:v>17000</x:v>
      </x:c>
      <x:c r="K72" s="2" t="n">
        <x:v>0.05</x:v>
      </x:c>
      <x:c r="L72" s="2" t="str">
        <x:v>Completed</x:v>
      </x:c>
    </x:row>
    <x:row r="73" ht="21" customHeight="1">
      <x:c r="A73" s="2" t="n">
        <x:v>68</x:v>
      </x:c>
      <x:c r="B73" s="2" t="str">
        <x:v>TXN-00068</x:v>
      </x:c>
      <x:c r="C73" s="2" t="str">
        <x:v>2025-01-27</x:v>
      </x:c>
      <x:c r="D73" s="2" t="str">
        <x:v>Lagos</x:v>
      </x:c>
      <x:c r="E73" s="2" t="str">
        <x:v>Fashion</x:v>
      </x:c>
      <x:c r="F73" s="2" t="str">
        <x:v>T-shirt</x:v>
      </x:c>
      <x:c r="G73" s="2" t="str">
        <x:v>Online</x:v>
      </x:c>
      <x:c r="H73" s="2" t="n">
        <x:v>2</x:v>
      </x:c>
      <x:c r="I73" s="2" t="n">
        <x:v>9000</x:v>
      </x:c>
      <x:c r="J73" s="2" t="n">
        <x:v>5000</x:v>
      </x:c>
      <x:c r="K73" s="2" t="n">
        <x:v>0</x:v>
      </x:c>
      <x:c r="L73" s="2" t="str">
        <x:v>Completed</x:v>
      </x:c>
    </x:row>
    <x:row r="74" ht="21" customHeight="1">
      <x:c r="A74" s="2" t="n">
        <x:v>69</x:v>
      </x:c>
      <x:c r="B74" s="2" t="str">
        <x:v>TXN-00069</x:v>
      </x:c>
      <x:c r="C74" s="2" t="str">
        <x:v>2025-01-11</x:v>
      </x:c>
      <x:c r="D74" s="2" t="str">
        <x:v>Port Harcourt</x:v>
      </x:c>
      <x:c r="E74" s="2" t="str">
        <x:v>Fashion</x:v>
      </x:c>
      <x:c r="F74" s="2" t="str">
        <x:v>T-shirt</x:v>
      </x:c>
      <x:c r="G74" s="2" t="str">
        <x:v>In-store</x:v>
      </x:c>
      <x:c r="H74" s="2" t="n">
        <x:v>1</x:v>
      </x:c>
      <x:c r="I74" s="2" t="n">
        <x:v>9000</x:v>
      </x:c>
      <x:c r="J74" s="2" t="n">
        <x:v>5000</x:v>
      </x:c>
      <x:c r="K74" s="2" t="n">
        <x:v>0</x:v>
      </x:c>
      <x:c r="L74" s="2" t="str">
        <x:v>Completed</x:v>
      </x:c>
    </x:row>
    <x:row r="75" ht="21" customHeight="1">
      <x:c r="A75" s="2" t="n">
        <x:v>70</x:v>
      </x:c>
      <x:c r="B75" s="2" t="str">
        <x:v>TXN-00070</x:v>
      </x:c>
      <x:c r="C75" s="2" t="str">
        <x:v>2025-01-22</x:v>
      </x:c>
      <x:c r="D75" s="2" t="str">
        <x:v>Abuja</x:v>
      </x:c>
      <x:c r="E75" s="2" t="str">
        <x:v>Electronics</x:v>
      </x:c>
      <x:c r="F75" s="2" t="str">
        <x:v>Power bank</x:v>
      </x:c>
      <x:c r="G75" s="2" t="str">
        <x:v>In-store</x:v>
      </x:c>
      <x:c r="H75" s="2" t="n">
        <x:v>2</x:v>
      </x:c>
      <x:c r="I75" s="2" t="n">
        <x:v>15000</x:v>
      </x:c>
      <x:c r="J75" s="2" t="n">
        <x:v>9500</x:v>
      </x:c>
      <x:c r="K75" s="2" t="n">
        <x:v>0.05</x:v>
      </x:c>
      <x:c r="L75" s="2" t="str">
        <x:v>Completed</x:v>
      </x:c>
    </x:row>
    <x:row r="76" ht="21" customHeight="1">
      <x:c r="A76" s="2" t="n">
        <x:v>71</x:v>
      </x:c>
      <x:c r="B76" s="2" t="str">
        <x:v>TXN-00071</x:v>
      </x:c>
      <x:c r="C76" s="2" t="str">
        <x:v>2025-01-22</x:v>
      </x:c>
      <x:c r="D76" s="2" t="str">
        <x:v> lagos </x:v>
      </x:c>
      <x:c r="E76" s="2" t="str">
        <x:v>Electronics</x:v>
      </x:c>
      <x:c r="F76" s="2" t="str">
        <x:v>Power bank</x:v>
      </x:c>
      <x:c r="G76" s="2" t="str">
        <x:v>In-store</x:v>
      </x:c>
      <x:c r="H76" s="2" t="n">
        <x:v>1</x:v>
      </x:c>
      <x:c r="I76" s="2" t="n">
        <x:v>15000</x:v>
      </x:c>
      <x:c r="J76" s="2" t="n">
        <x:v>9500</x:v>
      </x:c>
      <x:c r="K76" s="2" t="n">
        <x:v>0</x:v>
      </x:c>
      <x:c r="L76" s="2" t="str">
        <x:v>Completed</x:v>
      </x:c>
    </x:row>
    <x:row r="77" ht="21" customHeight="1">
      <x:c r="A77" s="2" t="n">
        <x:v>72</x:v>
      </x:c>
      <x:c r="B77" s="2" t="str">
        <x:v>TXN-00072</x:v>
      </x:c>
      <x:c r="C77" s="2" t="str">
        <x:v>2025-01-24</x:v>
      </x:c>
      <x:c r="D77" s="2" t="str">
        <x:v>Port Harcourt</x:v>
      </x:c>
      <x:c r="E77" s="2" t="str">
        <x:v>Electronics</x:v>
      </x:c>
      <x:c r="F77" s="2" t="str">
        <x:v>Power bank</x:v>
      </x:c>
      <x:c r="G77" s="2" t="str">
        <x:v>Online</x:v>
      </x:c>
      <x:c r="H77" s="2" t="n">
        <x:v>4</x:v>
      </x:c>
      <x:c r="I77" s="2" t="n">
        <x:v>15000</x:v>
      </x:c>
      <x:c r="J77" s="2" t="n">
        <x:v>9500</x:v>
      </x:c>
      <x:c r="K77" s="2" t="n">
        <x:v>0.15</x:v>
      </x:c>
      <x:c r="L77" s="2" t="str">
        <x:v>Completed</x:v>
      </x:c>
    </x:row>
    <x:row r="78" ht="21" customHeight="1">
      <x:c r="A78" s="2" t="n">
        <x:v>73</x:v>
      </x:c>
      <x:c r="B78" s="2" t="str">
        <x:v>TXN-00073</x:v>
      </x:c>
      <x:c r="C78" s="2" t="str">
        <x:v>2025-01-30</x:v>
      </x:c>
      <x:c r="D78" s="2" t="str">
        <x:v>Lagos</x:v>
      </x:c>
      <x:c r="E78" s="2" t="str">
        <x:v>Electronics</x:v>
      </x:c>
      <x:c r="F78" s="2" t="str">
        <x:v>Power bank</x:v>
      </x:c>
      <x:c r="G78" s="2" t="str">
        <x:v>In-store</x:v>
      </x:c>
      <x:c r="H78" s="2" t="n">
        <x:v>1</x:v>
      </x:c>
      <x:c r="I78" s="2" t="n">
        <x:v>15000</x:v>
      </x:c>
      <x:c r="J78" s="2" t="n">
        <x:v>9500</x:v>
      </x:c>
      <x:c r="K78" s="2" t="n">
        <x:v>0</x:v>
      </x:c>
      <x:c r="L78" s="2" t="str">
        <x:v> COMPLETED </x:v>
      </x:c>
    </x:row>
    <x:row r="79" ht="21" customHeight="1">
      <x:c r="A79" s="2" t="n">
        <x:v>74</x:v>
      </x:c>
      <x:c r="B79" s="2" t="str">
        <x:v>TXN-00074</x:v>
      </x:c>
      <x:c r="C79" s="2" t="str">
        <x:v>2025-01-09</x:v>
      </x:c>
      <x:c r="D79" s="2" t="str">
        <x:v>Lagos</x:v>
      </x:c>
      <x:c r="E79" s="2" t="str">
        <x:v>Fashion</x:v>
      </x:c>
      <x:c r="F79" s="2" t="str">
        <x:v>T-shirt</x:v>
      </x:c>
      <x:c r="G79" s="2" t="str">
        <x:v>In-store</x:v>
      </x:c>
      <x:c r="H79" s="2" t="n">
        <x:v>2</x:v>
      </x:c>
      <x:c r="I79" s="2" t="n">
        <x:v>9000</x:v>
      </x:c>
      <x:c r="J79" s="2" t="n">
        <x:v>5000</x:v>
      </x:c>
      <x:c r="K79" s="2" t="n">
        <x:v>0</x:v>
      </x:c>
      <x:c r="L79" s="2" t="str">
        <x:v>Completed</x:v>
      </x:c>
    </x:row>
    <x:row r="80" ht="21" customHeight="1">
      <x:c r="A80" s="2" t="n">
        <x:v>75</x:v>
      </x:c>
      <x:c r="B80" s="2" t="str">
        <x:v>TXN-00075</x:v>
      </x:c>
      <x:c r="C80" s="2" t="str">
        <x:v>2025-01-14</x:v>
      </x:c>
      <x:c r="D80" s="2" t="str">
        <x:v>Lagos</x:v>
      </x:c>
      <x:c r="E80" s="2" t="str">
        <x:v>Home</x:v>
      </x:c>
      <x:c r="F80" s="2" t="str">
        <x:v>Cookware set</x:v>
      </x:c>
      <x:c r="G80" s="2" t="str">
        <x:v>In-store</x:v>
      </x:c>
      <x:c r="H80" s="2" t="n">
        <x:v>1</x:v>
      </x:c>
      <x:c r="I80" s="2" t="n">
        <x:v>35000</x:v>
      </x:c>
      <x:c r="J80" s="2" t="n">
        <x:v>22500</x:v>
      </x:c>
      <x:c r="K80" s="2" t="n">
        <x:v>0</x:v>
      </x:c>
      <x:c r="L80" s="2" t="str">
        <x:v>Completed</x:v>
      </x:c>
    </x:row>
    <x:row r="81" ht="21" customHeight="1">
      <x:c r="A81" s="2" t="n">
        <x:v>76</x:v>
      </x:c>
      <x:c r="B81" s="2" t="str">
        <x:v>TXN-00076</x:v>
      </x:c>
      <x:c r="C81" s="2" t="str">
        <x:v>2025-01-12</x:v>
      </x:c>
      <x:c r="D81" s="2" t="str">
        <x:v>Lagos</x:v>
      </x:c>
      <x:c r="E81" s="2" t="str">
        <x:v>Beauty</x:v>
      </x:c>
      <x:c r="F81" s="2" t="str">
        <x:v>Perfume</x:v>
      </x:c>
      <x:c r="G81" s="2" t="str">
        <x:v>Online</x:v>
      </x:c>
      <x:c r="H81" s="2" t="n">
        <x:v>2</x:v>
      </x:c>
      <x:c r="I81" s="2" t="n">
        <x:v>17000</x:v>
      </x:c>
      <x:c r="J81" s="2" t="n">
        <x:v>9000</x:v>
      </x:c>
      <x:c r="K81" s="2" t="n">
        <x:v>0</x:v>
      </x:c>
      <x:c r="L81" s="2" t="str">
        <x:v>Completed</x:v>
      </x:c>
    </x:row>
    <x:row r="82" ht="21" customHeight="1">
      <x:c r="A82" s="2" t="n">
        <x:v>77</x:v>
      </x:c>
      <x:c r="B82" s="2" t="str">
        <x:v>TXN-00077</x:v>
      </x:c>
      <x:c r="C82" s="2" t="str">
        <x:v>2025-01-19</x:v>
      </x:c>
      <x:c r="D82" s="2" t="str">
        <x:v>Port Harcourt</x:v>
      </x:c>
      <x:c r="E82" s="2" t="str">
        <x:v>Fashion</x:v>
      </x:c>
      <x:c r="F82" s="2" t="str">
        <x:v>T-shirt</x:v>
      </x:c>
      <x:c r="G82" s="2" t="str">
        <x:v>Online</x:v>
      </x:c>
      <x:c r="H82" s="2" t="n">
        <x:v>2</x:v>
      </x:c>
      <x:c r="I82" s="2" t="n">
        <x:v>9000</x:v>
      </x:c>
      <x:c r="J82" s="2" t="n">
        <x:v>5000</x:v>
      </x:c>
      <x:c r="K82" s="2" t="n">
        <x:v>0</x:v>
      </x:c>
      <x:c r="L82" s="2" t="str">
        <x:v>Completed</x:v>
      </x:c>
    </x:row>
    <x:row r="83" ht="21" customHeight="1">
      <x:c r="A83" s="2" t="n">
        <x:v>78</x:v>
      </x:c>
      <x:c r="B83" s="2" t="str">
        <x:v>TXN-00078</x:v>
      </x:c>
      <x:c r="C83" s="2" t="str">
        <x:v>2025-01-13</x:v>
      </x:c>
      <x:c r="D83" s="2" t="str">
        <x:v> abuja </x:v>
      </x:c>
      <x:c r="E83" s="2" t="str">
        <x:v>Fashion</x:v>
      </x:c>
      <x:c r="F83" s="2" t="str">
        <x:v>T-shirt</x:v>
      </x:c>
      <x:c r="G83" s="2" t="str">
        <x:v> online </x:v>
      </x:c>
      <x:c r="H83" s="2" t="n">
        <x:v>2</x:v>
      </x:c>
      <x:c r="I83" s="2" t="n">
        <x:v>9000</x:v>
      </x:c>
      <x:c r="J83" s="2" t="n">
        <x:v>5000</x:v>
      </x:c>
      <x:c r="K83" s="2" t="n">
        <x:v>0</x:v>
      </x:c>
      <x:c r="L83" s="2" t="str">
        <x:v>Completed</x:v>
      </x:c>
    </x:row>
    <x:row r="84" ht="21" customHeight="1">
      <x:c r="A84" s="2" t="n">
        <x:v>79</x:v>
      </x:c>
      <x:c r="B84" s="2" t="str">
        <x:v>TXN-00079</x:v>
      </x:c>
      <x:c r="C84" s="2" t="str">
        <x:v>2025-01-16</x:v>
      </x:c>
      <x:c r="D84" s="2" t="str">
        <x:v>Port Harcourt</x:v>
      </x:c>
      <x:c r="E84" s="2" t="str">
        <x:v>Beauty</x:v>
      </x:c>
      <x:c r="F84" s="2" t="str">
        <x:v>Moisturizer</x:v>
      </x:c>
      <x:c r="G84" s="2" t="str">
        <x:v>In-store</x:v>
      </x:c>
      <x:c r="H84" s="2" t="n">
        <x:v>1</x:v>
      </x:c>
      <x:c r="I84" s="2" t="n">
        <x:v>6500</x:v>
      </x:c>
      <x:c r="J84" s="2" t="n">
        <x:v>3500</x:v>
      </x:c>
      <x:c r="K84" s="2" t="str"/>
      <x:c r="L84" s="2" t="str">
        <x:v>Completed</x:v>
      </x:c>
    </x:row>
    <x:row r="85" ht="21" customHeight="1">
      <x:c r="A85" s="2" t="n">
        <x:v>80</x:v>
      </x:c>
      <x:c r="B85" s="2" t="str">
        <x:v>TXN-00080</x:v>
      </x:c>
      <x:c r="C85" s="2" t="str">
        <x:v>2025-01-23</x:v>
      </x:c>
      <x:c r="D85" s="2" t="str">
        <x:v>Port Harcourt</x:v>
      </x:c>
      <x:c r="E85" s="2" t="str">
        <x:v>Electronics</x:v>
      </x:c>
      <x:c r="F85" s="2" t="str">
        <x:v>Bluetooth speaker</x:v>
      </x:c>
      <x:c r="G85" s="2" t="str">
        <x:v>Online</x:v>
      </x:c>
      <x:c r="H85" s="2" t="n">
        <x:v>1</x:v>
      </x:c>
      <x:c r="I85" s="2" t="n">
        <x:v>26000</x:v>
      </x:c>
      <x:c r="J85" s="2" t="n">
        <x:v>17000</x:v>
      </x:c>
      <x:c r="K85" s="2" t="n">
        <x:v>0</x:v>
      </x:c>
      <x:c r="L85" s="2" t="str">
        <x:v>Completed</x:v>
      </x:c>
    </x:row>
    <x:row r="86" ht="21" customHeight="1">
      <x:c r="A86" s="2" t="n">
        <x:v>81</x:v>
      </x:c>
      <x:c r="B86" s="2" t="str">
        <x:v>TXN-00081</x:v>
      </x:c>
      <x:c r="C86" s="2" t="str">
        <x:v>2025-01-30</x:v>
      </x:c>
      <x:c r="D86" s="2" t="str">
        <x:v>Abuja</x:v>
      </x:c>
      <x:c r="E86" s="2" t="str">
        <x:v>Electronics</x:v>
      </x:c>
      <x:c r="F86" s="2" t="str">
        <x:v>Headphones</x:v>
      </x:c>
      <x:c r="G86" s="2" t="str">
        <x:v>Online</x:v>
      </x:c>
      <x:c r="H86" s="2" t="n">
        <x:v>2</x:v>
      </x:c>
      <x:c r="I86" s="2" t="n">
        <x:v>18000</x:v>
      </x:c>
      <x:c r="J86" s="2" t="n">
        <x:v>10500</x:v>
      </x:c>
      <x:c r="K86" s="2" t="n">
        <x:v>0.05</x:v>
      </x:c>
      <x:c r="L86" s="2" t="str">
        <x:v>Completed</x:v>
      </x:c>
    </x:row>
    <x:row r="87" ht="21" customHeight="1">
      <x:c r="A87" s="2" t="n">
        <x:v>82</x:v>
      </x:c>
      <x:c r="B87" s="2" t="str">
        <x:v>TXN-00082</x:v>
      </x:c>
      <x:c r="C87" s="2" t="str">
        <x:v>2025-01-20</x:v>
      </x:c>
      <x:c r="D87" s="2" t="str">
        <x:v>Lagos</x:v>
      </x:c>
      <x:c r="E87" s="2" t="str">
        <x:v>Electronics</x:v>
      </x:c>
      <x:c r="F87" s="2" t="str">
        <x:v>Headphones</x:v>
      </x:c>
      <x:c r="G87" s="2" t="str">
        <x:v>Online</x:v>
      </x:c>
      <x:c r="H87" s="2" t="n">
        <x:v>1</x:v>
      </x:c>
      <x:c r="I87" s="2" t="n">
        <x:v>18000</x:v>
      </x:c>
      <x:c r="J87" s="2" t="n">
        <x:v>10500</x:v>
      </x:c>
      <x:c r="K87" s="2" t="n">
        <x:v>0.05</x:v>
      </x:c>
      <x:c r="L87" s="2" t="str">
        <x:v> COMPLETED </x:v>
      </x:c>
    </x:row>
    <x:row r="88" ht="21" customHeight="1">
      <x:c r="A88" s="2" t="n">
        <x:v>83</x:v>
      </x:c>
      <x:c r="B88" s="2" t="str">
        <x:v>TXN-00083</x:v>
      </x:c>
      <x:c r="C88" s="2" t="str">
        <x:v>2025-01-20</x:v>
      </x:c>
      <x:c r="D88" s="2" t="str">
        <x:v>Port Harcourt</x:v>
      </x:c>
      <x:c r="E88" s="2" t="str">
        <x:v>Fashion</x:v>
      </x:c>
      <x:c r="F88" s="2" t="str">
        <x:v>T-shirt</x:v>
      </x:c>
      <x:c r="G88" s="2" t="str">
        <x:v>Online</x:v>
      </x:c>
      <x:c r="H88" s="2" t="n">
        <x:v>2</x:v>
      </x:c>
      <x:c r="I88" s="2" t="n">
        <x:v>9000</x:v>
      </x:c>
      <x:c r="J88" s="2" t="n">
        <x:v>5000</x:v>
      </x:c>
      <x:c r="K88" s="2" t="str"/>
      <x:c r="L88" s="2" t="str">
        <x:v>Completed</x:v>
      </x:c>
    </x:row>
    <x:row r="89" ht="21" customHeight="1">
      <x:c r="A89" s="2" t="n">
        <x:v>84</x:v>
      </x:c>
      <x:c r="B89" s="2" t="str">
        <x:v>TXN-00084</x:v>
      </x:c>
      <x:c r="C89" s="2" t="str">
        <x:v>2025-01-05</x:v>
      </x:c>
      <x:c r="D89" s="2" t="str">
        <x:v>Port Harcourt</x:v>
      </x:c>
      <x:c r="E89" s="2" t="str">
        <x:v>Electronics</x:v>
      </x:c>
      <x:c r="F89" s="2" t="str">
        <x:v>Bluetooth speaker</x:v>
      </x:c>
      <x:c r="G89" s="2" t="str">
        <x:v>Online</x:v>
      </x:c>
      <x:c r="H89" s="2" t="n">
        <x:v>2</x:v>
      </x:c>
      <x:c r="I89" s="2" t="n">
        <x:v>26000</x:v>
      </x:c>
      <x:c r="J89" s="2" t="n">
        <x:v>17000</x:v>
      </x:c>
      <x:c r="K89" s="2" t="n">
        <x:v>0</x:v>
      </x:c>
      <x:c r="L89" s="2" t="str">
        <x:v>Completed</x:v>
      </x:c>
    </x:row>
    <x:row r="90" ht="21" customHeight="1">
      <x:c r="A90" s="2" t="n">
        <x:v>85</x:v>
      </x:c>
      <x:c r="B90" s="2" t="str">
        <x:v>TXN-00085</x:v>
      </x:c>
      <x:c r="C90" s="2" t="str">
        <x:v>2025-01-27</x:v>
      </x:c>
      <x:c r="D90" s="2" t="str">
        <x:v> lagos </x:v>
      </x:c>
      <x:c r="E90" s="2" t="str">
        <x:v>Fashion</x:v>
      </x:c>
      <x:c r="F90" s="2" t="str">
        <x:v>T-shirt</x:v>
      </x:c>
      <x:c r="G90" s="2" t="str">
        <x:v>Online</x:v>
      </x:c>
      <x:c r="H90" s="2" t="n">
        <x:v>1</x:v>
      </x:c>
      <x:c r="I90" s="2" t="n">
        <x:v>9000</x:v>
      </x:c>
      <x:c r="J90" s="2" t="n">
        <x:v>5000</x:v>
      </x:c>
      <x:c r="K90" s="2" t="n">
        <x:v>0</x:v>
      </x:c>
      <x:c r="L90" s="2" t="str">
        <x:v>Completed</x:v>
      </x:c>
    </x:row>
    <x:row r="91" ht="21" customHeight="1">
      <x:c r="A91" s="2" t="n">
        <x:v>86</x:v>
      </x:c>
      <x:c r="B91" s="2" t="str">
        <x:v>TXN-00086</x:v>
      </x:c>
      <x:c r="C91" s="2" t="str">
        <x:v>2025-01-18</x:v>
      </x:c>
      <x:c r="D91" s="2" t="str">
        <x:v>Abuja</x:v>
      </x:c>
      <x:c r="E91" s="2" t="str">
        <x:v>Fashion</x:v>
      </x:c>
      <x:c r="F91" s="2" t="str">
        <x:v>Handbag</x:v>
      </x:c>
      <x:c r="G91" s="2" t="str">
        <x:v>Online</x:v>
      </x:c>
      <x:c r="H91" s="2" t="n">
        <x:v>1</x:v>
      </x:c>
      <x:c r="I91" s="2" t="n">
        <x:v>22000</x:v>
      </x:c>
      <x:c r="J91" s="2" t="n">
        <x:v>13500</x:v>
      </x:c>
      <x:c r="K91" s="2" t="n">
        <x:v>0</x:v>
      </x:c>
      <x:c r="L91" s="2" t="str">
        <x:v>Returned</x:v>
      </x:c>
    </x:row>
    <x:row r="92" ht="21" customHeight="1">
      <x:c r="A92" s="2" t="n">
        <x:v>87</x:v>
      </x:c>
      <x:c r="B92" s="2" t="str">
        <x:v>TXN-00087</x:v>
      </x:c>
      <x:c r="C92" s="2" t="str">
        <x:v>2025-01-30</x:v>
      </x:c>
      <x:c r="D92" s="2" t="str">
        <x:v>Lagos</x:v>
      </x:c>
      <x:c r="E92" s="2" t="str">
        <x:v>Fashion</x:v>
      </x:c>
      <x:c r="F92" s="2" t="str">
        <x:v>Handbag</x:v>
      </x:c>
      <x:c r="G92" s="2" t="str">
        <x:v>Online</x:v>
      </x:c>
      <x:c r="H92" s="2" t="n">
        <x:v>2</x:v>
      </x:c>
      <x:c r="I92" s="2" t="n">
        <x:v>22000</x:v>
      </x:c>
      <x:c r="J92" s="2" t="n">
        <x:v>13500</x:v>
      </x:c>
      <x:c r="K92" s="2" t="n">
        <x:v>0</x:v>
      </x:c>
      <x:c r="L92" s="2" t="str">
        <x:v>Completed</x:v>
      </x:c>
    </x:row>
    <x:row r="93" ht="21" customHeight="1">
      <x:c r="A93" s="2" t="n">
        <x:v>88</x:v>
      </x:c>
      <x:c r="B93" s="2" t="str">
        <x:v>TXN-00088</x:v>
      </x:c>
      <x:c r="C93" s="2" t="str">
        <x:v>2025-01-02</x:v>
      </x:c>
      <x:c r="D93" s="2" t="str">
        <x:v>Lagos</x:v>
      </x:c>
      <x:c r="E93" s="2" t="str">
        <x:v>Home</x:v>
      </x:c>
      <x:c r="F93" s="2" t="str">
        <x:v>Desk lamp</x:v>
      </x:c>
      <x:c r="G93" s="2" t="str">
        <x:v>In-store</x:v>
      </x:c>
      <x:c r="H93" s="2" t="n">
        <x:v>2</x:v>
      </x:c>
      <x:c r="I93" s="2" t="n">
        <x:v>12000</x:v>
      </x:c>
      <x:c r="J93" s="2" t="n">
        <x:v>7200</x:v>
      </x:c>
      <x:c r="K93" s="2" t="n">
        <x:v>0</x:v>
      </x:c>
      <x:c r="L93" s="2" t="str">
        <x:v>Completed</x:v>
      </x:c>
    </x:row>
    <x:row r="94" ht="21" customHeight="1">
      <x:c r="A94" s="2" t="n">
        <x:v>89</x:v>
      </x:c>
      <x:c r="B94" s="2" t="str">
        <x:v>TXN-00089</x:v>
      </x:c>
      <x:c r="C94" s="2" t="str">
        <x:v>2025-01-03</x:v>
      </x:c>
      <x:c r="D94" s="2" t="str">
        <x:v>Port Harcourt</x:v>
      </x:c>
      <x:c r="E94" s="2" t="str">
        <x:v>Electronics</x:v>
      </x:c>
      <x:c r="F94" s="2" t="str">
        <x:v>Headphones</x:v>
      </x:c>
      <x:c r="G94" s="2" t="str">
        <x:v> online </x:v>
      </x:c>
      <x:c r="H94" s="2" t="n">
        <x:v>1</x:v>
      </x:c>
      <x:c r="I94" s="2" t="n">
        <x:v>18000</x:v>
      </x:c>
      <x:c r="J94" s="2" t="n">
        <x:v>10500</x:v>
      </x:c>
      <x:c r="K94" s="2" t="n">
        <x:v>0</x:v>
      </x:c>
      <x:c r="L94" s="2" t="str">
        <x:v>Completed</x:v>
      </x:c>
    </x:row>
    <x:row r="95" ht="21" customHeight="1">
      <x:c r="A95" s="2" t="n">
        <x:v>90</x:v>
      </x:c>
      <x:c r="B95" s="2" t="str">
        <x:v>TXN-00090</x:v>
      </x:c>
      <x:c r="C95" s="2" t="str">
        <x:v>2025-01-21</x:v>
      </x:c>
      <x:c r="D95" s="2" t="str">
        <x:v>Lagos</x:v>
      </x:c>
      <x:c r="E95" s="2" t="str">
        <x:v>Electronics</x:v>
      </x:c>
      <x:c r="F95" s="2" t="str">
        <x:v>Power bank</x:v>
      </x:c>
      <x:c r="G95" s="2" t="str">
        <x:v>In-store</x:v>
      </x:c>
      <x:c r="H95" s="2" t="n">
        <x:v>4</x:v>
      </x:c>
      <x:c r="I95" s="2" t="n">
        <x:v>15000</x:v>
      </x:c>
      <x:c r="J95" s="2" t="n">
        <x:v>9500</x:v>
      </x:c>
      <x:c r="K95" s="2" t="n">
        <x:v>0</x:v>
      </x:c>
      <x:c r="L95" s="2" t="str">
        <x:v>Completed</x:v>
      </x:c>
    </x:row>
    <x:row r="96" ht="21" customHeight="1">
      <x:c r="A96" s="2" t="n">
        <x:v>91</x:v>
      </x:c>
      <x:c r="B96" s="2" t="str">
        <x:v>TXN-00091</x:v>
      </x:c>
      <x:c r="C96" s="2" t="str">
        <x:v>2025-01-21</x:v>
      </x:c>
      <x:c r="D96" s="2" t="str">
        <x:v>Lagos</x:v>
      </x:c>
      <x:c r="E96" s="2" t="str">
        <x:v>Electronics</x:v>
      </x:c>
      <x:c r="F96" s="2" t="str">
        <x:v>Power bank</x:v>
      </x:c>
      <x:c r="G96" s="2" t="str">
        <x:v>Online</x:v>
      </x:c>
      <x:c r="H96" s="2" t="n">
        <x:v>1</x:v>
      </x:c>
      <x:c r="I96" s="2" t="n">
        <x:v>15000</x:v>
      </x:c>
      <x:c r="J96" s="2" t="n">
        <x:v>9500</x:v>
      </x:c>
      <x:c r="K96" s="2" t="n">
        <x:v>0</x:v>
      </x:c>
      <x:c r="L96" s="2" t="str">
        <x:v> COMPLETED </x:v>
      </x:c>
    </x:row>
    <x:row r="97" ht="21" customHeight="1">
      <x:c r="A97" s="2" t="n">
        <x:v>92</x:v>
      </x:c>
      <x:c r="B97" s="2" t="str">
        <x:v>TXN-00092</x:v>
      </x:c>
      <x:c r="C97" s="2" t="str">
        <x:v>2025-01-04</x:v>
      </x:c>
      <x:c r="D97" s="2" t="str">
        <x:v> lagos </x:v>
      </x:c>
      <x:c r="E97" s="2" t="str">
        <x:v>Beauty</x:v>
      </x:c>
      <x:c r="F97" s="2" t="str">
        <x:v>Perfume</x:v>
      </x:c>
      <x:c r="G97" s="2" t="str">
        <x:v>Online</x:v>
      </x:c>
      <x:c r="H97" s="2" t="n">
        <x:v>1</x:v>
      </x:c>
      <x:c r="I97" s="2" t="n">
        <x:v>17000</x:v>
      </x:c>
      <x:c r="J97" s="2" t="n">
        <x:v>9000</x:v>
      </x:c>
      <x:c r="K97" s="2" t="n">
        <x:v>0</x:v>
      </x:c>
      <x:c r="L97" s="2" t="str">
        <x:v>Returned</x:v>
      </x:c>
    </x:row>
    <x:row r="98" ht="21" customHeight="1">
      <x:c r="A98" s="2" t="n">
        <x:v>93</x:v>
      </x:c>
      <x:c r="B98" s="2" t="str">
        <x:v>TXN-00093</x:v>
      </x:c>
      <x:c r="C98" s="2" t="str">
        <x:v>2025-01-27</x:v>
      </x:c>
      <x:c r="D98" s="2" t="str">
        <x:v>Lagos</x:v>
      </x:c>
      <x:c r="E98" s="2" t="str">
        <x:v>Home</x:v>
      </x:c>
      <x:c r="F98" s="2" t="str">
        <x:v>Bedsheet</x:v>
      </x:c>
      <x:c r="G98" s="2" t="str">
        <x:v>In-store</x:v>
      </x:c>
      <x:c r="H98" s="2" t="n">
        <x:v>2</x:v>
      </x:c>
      <x:c r="I98" s="2" t="n">
        <x:v>14000</x:v>
      </x:c>
      <x:c r="J98" s="2" t="n">
        <x:v>8500</x:v>
      </x:c>
      <x:c r="K98" s="2" t="n">
        <x:v>0.1</x:v>
      </x:c>
      <x:c r="L98" s="2" t="str">
        <x:v>Completed</x:v>
      </x:c>
    </x:row>
    <x:row r="99" ht="21" customHeight="1">
      <x:c r="A99" s="2" t="n">
        <x:v>94</x:v>
      </x:c>
      <x:c r="B99" s="2" t="str">
        <x:v>TXN-00094</x:v>
      </x:c>
      <x:c r="C99" s="2" t="str">
        <x:v>2025-01-06</x:v>
      </x:c>
      <x:c r="D99" s="2" t="str">
        <x:v>Lagos</x:v>
      </x:c>
      <x:c r="E99" s="2" t="str">
        <x:v>Fashion</x:v>
      </x:c>
      <x:c r="F99" s="2" t="str">
        <x:v>Sneakers</x:v>
      </x:c>
      <x:c r="G99" s="2" t="str">
        <x:v>In-store</x:v>
      </x:c>
      <x:c r="H99" s="2" t="n">
        <x:v>2</x:v>
      </x:c>
      <x:c r="I99" s="2" t="n">
        <x:v>28000</x:v>
      </x:c>
      <x:c r="J99" s="2" t="n">
        <x:v>17500</x:v>
      </x:c>
      <x:c r="K99" s="2" t="n">
        <x:v>0.05</x:v>
      </x:c>
      <x:c r="L99" s="2" t="str">
        <x:v>Returned</x:v>
      </x:c>
    </x:row>
    <x:row r="100" ht="21" customHeight="1">
      <x:c r="A100" s="2" t="n">
        <x:v>95</x:v>
      </x:c>
      <x:c r="B100" s="2" t="str">
        <x:v>TXN-00095</x:v>
      </x:c>
      <x:c r="C100" s="2" t="str">
        <x:v>2025-01-25</x:v>
      </x:c>
      <x:c r="D100" s="2" t="str">
        <x:v>Lagos</x:v>
      </x:c>
      <x:c r="E100" s="2" t="str">
        <x:v>Electronics</x:v>
      </x:c>
      <x:c r="F100" s="2" t="str">
        <x:v>Power bank</x:v>
      </x:c>
      <x:c r="G100" s="2" t="str">
        <x:v>Online</x:v>
      </x:c>
      <x:c r="H100" s="2" t="n">
        <x:v>1</x:v>
      </x:c>
      <x:c r="I100" s="2" t="n">
        <x:v>15000</x:v>
      </x:c>
      <x:c r="J100" s="2" t="n">
        <x:v>9500</x:v>
      </x:c>
      <x:c r="K100" s="2" t="n">
        <x:v>0.1</x:v>
      </x:c>
      <x:c r="L100" s="2" t="str">
        <x:v>Returned</x:v>
      </x:c>
    </x:row>
    <x:row r="101" ht="21" customHeight="1">
      <x:c r="A101" s="2" t="n">
        <x:v>96</x:v>
      </x:c>
      <x:c r="B101" s="2" t="str">
        <x:v>TXN-00096</x:v>
      </x:c>
      <x:c r="C101" s="2" t="str">
        <x:v>2025-01-25</x:v>
      </x:c>
      <x:c r="D101" s="2" t="str">
        <x:v>Kano</x:v>
      </x:c>
      <x:c r="E101" s="2" t="str">
        <x:v>Electronics</x:v>
      </x:c>
      <x:c r="F101" s="2" t="str">
        <x:v>Power bank</x:v>
      </x:c>
      <x:c r="G101" s="2" t="str">
        <x:v>Online</x:v>
      </x:c>
      <x:c r="H101" s="2" t="n">
        <x:v>1</x:v>
      </x:c>
      <x:c r="I101" s="2" t="n">
        <x:v>15000</x:v>
      </x:c>
      <x:c r="J101" s="2" t="n">
        <x:v>9500</x:v>
      </x:c>
      <x:c r="K101" s="2" t="n">
        <x:v>0.15</x:v>
      </x:c>
      <x:c r="L101" s="2" t="str">
        <x:v>Completed</x:v>
      </x:c>
    </x:row>
    <x:row r="102" ht="21" customHeight="1">
      <x:c r="A102" s="2" t="n">
        <x:v>97</x:v>
      </x:c>
      <x:c r="B102" s="2" t="str">
        <x:v>TXN-00097</x:v>
      </x:c>
      <x:c r="C102" s="2" t="str">
        <x:v>2025-02-25</x:v>
      </x:c>
      <x:c r="D102" s="2" t="str">
        <x:v>Lagos</x:v>
      </x:c>
      <x:c r="E102" s="2" t="str">
        <x:v>Home</x:v>
      </x:c>
      <x:c r="F102" s="2" t="str">
        <x:v>Desk lamp</x:v>
      </x:c>
      <x:c r="G102" s="2" t="str">
        <x:v>In-store</x:v>
      </x:c>
      <x:c r="H102" s="2" t="n">
        <x:v>2</x:v>
      </x:c>
      <x:c r="I102" s="2" t="n">
        <x:v>12000</x:v>
      </x:c>
      <x:c r="J102" s="2" t="n">
        <x:v>7200</x:v>
      </x:c>
      <x:c r="K102" s="2" t="n">
        <x:v>0.05</x:v>
      </x:c>
      <x:c r="L102" s="2" t="str">
        <x:v>Completed</x:v>
      </x:c>
    </x:row>
    <x:row r="103" ht="21" customHeight="1">
      <x:c r="A103" s="2" t="n">
        <x:v>98</x:v>
      </x:c>
      <x:c r="B103" s="2" t="str">
        <x:v>TXN-00098</x:v>
      </x:c>
      <x:c r="C103" s="2" t="str">
        <x:v>2025-02-01</x:v>
      </x:c>
      <x:c r="D103" s="2" t="str">
        <x:v>Lagos</x:v>
      </x:c>
      <x:c r="E103" s="2" t="str">
        <x:v>Fashion</x:v>
      </x:c>
      <x:c r="F103" s="2" t="str">
        <x:v>Sneakers</x:v>
      </x:c>
      <x:c r="G103" s="2" t="str">
        <x:v>Online</x:v>
      </x:c>
      <x:c r="H103" s="2" t="n">
        <x:v>3</x:v>
      </x:c>
      <x:c r="I103" s="2" t="n">
        <x:v>28000</x:v>
      </x:c>
      <x:c r="J103" s="2" t="n">
        <x:v>17500</x:v>
      </x:c>
      <x:c r="K103" s="2" t="n">
        <x:v>0</x:v>
      </x:c>
      <x:c r="L103" s="2" t="str">
        <x:v>Completed</x:v>
      </x:c>
    </x:row>
    <x:row r="104" ht="21" customHeight="1">
      <x:c r="A104" s="2" t="n">
        <x:v>99</x:v>
      </x:c>
      <x:c r="B104" s="2" t="str">
        <x:v>TXN-00099</x:v>
      </x:c>
      <x:c r="C104" s="2" t="str">
        <x:v>2025-02-06</x:v>
      </x:c>
      <x:c r="D104" s="2" t="str">
        <x:v> lagos </x:v>
      </x:c>
      <x:c r="E104" s="2" t="str">
        <x:v>Fashion</x:v>
      </x:c>
      <x:c r="F104" s="2" t="str">
        <x:v>Handbag</x:v>
      </x:c>
      <x:c r="G104" s="2" t="str">
        <x:v>In-store</x:v>
      </x:c>
      <x:c r="H104" s="2" t="n">
        <x:v>1</x:v>
      </x:c>
      <x:c r="I104" s="2" t="n">
        <x:v>22000</x:v>
      </x:c>
      <x:c r="J104" s="2" t="n">
        <x:v>13500</x:v>
      </x:c>
      <x:c r="K104" s="2" t="n">
        <x:v>0.05</x:v>
      </x:c>
      <x:c r="L104" s="2" t="str">
        <x:v>Completed</x:v>
      </x:c>
    </x:row>
    <x:row r="105" ht="21" customHeight="1">
      <x:c r="A105" s="2" t="n">
        <x:v>100</x:v>
      </x:c>
      <x:c r="B105" s="2" t="str">
        <x:v>TXN-00100</x:v>
      </x:c>
      <x:c r="C105" s="2" t="str">
        <x:v>2025-02-22</x:v>
      </x:c>
      <x:c r="D105" s="2" t="str">
        <x:v>Kano</x:v>
      </x:c>
      <x:c r="E105" s="2" t="str">
        <x:v>Fashion</x:v>
      </x:c>
      <x:c r="F105" s="2" t="str">
        <x:v>Handbag</x:v>
      </x:c>
      <x:c r="G105" s="2" t="str">
        <x:v> online </x:v>
      </x:c>
      <x:c r="H105" s="2" t="n">
        <x:v>3</x:v>
      </x:c>
      <x:c r="I105" s="2" t="n">
        <x:v>22000</x:v>
      </x:c>
      <x:c r="J105" s="2" t="n">
        <x:v>13500</x:v>
      </x:c>
      <x:c r="K105" s="2" t="n">
        <x:v>0</x:v>
      </x:c>
      <x:c r="L105" s="2" t="str">
        <x:v> COMPLETED </x:v>
      </x:c>
    </x:row>
    <x:row r="106" ht="21" customHeight="1">
      <x:c r="A106" s="2" t="n">
        <x:v>101</x:v>
      </x:c>
      <x:c r="B106" s="2" t="str">
        <x:v>TXN-00101</x:v>
      </x:c>
      <x:c r="C106" s="2" t="str">
        <x:v>2025-02-21</x:v>
      </x:c>
      <x:c r="D106" s="2" t="str">
        <x:v>Abuja</x:v>
      </x:c>
      <x:c r="E106" s="2" t="str">
        <x:v>Electronics</x:v>
      </x:c>
      <x:c r="F106" s="2" t="str">
        <x:v>Bluetooth speaker</x:v>
      </x:c>
      <x:c r="G106" s="2" t="str">
        <x:v>Online</x:v>
      </x:c>
      <x:c r="H106" s="2" t="n">
        <x:v>2</x:v>
      </x:c>
      <x:c r="I106" s="2" t="n">
        <x:v>26000</x:v>
      </x:c>
      <x:c r="J106" s="2" t="n">
        <x:v>17000</x:v>
      </x:c>
      <x:c r="K106" s="2" t="n">
        <x:v>0</x:v>
      </x:c>
      <x:c r="L106" s="2" t="str">
        <x:v>Completed</x:v>
      </x:c>
    </x:row>
    <x:row r="107" ht="21" customHeight="1">
      <x:c r="A107" s="2" t="n">
        <x:v>102</x:v>
      </x:c>
      <x:c r="B107" s="2" t="str">
        <x:v>TXN-00102</x:v>
      </x:c>
      <x:c r="C107" s="2" t="str">
        <x:v>2025-02-16</x:v>
      </x:c>
      <x:c r="D107" s="2" t="str">
        <x:v>Lagos</x:v>
      </x:c>
      <x:c r="E107" s="2" t="str">
        <x:v>Electronics</x:v>
      </x:c>
      <x:c r="F107" s="2" t="str">
        <x:v>Bluetooth speaker</x:v>
      </x:c>
      <x:c r="G107" s="2" t="str">
        <x:v>In-store</x:v>
      </x:c>
      <x:c r="H107" s="2" t="n">
        <x:v>2</x:v>
      </x:c>
      <x:c r="I107" s="2" t="n">
        <x:v>26000</x:v>
      </x:c>
      <x:c r="J107" s="2" t="n">
        <x:v>17000</x:v>
      </x:c>
      <x:c r="K107" s="2" t="str"/>
      <x:c r="L107" s="2" t="str">
        <x:v>Returned</x:v>
      </x:c>
    </x:row>
    <x:row r="108" ht="21" customHeight="1">
      <x:c r="A108" s="2" t="n">
        <x:v>103</x:v>
      </x:c>
      <x:c r="B108" s="2" t="str">
        <x:v>TXN-00103</x:v>
      </x:c>
      <x:c r="C108" s="2" t="str">
        <x:v>2025-02-14</x:v>
      </x:c>
      <x:c r="D108" s="2" t="str">
        <x:v>Abuja</x:v>
      </x:c>
      <x:c r="E108" s="2" t="str">
        <x:v>Beauty</x:v>
      </x:c>
      <x:c r="F108" s="2" t="str">
        <x:v>Body wash</x:v>
      </x:c>
      <x:c r="G108" s="2" t="str">
        <x:v>Online</x:v>
      </x:c>
      <x:c r="H108" s="2" t="n">
        <x:v>3</x:v>
      </x:c>
      <x:c r="I108" s="2" t="n">
        <x:v>4500</x:v>
      </x:c>
      <x:c r="J108" s="2" t="n">
        <x:v>2300</x:v>
      </x:c>
      <x:c r="K108" s="2" t="n">
        <x:v>0</x:v>
      </x:c>
      <x:c r="L108" s="2" t="str">
        <x:v>Completed</x:v>
      </x:c>
    </x:row>
    <x:row r="109" ht="21" customHeight="1">
      <x:c r="A109" s="2" t="n">
        <x:v>104</x:v>
      </x:c>
      <x:c r="B109" s="2" t="str">
        <x:v>TXN-00104</x:v>
      </x:c>
      <x:c r="C109" s="2" t="str">
        <x:v>2025-02-11</x:v>
      </x:c>
      <x:c r="D109" s="2" t="str">
        <x:v>Lagos</x:v>
      </x:c>
      <x:c r="E109" s="2" t="str">
        <x:v>Electronics</x:v>
      </x:c>
      <x:c r="F109" s="2" t="str">
        <x:v>Bluetooth speaker</x:v>
      </x:c>
      <x:c r="G109" s="2" t="str">
        <x:v>Online</x:v>
      </x:c>
      <x:c r="H109" s="2" t="n">
        <x:v>2</x:v>
      </x:c>
      <x:c r="I109" s="2" t="n">
        <x:v>26000</x:v>
      </x:c>
      <x:c r="J109" s="2" t="n">
        <x:v>17000</x:v>
      </x:c>
      <x:c r="K109" s="2" t="n">
        <x:v>0</x:v>
      </x:c>
      <x:c r="L109" s="2" t="str">
        <x:v>Completed</x:v>
      </x:c>
    </x:row>
    <x:row r="110" ht="21" customHeight="1">
      <x:c r="A110" s="2" t="n">
        <x:v>105</x:v>
      </x:c>
      <x:c r="B110" s="2" t="str">
        <x:v>TXN-00105</x:v>
      </x:c>
      <x:c r="C110" s="2" t="str">
        <x:v>2025-02-15</x:v>
      </x:c>
      <x:c r="D110" s="2" t="str">
        <x:v>Lagos</x:v>
      </x:c>
      <x:c r="E110" s="2" t="str">
        <x:v>Home</x:v>
      </x:c>
      <x:c r="F110" s="2" t="str">
        <x:v>Bedsheet</x:v>
      </x:c>
      <x:c r="G110" s="2" t="str">
        <x:v>Online</x:v>
      </x:c>
      <x:c r="H110" s="2" t="n">
        <x:v>1</x:v>
      </x:c>
      <x:c r="I110" s="2" t="n">
        <x:v>14000</x:v>
      </x:c>
      <x:c r="J110" s="2" t="n">
        <x:v>8500</x:v>
      </x:c>
      <x:c r="K110" s="2" t="n">
        <x:v>0</x:v>
      </x:c>
      <x:c r="L110" s="2" t="str">
        <x:v>Completed</x:v>
      </x:c>
    </x:row>
    <x:row r="111" ht="21" customHeight="1">
      <x:c r="A111" s="2" t="n">
        <x:v>106</x:v>
      </x:c>
      <x:c r="B111" s="2" t="str">
        <x:v>TXN-00106</x:v>
      </x:c>
      <x:c r="C111" s="2" t="str">
        <x:v>2025-02-25</x:v>
      </x:c>
      <x:c r="D111" s="2" t="str">
        <x:v> port harcourt </x:v>
      </x:c>
      <x:c r="E111" s="2" t="str">
        <x:v>Electronics</x:v>
      </x:c>
      <x:c r="F111" s="2" t="str">
        <x:v>Headphones</x:v>
      </x:c>
      <x:c r="G111" s="2" t="str">
        <x:v>Online</x:v>
      </x:c>
      <x:c r="H111" s="2" t="n">
        <x:v>1</x:v>
      </x:c>
      <x:c r="I111" s="2" t="n">
        <x:v>18000</x:v>
      </x:c>
      <x:c r="J111" s="2" t="n">
        <x:v>10500</x:v>
      </x:c>
      <x:c r="K111" s="2" t="n">
        <x:v>0.1</x:v>
      </x:c>
      <x:c r="L111" s="2" t="str">
        <x:v>Completed</x:v>
      </x:c>
    </x:row>
    <x:row r="112" ht="21" customHeight="1">
      <x:c r="A112" s="2" t="n">
        <x:v>107</x:v>
      </x:c>
      <x:c r="B112" s="2" t="str">
        <x:v>TXN-00107</x:v>
      </x:c>
      <x:c r="C112" s="2" t="str">
        <x:v>2025-02-27</x:v>
      </x:c>
      <x:c r="D112" s="2" t="str">
        <x:v>Abuja</x:v>
      </x:c>
      <x:c r="E112" s="2" t="str">
        <x:v>Electronics</x:v>
      </x:c>
      <x:c r="F112" s="2" t="str">
        <x:v>Power bank</x:v>
      </x:c>
      <x:c r="G112" s="2" t="str">
        <x:v>In-store</x:v>
      </x:c>
      <x:c r="H112" s="2" t="n">
        <x:v>2</x:v>
      </x:c>
      <x:c r="I112" s="2" t="n">
        <x:v>15000</x:v>
      </x:c>
      <x:c r="J112" s="2" t="n">
        <x:v>9500</x:v>
      </x:c>
      <x:c r="K112" s="2" t="n">
        <x:v>0.1</x:v>
      </x:c>
      <x:c r="L112" s="2" t="str">
        <x:v>Completed</x:v>
      </x:c>
    </x:row>
    <x:row r="113" ht="21" customHeight="1">
      <x:c r="A113" s="2" t="n">
        <x:v>108</x:v>
      </x:c>
      <x:c r="B113" s="2" t="str">
        <x:v>TXN-00108</x:v>
      </x:c>
      <x:c r="C113" s="2" t="str">
        <x:v>2025-02-12</x:v>
      </x:c>
      <x:c r="D113" s="2" t="str">
        <x:v>Lagos</x:v>
      </x:c>
      <x:c r="E113" s="2" t="str">
        <x:v>Beauty</x:v>
      </x:c>
      <x:c r="F113" s="2" t="str">
        <x:v>Moisturizer</x:v>
      </x:c>
      <x:c r="G113" s="2" t="str">
        <x:v>In-store</x:v>
      </x:c>
      <x:c r="H113" s="2" t="n">
        <x:v>1</x:v>
      </x:c>
      <x:c r="I113" s="2" t="n">
        <x:v>6500</x:v>
      </x:c>
      <x:c r="J113" s="2" t="n">
        <x:v>3500</x:v>
      </x:c>
      <x:c r="K113" s="2" t="n">
        <x:v>0</x:v>
      </x:c>
      <x:c r="L113" s="2" t="str">
        <x:v>Completed</x:v>
      </x:c>
    </x:row>
    <x:row r="114" ht="21" customHeight="1">
      <x:c r="A114" s="2" t="n">
        <x:v>109</x:v>
      </x:c>
      <x:c r="B114" s="2" t="str">
        <x:v>TXN-00109</x:v>
      </x:c>
      <x:c r="C114" s="2" t="str">
        <x:v>2025-02-27</x:v>
      </x:c>
      <x:c r="D114" s="2" t="str">
        <x:v>Lagos</x:v>
      </x:c>
      <x:c r="E114" s="2" t="str">
        <x:v>Beauty</x:v>
      </x:c>
      <x:c r="F114" s="2" t="str">
        <x:v>Moisturizer</x:v>
      </x:c>
      <x:c r="G114" s="2" t="str">
        <x:v>Online</x:v>
      </x:c>
      <x:c r="H114" s="2" t="n">
        <x:v>4</x:v>
      </x:c>
      <x:c r="I114" s="2" t="n">
        <x:v>6500</x:v>
      </x:c>
      <x:c r="J114" s="2" t="n">
        <x:v>3500</x:v>
      </x:c>
      <x:c r="K114" s="2" t="n">
        <x:v>0.05</x:v>
      </x:c>
      <x:c r="L114" s="2" t="str">
        <x:v> COMPLETED </x:v>
      </x:c>
    </x:row>
    <x:row r="115" ht="21" customHeight="1">
      <x:c r="A115" s="2" t="n">
        <x:v>110</x:v>
      </x:c>
      <x:c r="B115" s="2" t="str">
        <x:v>TXN-00110</x:v>
      </x:c>
      <x:c r="C115" s="2" t="str">
        <x:v>2025-02-04</x:v>
      </x:c>
      <x:c r="D115" s="2" t="str">
        <x:v>Port Harcourt</x:v>
      </x:c>
      <x:c r="E115" s="2" t="str">
        <x:v>Electronics</x:v>
      </x:c>
      <x:c r="F115" s="2" t="str">
        <x:v>Bluetooth speaker</x:v>
      </x:c>
      <x:c r="G115" s="2" t="str">
        <x:v>Online</x:v>
      </x:c>
      <x:c r="H115" s="2" t="n">
        <x:v>1</x:v>
      </x:c>
      <x:c r="I115" s="2" t="n">
        <x:v>26000</x:v>
      </x:c>
      <x:c r="J115" s="2" t="n">
        <x:v>17000</x:v>
      </x:c>
      <x:c r="K115" s="2" t="n">
        <x:v>0.05</x:v>
      </x:c>
      <x:c r="L115" s="2" t="str">
        <x:v>Completed</x:v>
      </x:c>
    </x:row>
    <x:row r="116" ht="21" customHeight="1">
      <x:c r="A116" s="2" t="n">
        <x:v>111</x:v>
      </x:c>
      <x:c r="B116" s="2" t="str">
        <x:v>TXN-00111</x:v>
      </x:c>
      <x:c r="C116" s="2" t="str">
        <x:v>2025-02-23</x:v>
      </x:c>
      <x:c r="D116" s="2" t="str">
        <x:v>Lagos</x:v>
      </x:c>
      <x:c r="E116" s="2" t="str">
        <x:v>Home</x:v>
      </x:c>
      <x:c r="F116" s="2" t="str">
        <x:v>Desk lamp</x:v>
      </x:c>
      <x:c r="G116" s="2" t="str">
        <x:v> in-store </x:v>
      </x:c>
      <x:c r="H116" s="2" t="n">
        <x:v>1</x:v>
      </x:c>
      <x:c r="I116" s="2" t="n">
        <x:v>12000</x:v>
      </x:c>
      <x:c r="J116" s="2" t="n">
        <x:v>7200</x:v>
      </x:c>
      <x:c r="K116" s="2" t="n">
        <x:v>0</x:v>
      </x:c>
      <x:c r="L116" s="2" t="str">
        <x:v>Completed</x:v>
      </x:c>
    </x:row>
    <x:row r="117" ht="21" customHeight="1">
      <x:c r="A117" s="2" t="n">
        <x:v>112</x:v>
      </x:c>
      <x:c r="B117" s="2" t="str">
        <x:v>TXN-00112</x:v>
      </x:c>
      <x:c r="C117" s="2" t="str">
        <x:v>2025-02-14</x:v>
      </x:c>
      <x:c r="D117" s="2" t="str">
        <x:v>Port Harcourt</x:v>
      </x:c>
      <x:c r="E117" s="2" t="str">
        <x:v>Electronics</x:v>
      </x:c>
      <x:c r="F117" s="2" t="str">
        <x:v>Headphones</x:v>
      </x:c>
      <x:c r="G117" s="2" t="str">
        <x:v>Online</x:v>
      </x:c>
      <x:c r="H117" s="2" t="n">
        <x:v>1</x:v>
      </x:c>
      <x:c r="I117" s="2" t="n">
        <x:v>18000</x:v>
      </x:c>
      <x:c r="J117" s="2" t="n">
        <x:v>10500</x:v>
      </x:c>
      <x:c r="K117" s="2" t="n">
        <x:v>0</x:v>
      </x:c>
      <x:c r="L117" s="2" t="str">
        <x:v>Completed</x:v>
      </x:c>
    </x:row>
    <x:row r="118" ht="21" customHeight="1">
      <x:c r="A118" s="2" t="n">
        <x:v>113</x:v>
      </x:c>
      <x:c r="B118" s="2" t="str">
        <x:v>TXN-00113</x:v>
      </x:c>
      <x:c r="C118" s="2" t="str">
        <x:v>2025-02-03</x:v>
      </x:c>
      <x:c r="D118" s="2" t="str">
        <x:v> port harcourt </x:v>
      </x:c>
      <x:c r="E118" s="2" t="str">
        <x:v>Fashion</x:v>
      </x:c>
      <x:c r="F118" s="2" t="str">
        <x:v>Sneakers</x:v>
      </x:c>
      <x:c r="G118" s="2" t="str">
        <x:v>Online</x:v>
      </x:c>
      <x:c r="H118" s="2" t="n">
        <x:v>2</x:v>
      </x:c>
      <x:c r="I118" s="2" t="n">
        <x:v>28000</x:v>
      </x:c>
      <x:c r="J118" s="2" t="n">
        <x:v>17500</x:v>
      </x:c>
      <x:c r="K118" s="2" t="n">
        <x:v>0.05</x:v>
      </x:c>
      <x:c r="L118" s="2" t="str">
        <x:v>Completed</x:v>
      </x:c>
    </x:row>
    <x:row r="119" ht="21" customHeight="1">
      <x:c r="A119" s="2" t="n">
        <x:v>114</x:v>
      </x:c>
      <x:c r="B119" s="2" t="str">
        <x:v>TXN-00114</x:v>
      </x:c>
      <x:c r="C119" s="2" t="str">
        <x:v>2025-02-11</x:v>
      </x:c>
      <x:c r="D119" s="2" t="str">
        <x:v>Lagos</x:v>
      </x:c>
      <x:c r="E119" s="2" t="str">
        <x:v>Electronics</x:v>
      </x:c>
      <x:c r="F119" s="2" t="str">
        <x:v>Headphones</x:v>
      </x:c>
      <x:c r="G119" s="2" t="str">
        <x:v>Online</x:v>
      </x:c>
      <x:c r="H119" s="2" t="n">
        <x:v>1</x:v>
      </x:c>
      <x:c r="I119" s="2" t="n">
        <x:v>18000</x:v>
      </x:c>
      <x:c r="J119" s="2" t="n">
        <x:v>10500</x:v>
      </x:c>
      <x:c r="K119" s="2" t="n">
        <x:v>0</x:v>
      </x:c>
      <x:c r="L119" s="2" t="str">
        <x:v>Completed</x:v>
      </x:c>
    </x:row>
    <x:row r="120" ht="21" customHeight="1">
      <x:c r="A120" s="2" t="n">
        <x:v>115</x:v>
      </x:c>
      <x:c r="B120" s="2" t="str">
        <x:v>TXN-00115</x:v>
      </x:c>
      <x:c r="C120" s="2" t="str">
        <x:v>2025-02-14</x:v>
      </x:c>
      <x:c r="D120" s="2" t="str">
        <x:v>Abuja</x:v>
      </x:c>
      <x:c r="E120" s="2" t="str">
        <x:v>Electronics</x:v>
      </x:c>
      <x:c r="F120" s="2" t="str">
        <x:v>Power bank</x:v>
      </x:c>
      <x:c r="G120" s="2" t="str">
        <x:v>Online</x:v>
      </x:c>
      <x:c r="H120" s="2" t="n">
        <x:v>2</x:v>
      </x:c>
      <x:c r="I120" s="2" t="n">
        <x:v>15000</x:v>
      </x:c>
      <x:c r="J120" s="2" t="n">
        <x:v>9500</x:v>
      </x:c>
      <x:c r="K120" s="2" t="n">
        <x:v>0</x:v>
      </x:c>
      <x:c r="L120" s="2" t="str">
        <x:v>Returned</x:v>
      </x:c>
    </x:row>
    <x:row r="121" ht="21" customHeight="1">
      <x:c r="A121" s="2" t="n">
        <x:v>116</x:v>
      </x:c>
      <x:c r="B121" s="2" t="str">
        <x:v>TXN-00116</x:v>
      </x:c>
      <x:c r="C121" s="2" t="str">
        <x:v>2025-02-01</x:v>
      </x:c>
      <x:c r="D121" s="2" t="str">
        <x:v>Lagos</x:v>
      </x:c>
      <x:c r="E121" s="2" t="str">
        <x:v>Fashion</x:v>
      </x:c>
      <x:c r="F121" s="2" t="str">
        <x:v>Handbag</x:v>
      </x:c>
      <x:c r="G121" s="2" t="str">
        <x:v>In-store</x:v>
      </x:c>
      <x:c r="H121" s="2" t="n">
        <x:v>1</x:v>
      </x:c>
      <x:c r="I121" s="2" t="n">
        <x:v>22000</x:v>
      </x:c>
      <x:c r="J121" s="2" t="n">
        <x:v>13500</x:v>
      </x:c>
      <x:c r="K121" s="2" t="n">
        <x:v>0</x:v>
      </x:c>
      <x:c r="L121" s="2" t="str">
        <x:v>Returned</x:v>
      </x:c>
    </x:row>
    <x:row r="122" ht="21" customHeight="1">
      <x:c r="A122" s="2" t="n">
        <x:v>117</x:v>
      </x:c>
      <x:c r="B122" s="2" t="str">
        <x:v>TXN-00117</x:v>
      </x:c>
      <x:c r="C122" s="2" t="str">
        <x:v>2025-02-26</x:v>
      </x:c>
      <x:c r="D122" s="2" t="str">
        <x:v>Port Harcourt</x:v>
      </x:c>
      <x:c r="E122" s="2" t="str">
        <x:v>Electronics</x:v>
      </x:c>
      <x:c r="F122" s="2" t="str">
        <x:v>Headphones</x:v>
      </x:c>
      <x:c r="G122" s="2" t="str">
        <x:v>In-store</x:v>
      </x:c>
      <x:c r="H122" s="2" t="n">
        <x:v>1</x:v>
      </x:c>
      <x:c r="I122" s="2" t="n">
        <x:v>18000</x:v>
      </x:c>
      <x:c r="J122" s="2" t="n">
        <x:v>10500</x:v>
      </x:c>
      <x:c r="K122" s="2" t="n">
        <x:v>0</x:v>
      </x:c>
      <x:c r="L122" s="2" t="str">
        <x:v>Completed</x:v>
      </x:c>
    </x:row>
    <x:row r="123" ht="21" customHeight="1">
      <x:c r="A123" s="2" t="n">
        <x:v>118</x:v>
      </x:c>
      <x:c r="B123" s="2" t="str">
        <x:v>TXN-00118</x:v>
      </x:c>
      <x:c r="C123" s="2" t="str">
        <x:v>2025-02-18</x:v>
      </x:c>
      <x:c r="D123" s="2" t="str">
        <x:v>Port Harcourt</x:v>
      </x:c>
      <x:c r="E123" s="2" t="str">
        <x:v>Electronics</x:v>
      </x:c>
      <x:c r="F123" s="2" t="str">
        <x:v>Bluetooth speaker</x:v>
      </x:c>
      <x:c r="G123" s="2" t="str">
        <x:v>Online</x:v>
      </x:c>
      <x:c r="H123" s="2" t="n">
        <x:v>1</x:v>
      </x:c>
      <x:c r="I123" s="2" t="n">
        <x:v>26000</x:v>
      </x:c>
      <x:c r="J123" s="2" t="n">
        <x:v>17000</x:v>
      </x:c>
      <x:c r="K123" s="2" t="n">
        <x:v>0</x:v>
      </x:c>
      <x:c r="L123" s="2" t="str">
        <x:v> COMPLETED </x:v>
      </x:c>
    </x:row>
    <x:row r="124" ht="21" customHeight="1">
      <x:c r="A124" s="2" t="n">
        <x:v>119</x:v>
      </x:c>
      <x:c r="B124" s="2" t="str">
        <x:v>TXN-00119</x:v>
      </x:c>
      <x:c r="C124" s="2" t="str">
        <x:v>2025-02-10</x:v>
      </x:c>
      <x:c r="D124" s="2" t="str">
        <x:v>Kano</x:v>
      </x:c>
      <x:c r="E124" s="2" t="str">
        <x:v>Fashion</x:v>
      </x:c>
      <x:c r="F124" s="2" t="str">
        <x:v>T-shirt</x:v>
      </x:c>
      <x:c r="G124" s="2" t="str">
        <x:v>Online</x:v>
      </x:c>
      <x:c r="H124" s="2" t="n">
        <x:v>2</x:v>
      </x:c>
      <x:c r="I124" s="2" t="n">
        <x:v>9000</x:v>
      </x:c>
      <x:c r="J124" s="2" t="n">
        <x:v>5000</x:v>
      </x:c>
      <x:c r="K124" s="2" t="n">
        <x:v>0.1</x:v>
      </x:c>
      <x:c r="L124" s="2" t="str">
        <x:v>Completed</x:v>
      </x:c>
    </x:row>
    <x:row r="125" ht="21" customHeight="1">
      <x:c r="A125" s="2" t="n">
        <x:v>120</x:v>
      </x:c>
      <x:c r="B125" s="2" t="str">
        <x:v>TXN-00120</x:v>
      </x:c>
      <x:c r="C125" s="2" t="str">
        <x:v>2025-02-20</x:v>
      </x:c>
      <x:c r="D125" s="2" t="str">
        <x:v> abuja </x:v>
      </x:c>
      <x:c r="E125" s="2" t="str">
        <x:v>Home</x:v>
      </x:c>
      <x:c r="F125" s="2" t="str">
        <x:v>Cookware set</x:v>
      </x:c>
      <x:c r="G125" s="2" t="str">
        <x:v>In-store</x:v>
      </x:c>
      <x:c r="H125" s="2" t="n">
        <x:v>1</x:v>
      </x:c>
      <x:c r="I125" s="2" t="n">
        <x:v>35000</x:v>
      </x:c>
      <x:c r="J125" s="2" t="n">
        <x:v>22500</x:v>
      </x:c>
      <x:c r="K125" s="2" t="n">
        <x:v>0</x:v>
      </x:c>
      <x:c r="L125" s="2" t="str">
        <x:v>Completed</x:v>
      </x:c>
    </x:row>
    <x:row r="126" ht="21" customHeight="1">
      <x:c r="A126" s="2" t="n">
        <x:v>121</x:v>
      </x:c>
      <x:c r="B126" s="2" t="str">
        <x:v>TXN-00121</x:v>
      </x:c>
      <x:c r="C126" s="2" t="str">
        <x:v>2025-02-28</x:v>
      </x:c>
      <x:c r="D126" s="2" t="str">
        <x:v>Lagos</x:v>
      </x:c>
      <x:c r="E126" s="2" t="str">
        <x:v>Beauty</x:v>
      </x:c>
      <x:c r="F126" s="2" t="str">
        <x:v>Perfume</x:v>
      </x:c>
      <x:c r="G126" s="2" t="str">
        <x:v>Online</x:v>
      </x:c>
      <x:c r="H126" s="2" t="n">
        <x:v>1</x:v>
      </x:c>
      <x:c r="I126" s="2" t="n">
        <x:v>17000</x:v>
      </x:c>
      <x:c r="J126" s="2" t="n">
        <x:v>9000</x:v>
      </x:c>
      <x:c r="K126" s="2" t="n">
        <x:v>0.05</x:v>
      </x:c>
      <x:c r="L126" s="2" t="str">
        <x:v>Completed</x:v>
      </x:c>
    </x:row>
    <x:row r="127" ht="21" customHeight="1">
      <x:c r="A127" s="2" t="n">
        <x:v>122</x:v>
      </x:c>
      <x:c r="B127" s="2" t="str">
        <x:v>TXN-00122</x:v>
      </x:c>
      <x:c r="C127" s="2" t="str">
        <x:v>2025-02-07</x:v>
      </x:c>
      <x:c r="D127" s="2" t="str">
        <x:v>Lagos</x:v>
      </x:c>
      <x:c r="E127" s="2" t="str">
        <x:v>Fashion</x:v>
      </x:c>
      <x:c r="F127" s="2" t="str">
        <x:v>T-shirt</x:v>
      </x:c>
      <x:c r="G127" s="2" t="str">
        <x:v> online </x:v>
      </x:c>
      <x:c r="H127" s="2" t="n">
        <x:v>2</x:v>
      </x:c>
      <x:c r="I127" s="2" t="n">
        <x:v>9000</x:v>
      </x:c>
      <x:c r="J127" s="2" t="n">
        <x:v>5000</x:v>
      </x:c>
      <x:c r="K127" s="2" t="n">
        <x:v>0.1</x:v>
      </x:c>
      <x:c r="L127" s="2" t="str">
        <x:v>Completed</x:v>
      </x:c>
    </x:row>
    <x:row r="128" ht="21" customHeight="1">
      <x:c r="A128" s="2" t="n">
        <x:v>123</x:v>
      </x:c>
      <x:c r="B128" s="2" t="str">
        <x:v>TXN-00123</x:v>
      </x:c>
      <x:c r="C128" s="2" t="str">
        <x:v>2025-02-25</x:v>
      </x:c>
      <x:c r="D128" s="2" t="str">
        <x:v>Lagos</x:v>
      </x:c>
      <x:c r="E128" s="2" t="str">
        <x:v>Fashion</x:v>
      </x:c>
      <x:c r="F128" s="2" t="str">
        <x:v>Sneakers</x:v>
      </x:c>
      <x:c r="G128" s="2" t="str">
        <x:v>In-store</x:v>
      </x:c>
      <x:c r="H128" s="2" t="n">
        <x:v>1</x:v>
      </x:c>
      <x:c r="I128" s="2" t="n">
        <x:v>28000</x:v>
      </x:c>
      <x:c r="J128" s="2" t="n">
        <x:v>17500</x:v>
      </x:c>
      <x:c r="K128" s="2" t="n">
        <x:v>0.15</x:v>
      </x:c>
      <x:c r="L128" s="2" t="str">
        <x:v>Completed</x:v>
      </x:c>
    </x:row>
    <x:row r="129" ht="21" customHeight="1">
      <x:c r="A129" s="2" t="n">
        <x:v>124</x:v>
      </x:c>
      <x:c r="B129" s="2" t="str">
        <x:v>TXN-00124</x:v>
      </x:c>
      <x:c r="C129" s="2" t="str">
        <x:v>2025-02-24</x:v>
      </x:c>
      <x:c r="D129" s="2" t="str">
        <x:v>Lagos</x:v>
      </x:c>
      <x:c r="E129" s="2" t="str">
        <x:v>Electronics</x:v>
      </x:c>
      <x:c r="F129" s="2" t="str">
        <x:v>Power bank</x:v>
      </x:c>
      <x:c r="G129" s="2" t="str">
        <x:v>Online</x:v>
      </x:c>
      <x:c r="H129" s="2" t="n">
        <x:v>3</x:v>
      </x:c>
      <x:c r="I129" s="2" t="n">
        <x:v>15000</x:v>
      </x:c>
      <x:c r="J129" s="2" t="n">
        <x:v>9500</x:v>
      </x:c>
      <x:c r="K129" s="2" t="n">
        <x:v>0.05</x:v>
      </x:c>
      <x:c r="L129" s="2" t="str">
        <x:v>Returned</x:v>
      </x:c>
    </x:row>
    <x:row r="130" ht="21" customHeight="1">
      <x:c r="A130" s="2" t="n">
        <x:v>125</x:v>
      </x:c>
      <x:c r="B130" s="2" t="str">
        <x:v>TXN-00125</x:v>
      </x:c>
      <x:c r="C130" s="2" t="str">
        <x:v>2025-02-11</x:v>
      </x:c>
      <x:c r="D130" s="2" t="str">
        <x:v>Abuja</x:v>
      </x:c>
      <x:c r="E130" s="2" t="str">
        <x:v>Fashion</x:v>
      </x:c>
      <x:c r="F130" s="2" t="str">
        <x:v>T-shirt</x:v>
      </x:c>
      <x:c r="G130" s="2" t="str">
        <x:v>Online</x:v>
      </x:c>
      <x:c r="H130" s="2" t="n">
        <x:v>1</x:v>
      </x:c>
      <x:c r="I130" s="2" t="n">
        <x:v>9000</x:v>
      </x:c>
      <x:c r="J130" s="2" t="n">
        <x:v>5000</x:v>
      </x:c>
      <x:c r="K130" s="2" t="n">
        <x:v>0</x:v>
      </x:c>
      <x:c r="L130" s="2" t="str">
        <x:v>Completed</x:v>
      </x:c>
    </x:row>
    <x:row r="131" ht="21" customHeight="1">
      <x:c r="A131" s="2" t="n">
        <x:v>126</x:v>
      </x:c>
      <x:c r="B131" s="2" t="str">
        <x:v>TXN-00126</x:v>
      </x:c>
      <x:c r="C131" s="2" t="str">
        <x:v>2025-02-16</x:v>
      </x:c>
      <x:c r="D131" s="2" t="str">
        <x:v>Port Harcourt</x:v>
      </x:c>
      <x:c r="E131" s="2" t="str">
        <x:v>Fashion</x:v>
      </x:c>
      <x:c r="F131" s="2" t="str">
        <x:v>Sneakers</x:v>
      </x:c>
      <x:c r="G131" s="2" t="str">
        <x:v>In-store</x:v>
      </x:c>
      <x:c r="H131" s="2" t="n">
        <x:v>1</x:v>
      </x:c>
      <x:c r="I131" s="2" t="n">
        <x:v>28000</x:v>
      </x:c>
      <x:c r="J131" s="2" t="n">
        <x:v>17500</x:v>
      </x:c>
      <x:c r="K131" s="2" t="n">
        <x:v>0</x:v>
      </x:c>
      <x:c r="L131" s="2" t="str">
        <x:v>Returned</x:v>
      </x:c>
    </x:row>
    <x:row r="132" ht="21" customHeight="1">
      <x:c r="A132" s="2" t="n">
        <x:v>127</x:v>
      </x:c>
      <x:c r="B132" s="2" t="str">
        <x:v>TXN-00127</x:v>
      </x:c>
      <x:c r="C132" s="2" t="str">
        <x:v>2025-02-12</x:v>
      </x:c>
      <x:c r="D132" s="2" t="str">
        <x:v> lagos </x:v>
      </x:c>
      <x:c r="E132" s="2" t="str">
        <x:v>Electronics</x:v>
      </x:c>
      <x:c r="F132" s="2" t="str">
        <x:v>Power bank</x:v>
      </x:c>
      <x:c r="G132" s="2" t="str">
        <x:v>In-store</x:v>
      </x:c>
      <x:c r="H132" s="2" t="n">
        <x:v>1</x:v>
      </x:c>
      <x:c r="I132" s="2" t="n">
        <x:v>15000</x:v>
      </x:c>
      <x:c r="J132" s="2" t="n">
        <x:v>9500</x:v>
      </x:c>
      <x:c r="K132" s="2" t="n">
        <x:v>0.1</x:v>
      </x:c>
      <x:c r="L132" s="2" t="str">
        <x:v> COMPLETED </x:v>
      </x:c>
    </x:row>
    <x:row r="133" ht="21" customHeight="1">
      <x:c r="A133" s="2" t="n">
        <x:v>128</x:v>
      </x:c>
      <x:c r="B133" s="2" t="str">
        <x:v>TXN-00128</x:v>
      </x:c>
      <x:c r="C133" s="2" t="str">
        <x:v>2025-02-07</x:v>
      </x:c>
      <x:c r="D133" s="2" t="str">
        <x:v>Lagos</x:v>
      </x:c>
      <x:c r="E133" s="2" t="str">
        <x:v>Electronics</x:v>
      </x:c>
      <x:c r="F133" s="2" t="str">
        <x:v>Power bank</x:v>
      </x:c>
      <x:c r="G133" s="2" t="str">
        <x:v>Online</x:v>
      </x:c>
      <x:c r="H133" s="2" t="n">
        <x:v>1</x:v>
      </x:c>
      <x:c r="I133" s="2" t="n">
        <x:v>15000</x:v>
      </x:c>
      <x:c r="J133" s="2" t="n">
        <x:v>9500</x:v>
      </x:c>
      <x:c r="K133" s="2" t="n">
        <x:v>0</x:v>
      </x:c>
      <x:c r="L133" s="2" t="str">
        <x:v>Completed</x:v>
      </x:c>
    </x:row>
    <x:row r="134" ht="21" customHeight="1">
      <x:c r="A134" s="2" t="n">
        <x:v>129</x:v>
      </x:c>
      <x:c r="B134" s="2" t="str">
        <x:v>TXN-00129</x:v>
      </x:c>
      <x:c r="C134" s="2" t="str">
        <x:v>2025-02-04</x:v>
      </x:c>
      <x:c r="D134" s="2" t="str">
        <x:v>Lagos</x:v>
      </x:c>
      <x:c r="E134" s="2" t="str">
        <x:v>Fashion</x:v>
      </x:c>
      <x:c r="F134" s="2" t="str">
        <x:v>Sneakers</x:v>
      </x:c>
      <x:c r="G134" s="2" t="str">
        <x:v>In-store</x:v>
      </x:c>
      <x:c r="H134" s="2" t="n">
        <x:v>3</x:v>
      </x:c>
      <x:c r="I134" s="2" t="n">
        <x:v>28000</x:v>
      </x:c>
      <x:c r="J134" s="2" t="n">
        <x:v>17500</x:v>
      </x:c>
      <x:c r="K134" s="2" t="n">
        <x:v>0.1</x:v>
      </x:c>
      <x:c r="L134" s="2" t="str">
        <x:v>Completed</x:v>
      </x:c>
    </x:row>
    <x:row r="135" ht="21" customHeight="1">
      <x:c r="A135" s="2" t="n">
        <x:v>130</x:v>
      </x:c>
      <x:c r="B135" s="2" t="str">
        <x:v>TXN-00130</x:v>
      </x:c>
      <x:c r="C135" s="2" t="str">
        <x:v>2025-02-11</x:v>
      </x:c>
      <x:c r="D135" s="2" t="str">
        <x:v>Lagos</x:v>
      </x:c>
      <x:c r="E135" s="2" t="str">
        <x:v>Fashion</x:v>
      </x:c>
      <x:c r="F135" s="2" t="str">
        <x:v>T-shirt</x:v>
      </x:c>
      <x:c r="G135" s="2" t="str">
        <x:v>Online</x:v>
      </x:c>
      <x:c r="H135" s="2" t="n">
        <x:v>3</x:v>
      </x:c>
      <x:c r="I135" s="2" t="n">
        <x:v>9000</x:v>
      </x:c>
      <x:c r="J135" s="2" t="n">
        <x:v>5000</x:v>
      </x:c>
      <x:c r="K135" s="2" t="n">
        <x:v>0</x:v>
      </x:c>
      <x:c r="L135" s="2" t="str">
        <x:v>Completed</x:v>
      </x:c>
    </x:row>
    <x:row r="136" ht="21" customHeight="1">
      <x:c r="A136" s="2" t="n">
        <x:v>131</x:v>
      </x:c>
      <x:c r="B136" s="2" t="str">
        <x:v>TXN-00131</x:v>
      </x:c>
      <x:c r="C136" s="2" t="str">
        <x:v>2025-02-09</x:v>
      </x:c>
      <x:c r="D136" s="2" t="str">
        <x:v>Lagos</x:v>
      </x:c>
      <x:c r="E136" s="2" t="str">
        <x:v>Fashion</x:v>
      </x:c>
      <x:c r="F136" s="2" t="str">
        <x:v>T-shirt</x:v>
      </x:c>
      <x:c r="G136" s="2" t="str">
        <x:v>Online</x:v>
      </x:c>
      <x:c r="H136" s="2" t="n">
        <x:v>2</x:v>
      </x:c>
      <x:c r="I136" s="2" t="n">
        <x:v>9000</x:v>
      </x:c>
      <x:c r="J136" s="2" t="n">
        <x:v>5000</x:v>
      </x:c>
      <x:c r="K136" s="2" t="n">
        <x:v>0.15</x:v>
      </x:c>
      <x:c r="L136" s="2" t="str">
        <x:v>Completed</x:v>
      </x:c>
    </x:row>
    <x:row r="137" ht="21" customHeight="1">
      <x:c r="A137" s="2" t="n">
        <x:v>132</x:v>
      </x:c>
      <x:c r="B137" s="2" t="str">
        <x:v>TXN-00132</x:v>
      </x:c>
      <x:c r="C137" s="2" t="str">
        <x:v>2025-02-07</x:v>
      </x:c>
      <x:c r="D137" s="2" t="str">
        <x:v>Abuja</x:v>
      </x:c>
      <x:c r="E137" s="2" t="str">
        <x:v>Electronics</x:v>
      </x:c>
      <x:c r="F137" s="2" t="str">
        <x:v>Power bank</x:v>
      </x:c>
      <x:c r="G137" s="2" t="str">
        <x:v>Online</x:v>
      </x:c>
      <x:c r="H137" s="2" t="n">
        <x:v>1</x:v>
      </x:c>
      <x:c r="I137" s="2" t="n">
        <x:v>15000</x:v>
      </x:c>
      <x:c r="J137" s="2" t="n">
        <x:v>9500</x:v>
      </x:c>
      <x:c r="K137" s="2" t="n">
        <x:v>0.05</x:v>
      </x:c>
      <x:c r="L137" s="2" t="str">
        <x:v>Completed</x:v>
      </x:c>
    </x:row>
    <x:row r="138" ht="21" customHeight="1">
      <x:c r="A138" s="2" t="n">
        <x:v>133</x:v>
      </x:c>
      <x:c r="B138" s="2" t="str">
        <x:v>TXN-00133</x:v>
      </x:c>
      <x:c r="C138" s="2" t="str">
        <x:v>2025-02-22</x:v>
      </x:c>
      <x:c r="D138" s="2" t="str">
        <x:v>Abuja</x:v>
      </x:c>
      <x:c r="E138" s="2" t="str">
        <x:v>Fashion</x:v>
      </x:c>
      <x:c r="F138" s="2" t="str">
        <x:v>T-shirt</x:v>
      </x:c>
      <x:c r="G138" s="2" t="str">
        <x:v> in-store </x:v>
      </x:c>
      <x:c r="H138" s="2" t="n">
        <x:v>2</x:v>
      </x:c>
      <x:c r="I138" s="2" t="n">
        <x:v>9000</x:v>
      </x:c>
      <x:c r="J138" s="2" t="n">
        <x:v>5000</x:v>
      </x:c>
      <x:c r="K138" s="2" t="n">
        <x:v>0</x:v>
      </x:c>
      <x:c r="L138" s="2" t="str">
        <x:v>Completed</x:v>
      </x:c>
    </x:row>
    <x:row r="139" ht="21" customHeight="1">
      <x:c r="A139" s="2" t="n">
        <x:v>134</x:v>
      </x:c>
      <x:c r="B139" s="2" t="str">
        <x:v>TXN-00134</x:v>
      </x:c>
      <x:c r="C139" s="2" t="str">
        <x:v>2025-02-23</x:v>
      </x:c>
      <x:c r="D139" s="2" t="str">
        <x:v> kano </x:v>
      </x:c>
      <x:c r="E139" s="2" t="str">
        <x:v>Fashion</x:v>
      </x:c>
      <x:c r="F139" s="2" t="str">
        <x:v>Sneakers</x:v>
      </x:c>
      <x:c r="G139" s="2" t="str">
        <x:v>Online</x:v>
      </x:c>
      <x:c r="H139" s="2" t="n">
        <x:v>3</x:v>
      </x:c>
      <x:c r="I139" s="2" t="n">
        <x:v>28000</x:v>
      </x:c>
      <x:c r="J139" s="2" t="n">
        <x:v>17500</x:v>
      </x:c>
      <x:c r="K139" s="2" t="n">
        <x:v>0</x:v>
      </x:c>
      <x:c r="L139" s="2" t="str">
        <x:v>Completed</x:v>
      </x:c>
    </x:row>
    <x:row r="140" ht="21" customHeight="1">
      <x:c r="A140" s="2" t="n">
        <x:v>135</x:v>
      </x:c>
      <x:c r="B140" s="2" t="str">
        <x:v>TXN-00135</x:v>
      </x:c>
      <x:c r="C140" s="2" t="str">
        <x:v>2025-02-11</x:v>
      </x:c>
      <x:c r="D140" s="2" t="str">
        <x:v>Kano</x:v>
      </x:c>
      <x:c r="E140" s="2" t="str">
        <x:v>Home</x:v>
      </x:c>
      <x:c r="F140" s="2" t="str">
        <x:v>Bedsheet</x:v>
      </x:c>
      <x:c r="G140" s="2" t="str">
        <x:v>Online</x:v>
      </x:c>
      <x:c r="H140" s="2" t="n">
        <x:v>2</x:v>
      </x:c>
      <x:c r="I140" s="2" t="n">
        <x:v>14000</x:v>
      </x:c>
      <x:c r="J140" s="2" t="n">
        <x:v>8500</x:v>
      </x:c>
      <x:c r="K140" s="2" t="n">
        <x:v>0.1</x:v>
      </x:c>
      <x:c r="L140" s="2" t="str">
        <x:v>Completed</x:v>
      </x:c>
    </x:row>
    <x:row r="141" ht="21" customHeight="1">
      <x:c r="A141" s="2" t="n">
        <x:v>136</x:v>
      </x:c>
      <x:c r="B141" s="2" t="str">
        <x:v>TXN-00136</x:v>
      </x:c>
      <x:c r="C141" s="2" t="str">
        <x:v>2025-02-06</x:v>
      </x:c>
      <x:c r="D141" s="2" t="str">
        <x:v>Lagos</x:v>
      </x:c>
      <x:c r="E141" s="2" t="str">
        <x:v>Home</x:v>
      </x:c>
      <x:c r="F141" s="2" t="str">
        <x:v>Cookware set</x:v>
      </x:c>
      <x:c r="G141" s="2" t="str">
        <x:v>In-store</x:v>
      </x:c>
      <x:c r="H141" s="2" t="n">
        <x:v>1</x:v>
      </x:c>
      <x:c r="I141" s="2" t="n">
        <x:v>35000</x:v>
      </x:c>
      <x:c r="J141" s="2" t="n">
        <x:v>22500</x:v>
      </x:c>
      <x:c r="K141" s="2" t="n">
        <x:v>0</x:v>
      </x:c>
      <x:c r="L141" s="2" t="str">
        <x:v> COMPLETED </x:v>
      </x:c>
    </x:row>
    <x:row r="142" ht="21" customHeight="1">
      <x:c r="A142" s="2" t="n">
        <x:v>137</x:v>
      </x:c>
      <x:c r="B142" s="2" t="str">
        <x:v>TXN-00137</x:v>
      </x:c>
      <x:c r="C142" s="2" t="str">
        <x:v>2025-02-17</x:v>
      </x:c>
      <x:c r="D142" s="2" t="str">
        <x:v>Lagos</x:v>
      </x:c>
      <x:c r="E142" s="2" t="str">
        <x:v>Fashion</x:v>
      </x:c>
      <x:c r="F142" s="2" t="str">
        <x:v>Sneakers</x:v>
      </x:c>
      <x:c r="G142" s="2" t="str">
        <x:v>In-store</x:v>
      </x:c>
      <x:c r="H142" s="2" t="n">
        <x:v>2</x:v>
      </x:c>
      <x:c r="I142" s="2" t="n">
        <x:v>28000</x:v>
      </x:c>
      <x:c r="J142" s="2" t="n">
        <x:v>17500</x:v>
      </x:c>
      <x:c r="K142" s="2" t="n">
        <x:v>0</x:v>
      </x:c>
      <x:c r="L142" s="2" t="str">
        <x:v>Completed</x:v>
      </x:c>
    </x:row>
    <x:row r="143" ht="21" customHeight="1">
      <x:c r="A143" s="2" t="n">
        <x:v>138</x:v>
      </x:c>
      <x:c r="B143" s="2" t="str">
        <x:v>TXN-00138</x:v>
      </x:c>
      <x:c r="C143" s="2" t="str">
        <x:v>2025-02-21</x:v>
      </x:c>
      <x:c r="D143" s="2" t="str">
        <x:v>Kano</x:v>
      </x:c>
      <x:c r="E143" s="2" t="str">
        <x:v>Home</x:v>
      </x:c>
      <x:c r="F143" s="2" t="str">
        <x:v>Cookware set</x:v>
      </x:c>
      <x:c r="G143" s="2" t="str">
        <x:v>Online</x:v>
      </x:c>
      <x:c r="H143" s="2" t="n">
        <x:v>3</x:v>
      </x:c>
      <x:c r="I143" s="2" t="n">
        <x:v>35000</x:v>
      </x:c>
      <x:c r="J143" s="2" t="n">
        <x:v>22500</x:v>
      </x:c>
      <x:c r="K143" s="2" t="n">
        <x:v>0</x:v>
      </x:c>
      <x:c r="L143" s="2" t="str">
        <x:v>Completed</x:v>
      </x:c>
    </x:row>
    <x:row r="144" ht="21" customHeight="1">
      <x:c r="A144" s="2" t="n">
        <x:v>139</x:v>
      </x:c>
      <x:c r="B144" s="2" t="str">
        <x:v>TXN-00139</x:v>
      </x:c>
      <x:c r="C144" s="2" t="str">
        <x:v>2025-02-03</x:v>
      </x:c>
      <x:c r="D144" s="2" t="str">
        <x:v>Lagos</x:v>
      </x:c>
      <x:c r="E144" s="2" t="str">
        <x:v>Electronics</x:v>
      </x:c>
      <x:c r="F144" s="2" t="str">
        <x:v>Headphones</x:v>
      </x:c>
      <x:c r="G144" s="2" t="str">
        <x:v>In-store</x:v>
      </x:c>
      <x:c r="H144" s="2" t="n">
        <x:v>1</x:v>
      </x:c>
      <x:c r="I144" s="2" t="n">
        <x:v>18000</x:v>
      </x:c>
      <x:c r="J144" s="2" t="n">
        <x:v>10500</x:v>
      </x:c>
      <x:c r="K144" s="2" t="n">
        <x:v>0</x:v>
      </x:c>
      <x:c r="L144" s="2" t="str">
        <x:v>Completed</x:v>
      </x:c>
    </x:row>
    <x:row r="145" ht="21" customHeight="1">
      <x:c r="A145" s="2" t="n">
        <x:v>140</x:v>
      </x:c>
      <x:c r="B145" s="2" t="str">
        <x:v>TXN-00140</x:v>
      </x:c>
      <x:c r="C145" s="2" t="str">
        <x:v>2025-02-27</x:v>
      </x:c>
      <x:c r="D145" s="2" t="str">
        <x:v>Port Harcourt</x:v>
      </x:c>
      <x:c r="E145" s="2" t="str">
        <x:v>Electronics</x:v>
      </x:c>
      <x:c r="F145" s="2" t="str">
        <x:v>Headphones</x:v>
      </x:c>
      <x:c r="G145" s="2" t="str">
        <x:v>Online</x:v>
      </x:c>
      <x:c r="H145" s="2" t="n">
        <x:v>1</x:v>
      </x:c>
      <x:c r="I145" s="2" t="n">
        <x:v>18000</x:v>
      </x:c>
      <x:c r="J145" s="2" t="n">
        <x:v>10500</x:v>
      </x:c>
      <x:c r="K145" s="2" t="n">
        <x:v>0</x:v>
      </x:c>
      <x:c r="L145" s="2" t="str">
        <x:v>Completed</x:v>
      </x:c>
    </x:row>
    <x:row r="146" ht="21" customHeight="1">
      <x:c r="A146" s="2" t="n">
        <x:v>141</x:v>
      </x:c>
      <x:c r="B146" s="2" t="str">
        <x:v>TXN-00141</x:v>
      </x:c>
      <x:c r="C146" s="2" t="str">
        <x:v>2025-02-14</x:v>
      </x:c>
      <x:c r="D146" s="2" t="str">
        <x:v> abuja </x:v>
      </x:c>
      <x:c r="E146" s="2" t="str">
        <x:v>Electronics</x:v>
      </x:c>
      <x:c r="F146" s="2" t="str">
        <x:v>Power bank</x:v>
      </x:c>
      <x:c r="G146" s="2" t="str">
        <x:v>In-store</x:v>
      </x:c>
      <x:c r="H146" s="2" t="n">
        <x:v>1</x:v>
      </x:c>
      <x:c r="I146" s="2" t="n">
        <x:v>15000</x:v>
      </x:c>
      <x:c r="J146" s="2" t="n">
        <x:v>9500</x:v>
      </x:c>
      <x:c r="K146" s="2" t="n">
        <x:v>0</x:v>
      </x:c>
      <x:c r="L146" s="2" t="str">
        <x:v>Completed</x:v>
      </x:c>
    </x:row>
    <x:row r="147" ht="21" customHeight="1">
      <x:c r="A147" s="2" t="n">
        <x:v>142</x:v>
      </x:c>
      <x:c r="B147" s="2" t="str">
        <x:v>TXN-00142</x:v>
      </x:c>
      <x:c r="C147" s="2" t="str">
        <x:v>2025-02-08</x:v>
      </x:c>
      <x:c r="D147" s="2" t="str">
        <x:v>Kano</x:v>
      </x:c>
      <x:c r="E147" s="2" t="str">
        <x:v>Beauty</x:v>
      </x:c>
      <x:c r="F147" s="2" t="str">
        <x:v>Body wash</x:v>
      </x:c>
      <x:c r="G147" s="2" t="str">
        <x:v>In-store</x:v>
      </x:c>
      <x:c r="H147" s="2" t="n">
        <x:v>1</x:v>
      </x:c>
      <x:c r="I147" s="2" t="n">
        <x:v>4500</x:v>
      </x:c>
      <x:c r="J147" s="2" t="n">
        <x:v>2300</x:v>
      </x:c>
      <x:c r="K147" s="2" t="n">
        <x:v>0.05</x:v>
      </x:c>
      <x:c r="L147" s="2" t="str">
        <x:v>Completed</x:v>
      </x:c>
    </x:row>
    <x:row r="148" ht="21" customHeight="1">
      <x:c r="A148" s="2" t="n">
        <x:v>143</x:v>
      </x:c>
      <x:c r="B148" s="2" t="str">
        <x:v>TXN-00143</x:v>
      </x:c>
      <x:c r="C148" s="2" t="str">
        <x:v>2025-02-03</x:v>
      </x:c>
      <x:c r="D148" s="2" t="str">
        <x:v>Lagos</x:v>
      </x:c>
      <x:c r="E148" s="2" t="str">
        <x:v>Home</x:v>
      </x:c>
      <x:c r="F148" s="2" t="str">
        <x:v>Desk lamp</x:v>
      </x:c>
      <x:c r="G148" s="2" t="str">
        <x:v>In-store</x:v>
      </x:c>
      <x:c r="H148" s="2" t="n">
        <x:v>2</x:v>
      </x:c>
      <x:c r="I148" s="2" t="n">
        <x:v>12000</x:v>
      </x:c>
      <x:c r="J148" s="2" t="n">
        <x:v>7200</x:v>
      </x:c>
      <x:c r="K148" s="2" t="n">
        <x:v>0</x:v>
      </x:c>
      <x:c r="L148" s="2" t="str">
        <x:v>Completed</x:v>
      </x:c>
    </x:row>
    <x:row r="149" ht="21" customHeight="1">
      <x:c r="A149" s="2" t="n">
        <x:v>144</x:v>
      </x:c>
      <x:c r="B149" s="2" t="str">
        <x:v>TXN-00144</x:v>
      </x:c>
      <x:c r="C149" s="2" t="str">
        <x:v>2025-02-03</x:v>
      </x:c>
      <x:c r="D149" s="2" t="str">
        <x:v>Lagos</x:v>
      </x:c>
      <x:c r="E149" s="2" t="str">
        <x:v>Fashion</x:v>
      </x:c>
      <x:c r="F149" s="2" t="str">
        <x:v>T-shirt</x:v>
      </x:c>
      <x:c r="G149" s="2" t="str">
        <x:v> in-store </x:v>
      </x:c>
      <x:c r="H149" s="2" t="n">
        <x:v>2</x:v>
      </x:c>
      <x:c r="I149" s="2" t="n">
        <x:v>9000</x:v>
      </x:c>
      <x:c r="J149" s="2" t="n">
        <x:v>5000</x:v>
      </x:c>
      <x:c r="K149" s="2" t="n">
        <x:v>0</x:v>
      </x:c>
      <x:c r="L149" s="2" t="str">
        <x:v>Completed</x:v>
      </x:c>
    </x:row>
    <x:row r="150" ht="21" customHeight="1">
      <x:c r="A150" s="2" t="n">
        <x:v>145</x:v>
      </x:c>
      <x:c r="B150" s="2" t="str">
        <x:v>TXN-00145</x:v>
      </x:c>
      <x:c r="C150" s="2" t="str">
        <x:v>2025-02-27</x:v>
      </x:c>
      <x:c r="D150" s="2" t="str">
        <x:v>Lagos</x:v>
      </x:c>
      <x:c r="E150" s="2" t="str">
        <x:v>Electronics</x:v>
      </x:c>
      <x:c r="F150" s="2" t="str">
        <x:v>Power bank</x:v>
      </x:c>
      <x:c r="G150" s="2" t="str">
        <x:v>Online</x:v>
      </x:c>
      <x:c r="H150" s="2" t="n">
        <x:v>1</x:v>
      </x:c>
      <x:c r="I150" s="2" t="n">
        <x:v>15000</x:v>
      </x:c>
      <x:c r="J150" s="2" t="n">
        <x:v>9500</x:v>
      </x:c>
      <x:c r="K150" s="2" t="n">
        <x:v>0.05</x:v>
      </x:c>
      <x:c r="L150" s="2" t="str">
        <x:v> COMPLETED </x:v>
      </x:c>
    </x:row>
    <x:row r="151" ht="21" customHeight="1">
      <x:c r="A151" s="2" t="n">
        <x:v>146</x:v>
      </x:c>
      <x:c r="B151" s="2" t="str">
        <x:v>TXN-00146</x:v>
      </x:c>
      <x:c r="C151" s="2" t="str">
        <x:v>2025-02-06</x:v>
      </x:c>
      <x:c r="D151" s="2" t="str">
        <x:v>Lagos</x:v>
      </x:c>
      <x:c r="E151" s="2" t="str">
        <x:v>Electronics</x:v>
      </x:c>
      <x:c r="F151" s="2" t="str">
        <x:v>Bluetooth speaker</x:v>
      </x:c>
      <x:c r="G151" s="2" t="str">
        <x:v>Online</x:v>
      </x:c>
      <x:c r="H151" s="2" t="n">
        <x:v>2</x:v>
      </x:c>
      <x:c r="I151" s="2" t="n">
        <x:v>26000</x:v>
      </x:c>
      <x:c r="J151" s="2" t="n">
        <x:v>17000</x:v>
      </x:c>
      <x:c r="K151" s="2" t="n">
        <x:v>0.05</x:v>
      </x:c>
      <x:c r="L151" s="2" t="str">
        <x:v>Completed</x:v>
      </x:c>
    </x:row>
    <x:row r="152" ht="21" customHeight="1">
      <x:c r="A152" s="2" t="n">
        <x:v>147</x:v>
      </x:c>
      <x:c r="B152" s="2" t="str">
        <x:v>TXN-00147</x:v>
      </x:c>
      <x:c r="C152" s="2" t="str">
        <x:v>2025-02-14</x:v>
      </x:c>
      <x:c r="D152" s="2" t="str">
        <x:v>Lagos</x:v>
      </x:c>
      <x:c r="E152" s="2" t="str">
        <x:v>Beauty</x:v>
      </x:c>
      <x:c r="F152" s="2" t="str">
        <x:v>Body wash</x:v>
      </x:c>
      <x:c r="G152" s="2" t="str">
        <x:v>Online</x:v>
      </x:c>
      <x:c r="H152" s="2" t="n">
        <x:v>3</x:v>
      </x:c>
      <x:c r="I152" s="2" t="n">
        <x:v>4500</x:v>
      </x:c>
      <x:c r="J152" s="2" t="n">
        <x:v>2300</x:v>
      </x:c>
      <x:c r="K152" s="2" t="n">
        <x:v>0</x:v>
      </x:c>
      <x:c r="L152" s="2" t="str">
        <x:v>Completed</x:v>
      </x:c>
    </x:row>
    <x:row r="153" ht="21" customHeight="1">
      <x:c r="A153" s="2" t="n">
        <x:v>148</x:v>
      </x:c>
      <x:c r="B153" s="2" t="str">
        <x:v>TXN-00148</x:v>
      </x:c>
      <x:c r="C153" s="2" t="str">
        <x:v>2025-02-28</x:v>
      </x:c>
      <x:c r="D153" s="2" t="str">
        <x:v> lagos </x:v>
      </x:c>
      <x:c r="E153" s="2" t="str">
        <x:v>Fashion</x:v>
      </x:c>
      <x:c r="F153" s="2" t="str">
        <x:v>Sneakers</x:v>
      </x:c>
      <x:c r="G153" s="2" t="str">
        <x:v>Online</x:v>
      </x:c>
      <x:c r="H153" s="2" t="n">
        <x:v>1</x:v>
      </x:c>
      <x:c r="I153" s="2" t="n">
        <x:v>28000</x:v>
      </x:c>
      <x:c r="J153" s="2" t="n">
        <x:v>17500</x:v>
      </x:c>
      <x:c r="K153" s="2" t="n">
        <x:v>0</x:v>
      </x:c>
      <x:c r="L153" s="2" t="str">
        <x:v>Completed</x:v>
      </x:c>
    </x:row>
    <x:row r="154" ht="21" customHeight="1">
      <x:c r="A154" s="2" t="n">
        <x:v>149</x:v>
      </x:c>
      <x:c r="B154" s="2" t="str">
        <x:v>TXN-00149</x:v>
      </x:c>
      <x:c r="C154" s="2" t="str">
        <x:v>2025-02-16</x:v>
      </x:c>
      <x:c r="D154" s="2" t="str">
        <x:v>Lagos</x:v>
      </x:c>
      <x:c r="E154" s="2" t="str">
        <x:v>Fashion</x:v>
      </x:c>
      <x:c r="F154" s="2" t="str">
        <x:v>T-shirt</x:v>
      </x:c>
      <x:c r="G154" s="2" t="str">
        <x:v>In-store</x:v>
      </x:c>
      <x:c r="H154" s="2" t="n">
        <x:v>2</x:v>
      </x:c>
      <x:c r="I154" s="2" t="n">
        <x:v>9000</x:v>
      </x:c>
      <x:c r="J154" s="2" t="n">
        <x:v>5000</x:v>
      </x:c>
      <x:c r="K154" s="2" t="n">
        <x:v>0.1</x:v>
      </x:c>
      <x:c r="L154" s="2" t="str">
        <x:v>Completed</x:v>
      </x:c>
    </x:row>
    <x:row r="155" ht="21" customHeight="1">
      <x:c r="A155" s="2" t="n">
        <x:v>150</x:v>
      </x:c>
      <x:c r="B155" s="2" t="str">
        <x:v>TXN-00150</x:v>
      </x:c>
      <x:c r="C155" s="2" t="str">
        <x:v>2025-02-03</x:v>
      </x:c>
      <x:c r="D155" s="2" t="str">
        <x:v>Abuja</x:v>
      </x:c>
      <x:c r="E155" s="2" t="str">
        <x:v>Fashion</x:v>
      </x:c>
      <x:c r="F155" s="2" t="str">
        <x:v>Handbag</x:v>
      </x:c>
      <x:c r="G155" s="2" t="str">
        <x:v>In-store</x:v>
      </x:c>
      <x:c r="H155" s="2" t="n">
        <x:v>1</x:v>
      </x:c>
      <x:c r="I155" s="2" t="n">
        <x:v>22000</x:v>
      </x:c>
      <x:c r="J155" s="2" t="n">
        <x:v>13500</x:v>
      </x:c>
      <x:c r="K155" s="2" t="n">
        <x:v>0.15</x:v>
      </x:c>
      <x:c r="L155" s="2" t="str">
        <x:v>Completed</x:v>
      </x:c>
    </x:row>
    <x:row r="156" ht="21" customHeight="1">
      <x:c r="A156" s="2" t="n">
        <x:v>151</x:v>
      </x:c>
      <x:c r="B156" s="2" t="str">
        <x:v>TXN-00151</x:v>
      </x:c>
      <x:c r="C156" s="2" t="str">
        <x:v>2025-02-28</x:v>
      </x:c>
      <x:c r="D156" s="2" t="str">
        <x:v>Lagos</x:v>
      </x:c>
      <x:c r="E156" s="2" t="str">
        <x:v>Home</x:v>
      </x:c>
      <x:c r="F156" s="2" t="str">
        <x:v>Desk lamp</x:v>
      </x:c>
      <x:c r="G156" s="2" t="str">
        <x:v>Online</x:v>
      </x:c>
      <x:c r="H156" s="2" t="n">
        <x:v>1</x:v>
      </x:c>
      <x:c r="I156" s="2" t="n">
        <x:v>12000</x:v>
      </x:c>
      <x:c r="J156" s="2" t="n">
        <x:v>7200</x:v>
      </x:c>
      <x:c r="K156" s="2" t="n">
        <x:v>0.05</x:v>
      </x:c>
      <x:c r="L156" s="2" t="str">
        <x:v>Completed</x:v>
      </x:c>
    </x:row>
    <x:row r="157" ht="21" customHeight="1">
      <x:c r="A157" s="2" t="n">
        <x:v>152</x:v>
      </x:c>
      <x:c r="B157" s="2" t="str">
        <x:v>TXN-00152</x:v>
      </x:c>
      <x:c r="C157" s="2" t="str">
        <x:v>2025-02-05</x:v>
      </x:c>
      <x:c r="D157" s="2" t="str">
        <x:v>Lagos</x:v>
      </x:c>
      <x:c r="E157" s="2" t="str">
        <x:v>Electronics</x:v>
      </x:c>
      <x:c r="F157" s="2" t="str">
        <x:v>Bluetooth speaker</x:v>
      </x:c>
      <x:c r="G157" s="2" t="str">
        <x:v>In-store</x:v>
      </x:c>
      <x:c r="H157" s="2" t="n">
        <x:v>1</x:v>
      </x:c>
      <x:c r="I157" s="2" t="n">
        <x:v>26000</x:v>
      </x:c>
      <x:c r="J157" s="2" t="n">
        <x:v>17000</x:v>
      </x:c>
      <x:c r="K157" s="2" t="n">
        <x:v>0.05</x:v>
      </x:c>
      <x:c r="L157" s="2" t="str">
        <x:v>Completed</x:v>
      </x:c>
    </x:row>
    <x:row r="158" ht="21" customHeight="1">
      <x:c r="A158" s="2" t="n">
        <x:v>153</x:v>
      </x:c>
      <x:c r="B158" s="2" t="str">
        <x:v>TXN-00153</x:v>
      </x:c>
      <x:c r="C158" s="2" t="str">
        <x:v>2025-02-06</x:v>
      </x:c>
      <x:c r="D158" s="2" t="str">
        <x:v>Lagos</x:v>
      </x:c>
      <x:c r="E158" s="2" t="str">
        <x:v>Electronics</x:v>
      </x:c>
      <x:c r="F158" s="2" t="str">
        <x:v>Headphones</x:v>
      </x:c>
      <x:c r="G158" s="2" t="str">
        <x:v>In-store</x:v>
      </x:c>
      <x:c r="H158" s="2" t="n">
        <x:v>1</x:v>
      </x:c>
      <x:c r="I158" s="2" t="n">
        <x:v>18000</x:v>
      </x:c>
      <x:c r="J158" s="2" t="n">
        <x:v>10500</x:v>
      </x:c>
      <x:c r="K158" s="2" t="n">
        <x:v>0</x:v>
      </x:c>
      <x:c r="L158" s="2" t="str">
        <x:v>Completed</x:v>
      </x:c>
    </x:row>
    <x:row r="159" ht="21" customHeight="1">
      <x:c r="A159" s="2" t="n">
        <x:v>154</x:v>
      </x:c>
      <x:c r="B159" s="2" t="str">
        <x:v>TXN-00154</x:v>
      </x:c>
      <x:c r="C159" s="2" t="str">
        <x:v>2025-02-09</x:v>
      </x:c>
      <x:c r="D159" s="2" t="str">
        <x:v>Lagos</x:v>
      </x:c>
      <x:c r="E159" s="2" t="str">
        <x:v>Home</x:v>
      </x:c>
      <x:c r="F159" s="2" t="str">
        <x:v>Bedsheet</x:v>
      </x:c>
      <x:c r="G159" s="2" t="str">
        <x:v>In-store</x:v>
      </x:c>
      <x:c r="H159" s="2" t="n">
        <x:v>1</x:v>
      </x:c>
      <x:c r="I159" s="2" t="n">
        <x:v>14000</x:v>
      </x:c>
      <x:c r="J159" s="2" t="n">
        <x:v>8500</x:v>
      </x:c>
      <x:c r="K159" s="2" t="n">
        <x:v>0.05</x:v>
      </x:c>
      <x:c r="L159" s="2" t="str">
        <x:v> COMPLETED </x:v>
      </x:c>
    </x:row>
    <x:row r="160" ht="21" customHeight="1">
      <x:c r="A160" s="2" t="n">
        <x:v>155</x:v>
      </x:c>
      <x:c r="B160" s="2" t="str">
        <x:v>TXN-00155</x:v>
      </x:c>
      <x:c r="C160" s="2" t="str">
        <x:v>2025-02-24</x:v>
      </x:c>
      <x:c r="D160" s="2" t="str">
        <x:v> lagos </x:v>
      </x:c>
      <x:c r="E160" s="2" t="str">
        <x:v>Fashion</x:v>
      </x:c>
      <x:c r="F160" s="2" t="str">
        <x:v>Sneakers</x:v>
      </x:c>
      <x:c r="G160" s="2" t="str">
        <x:v> in-store </x:v>
      </x:c>
      <x:c r="H160" s="2" t="n">
        <x:v>2</x:v>
      </x:c>
      <x:c r="I160" s="2" t="n">
        <x:v>28000</x:v>
      </x:c>
      <x:c r="J160" s="2" t="n">
        <x:v>17500</x:v>
      </x:c>
      <x:c r="K160" s="2" t="n">
        <x:v>0</x:v>
      </x:c>
      <x:c r="L160" s="2" t="str">
        <x:v>Returned</x:v>
      </x:c>
    </x:row>
    <x:row r="161" ht="21" customHeight="1">
      <x:c r="A161" s="2" t="n">
        <x:v>156</x:v>
      </x:c>
      <x:c r="B161" s="2" t="str">
        <x:v>TXN-00156</x:v>
      </x:c>
      <x:c r="C161" s="2" t="str">
        <x:v>2025-02-10</x:v>
      </x:c>
      <x:c r="D161" s="2" t="str">
        <x:v>Lagos</x:v>
      </x:c>
      <x:c r="E161" s="2" t="str">
        <x:v>Beauty</x:v>
      </x:c>
      <x:c r="F161" s="2" t="str">
        <x:v>Perfume</x:v>
      </x:c>
      <x:c r="G161" s="2" t="str">
        <x:v>In-store</x:v>
      </x:c>
      <x:c r="H161" s="2" t="n">
        <x:v>2</x:v>
      </x:c>
      <x:c r="I161" s="2" t="n">
        <x:v>17000</x:v>
      </x:c>
      <x:c r="J161" s="2" t="n">
        <x:v>9000</x:v>
      </x:c>
      <x:c r="K161" s="2" t="n">
        <x:v>0.1</x:v>
      </x:c>
      <x:c r="L161" s="2" t="str">
        <x:v>Completed</x:v>
      </x:c>
    </x:row>
    <x:row r="162" ht="21" customHeight="1">
      <x:c r="A162" s="2" t="n">
        <x:v>157</x:v>
      </x:c>
      <x:c r="B162" s="2" t="str">
        <x:v>TXN-00157</x:v>
      </x:c>
      <x:c r="C162" s="2" t="str">
        <x:v>2025-02-07</x:v>
      </x:c>
      <x:c r="D162" s="2" t="str">
        <x:v>Abuja</x:v>
      </x:c>
      <x:c r="E162" s="2" t="str">
        <x:v>Fashion</x:v>
      </x:c>
      <x:c r="F162" s="2" t="str">
        <x:v>Sneakers</x:v>
      </x:c>
      <x:c r="G162" s="2" t="str">
        <x:v>Online</x:v>
      </x:c>
      <x:c r="H162" s="2" t="n">
        <x:v>1</x:v>
      </x:c>
      <x:c r="I162" s="2" t="n">
        <x:v>28000</x:v>
      </x:c>
      <x:c r="J162" s="2" t="n">
        <x:v>17500</x:v>
      </x:c>
      <x:c r="K162" s="2" t="n">
        <x:v>0</x:v>
      </x:c>
      <x:c r="L162" s="2" t="str">
        <x:v>Completed</x:v>
      </x:c>
    </x:row>
    <x:row r="163" ht="21" customHeight="1">
      <x:c r="A163" s="2" t="n">
        <x:v>158</x:v>
      </x:c>
      <x:c r="B163" s="2" t="str">
        <x:v>TXN-00158</x:v>
      </x:c>
      <x:c r="C163" s="2" t="str">
        <x:v>2025-02-07</x:v>
      </x:c>
      <x:c r="D163" s="2" t="str">
        <x:v>Abuja</x:v>
      </x:c>
      <x:c r="E163" s="2" t="str">
        <x:v>Electronics</x:v>
      </x:c>
      <x:c r="F163" s="2" t="str">
        <x:v>Headphones</x:v>
      </x:c>
      <x:c r="G163" s="2" t="str">
        <x:v>In-store</x:v>
      </x:c>
      <x:c r="H163" s="2" t="n">
        <x:v>3</x:v>
      </x:c>
      <x:c r="I163" s="2" t="n">
        <x:v>18000</x:v>
      </x:c>
      <x:c r="J163" s="2" t="n">
        <x:v>10500</x:v>
      </x:c>
      <x:c r="K163" s="2" t="n">
        <x:v>0</x:v>
      </x:c>
      <x:c r="L163" s="2" t="str">
        <x:v>Completed</x:v>
      </x:c>
    </x:row>
    <x:row r="164" ht="21" customHeight="1">
      <x:c r="A164" s="2" t="n">
        <x:v>159</x:v>
      </x:c>
      <x:c r="B164" s="2" t="str">
        <x:v>TXN-00159</x:v>
      </x:c>
      <x:c r="C164" s="2" t="str">
        <x:v>2025-02-01</x:v>
      </x:c>
      <x:c r="D164" s="2" t="str">
        <x:v>Lagos</x:v>
      </x:c>
      <x:c r="E164" s="2" t="str">
        <x:v>Home</x:v>
      </x:c>
      <x:c r="F164" s="2" t="str">
        <x:v>Cookware set</x:v>
      </x:c>
      <x:c r="G164" s="2" t="str">
        <x:v>Online</x:v>
      </x:c>
      <x:c r="H164" s="2" t="n">
        <x:v>2</x:v>
      </x:c>
      <x:c r="I164" s="2" t="n">
        <x:v>35000</x:v>
      </x:c>
      <x:c r="J164" s="2" t="n">
        <x:v>22500</x:v>
      </x:c>
      <x:c r="K164" s="2" t="n">
        <x:v>0.05</x:v>
      </x:c>
      <x:c r="L164" s="2" t="str">
        <x:v>Completed</x:v>
      </x:c>
    </x:row>
    <x:row r="165" ht="21" customHeight="1">
      <x:c r="A165" s="2" t="n">
        <x:v>160</x:v>
      </x:c>
      <x:c r="B165" s="2" t="str">
        <x:v>TXN-00160</x:v>
      </x:c>
      <x:c r="C165" s="2" t="str">
        <x:v>2025-02-19</x:v>
      </x:c>
      <x:c r="D165" s="2" t="str">
        <x:v>Abuja</x:v>
      </x:c>
      <x:c r="E165" s="2" t="str">
        <x:v>Electronics</x:v>
      </x:c>
      <x:c r="F165" s="2" t="str">
        <x:v>Headphones</x:v>
      </x:c>
      <x:c r="G165" s="2" t="str">
        <x:v>Online</x:v>
      </x:c>
      <x:c r="H165" s="2" t="n">
        <x:v>3</x:v>
      </x:c>
      <x:c r="I165" s="2" t="n">
        <x:v>18000</x:v>
      </x:c>
      <x:c r="J165" s="2" t="n">
        <x:v>10500</x:v>
      </x:c>
      <x:c r="K165" s="2" t="n">
        <x:v>0.1</x:v>
      </x:c>
      <x:c r="L165" s="2" t="str">
        <x:v>Completed</x:v>
      </x:c>
    </x:row>
    <x:row r="166" ht="21" customHeight="1">
      <x:c r="A166" s="2" t="n">
        <x:v>161</x:v>
      </x:c>
      <x:c r="B166" s="2" t="str">
        <x:v>TXN-00161</x:v>
      </x:c>
      <x:c r="C166" s="2" t="str">
        <x:v>2025-02-27</x:v>
      </x:c>
      <x:c r="D166" s="2" t="str">
        <x:v>Abuja</x:v>
      </x:c>
      <x:c r="E166" s="2" t="str">
        <x:v>Fashion</x:v>
      </x:c>
      <x:c r="F166" s="2" t="str">
        <x:v>Handbag</x:v>
      </x:c>
      <x:c r="G166" s="2" t="str">
        <x:v>Online</x:v>
      </x:c>
      <x:c r="H166" s="2" t="n">
        <x:v>3</x:v>
      </x:c>
      <x:c r="I166" s="2" t="n">
        <x:v>22000</x:v>
      </x:c>
      <x:c r="J166" s="2" t="n">
        <x:v>13500</x:v>
      </x:c>
      <x:c r="K166" s="2" t="n">
        <x:v>0</x:v>
      </x:c>
      <x:c r="L166" s="2" t="str">
        <x:v>Completed</x:v>
      </x:c>
    </x:row>
    <x:row r="167" ht="21" customHeight="1">
      <x:c r="A167" s="2" t="n">
        <x:v>162</x:v>
      </x:c>
      <x:c r="B167" s="2" t="str">
        <x:v>TXN-00162</x:v>
      </x:c>
      <x:c r="C167" s="2" t="str">
        <x:v>2025-02-18</x:v>
      </x:c>
      <x:c r="D167" s="2" t="str">
        <x:v> port harcourt </x:v>
      </x:c>
      <x:c r="E167" s="2" t="str">
        <x:v>Electronics</x:v>
      </x:c>
      <x:c r="F167" s="2" t="str">
        <x:v>Power bank</x:v>
      </x:c>
      <x:c r="G167" s="2" t="str">
        <x:v>In-store</x:v>
      </x:c>
      <x:c r="H167" s="2" t="n">
        <x:v>2</x:v>
      </x:c>
      <x:c r="I167" s="2" t="n">
        <x:v>15000</x:v>
      </x:c>
      <x:c r="J167" s="2" t="n">
        <x:v>9500</x:v>
      </x:c>
      <x:c r="K167" s="2" t="n">
        <x:v>0</x:v>
      </x:c>
      <x:c r="L167" s="2" t="str">
        <x:v>Completed</x:v>
      </x:c>
    </x:row>
    <x:row r="168" ht="21" customHeight="1">
      <x:c r="A168" s="2" t="n">
        <x:v>163</x:v>
      </x:c>
      <x:c r="B168" s="2" t="str">
        <x:v>TXN-00163</x:v>
      </x:c>
      <x:c r="C168" s="2" t="str">
        <x:v>2025-02-11</x:v>
      </x:c>
      <x:c r="D168" s="2" t="str">
        <x:v>Lagos</x:v>
      </x:c>
      <x:c r="E168" s="2" t="str">
        <x:v>Beauty</x:v>
      </x:c>
      <x:c r="F168" s="2" t="str">
        <x:v>Body wash</x:v>
      </x:c>
      <x:c r="G168" s="2" t="str">
        <x:v>Online</x:v>
      </x:c>
      <x:c r="H168" s="2" t="n">
        <x:v>4</x:v>
      </x:c>
      <x:c r="I168" s="2" t="n">
        <x:v>4500</x:v>
      </x:c>
      <x:c r="J168" s="2" t="n">
        <x:v>2300</x:v>
      </x:c>
      <x:c r="K168" s="2" t="n">
        <x:v>0</x:v>
      </x:c>
      <x:c r="L168" s="2" t="str">
        <x:v> COMPLETED </x:v>
      </x:c>
    </x:row>
    <x:row r="169" ht="21" customHeight="1">
      <x:c r="A169" s="2" t="n">
        <x:v>164</x:v>
      </x:c>
      <x:c r="B169" s="2" t="str">
        <x:v>TXN-00164</x:v>
      </x:c>
      <x:c r="C169" s="2" t="str">
        <x:v>2025-02-08</x:v>
      </x:c>
      <x:c r="D169" s="2" t="str">
        <x:v>Port Harcourt</x:v>
      </x:c>
      <x:c r="E169" s="2" t="str">
        <x:v>Home</x:v>
      </x:c>
      <x:c r="F169" s="2" t="str">
        <x:v>Cookware set</x:v>
      </x:c>
      <x:c r="G169" s="2" t="str">
        <x:v>In-store</x:v>
      </x:c>
      <x:c r="H169" s="2" t="n">
        <x:v>1</x:v>
      </x:c>
      <x:c r="I169" s="2" t="n">
        <x:v>35000</x:v>
      </x:c>
      <x:c r="J169" s="2" t="n">
        <x:v>22500</x:v>
      </x:c>
      <x:c r="K169" s="2" t="n">
        <x:v>0.1</x:v>
      </x:c>
      <x:c r="L169" s="2" t="str">
        <x:v>Completed</x:v>
      </x:c>
    </x:row>
    <x:row r="170" ht="21" customHeight="1">
      <x:c r="A170" s="2" t="n">
        <x:v>165</x:v>
      </x:c>
      <x:c r="B170" s="2" t="str">
        <x:v>TXN-00165</x:v>
      </x:c>
      <x:c r="C170" s="2" t="str">
        <x:v>2025-02-10</x:v>
      </x:c>
      <x:c r="D170" s="2" t="str">
        <x:v>Port Harcourt</x:v>
      </x:c>
      <x:c r="E170" s="2" t="str">
        <x:v>Home</x:v>
      </x:c>
      <x:c r="F170" s="2" t="str">
        <x:v>Bedsheet</x:v>
      </x:c>
      <x:c r="G170" s="2" t="str">
        <x:v>In-store</x:v>
      </x:c>
      <x:c r="H170" s="2" t="n">
        <x:v>1</x:v>
      </x:c>
      <x:c r="I170" s="2" t="n">
        <x:v>14000</x:v>
      </x:c>
      <x:c r="J170" s="2" t="n">
        <x:v>8500</x:v>
      </x:c>
      <x:c r="K170" s="2" t="n">
        <x:v>0.05</x:v>
      </x:c>
      <x:c r="L170" s="2" t="str">
        <x:v>Completed</x:v>
      </x:c>
    </x:row>
    <x:row r="171" ht="21" customHeight="1">
      <x:c r="A171" s="2" t="n">
        <x:v>166</x:v>
      </x:c>
      <x:c r="B171" s="2" t="str">
        <x:v>TXN-00166</x:v>
      </x:c>
      <x:c r="C171" s="2" t="str">
        <x:v>2025-02-23</x:v>
      </x:c>
      <x:c r="D171" s="2" t="str">
        <x:v>Lagos</x:v>
      </x:c>
      <x:c r="E171" s="2" t="str">
        <x:v>Fashion</x:v>
      </x:c>
      <x:c r="F171" s="2" t="str">
        <x:v>T-shirt</x:v>
      </x:c>
      <x:c r="G171" s="2" t="str">
        <x:v> in-store </x:v>
      </x:c>
      <x:c r="H171" s="2" t="n">
        <x:v>3</x:v>
      </x:c>
      <x:c r="I171" s="2" t="n">
        <x:v>9000</x:v>
      </x:c>
      <x:c r="J171" s="2" t="n">
        <x:v>5000</x:v>
      </x:c>
      <x:c r="K171" s="2" t="n">
        <x:v>0.1</x:v>
      </x:c>
      <x:c r="L171" s="2" t="str">
        <x:v>Returned</x:v>
      </x:c>
    </x:row>
    <x:row r="172" ht="21" customHeight="1">
      <x:c r="A172" s="2" t="n">
        <x:v>167</x:v>
      </x:c>
      <x:c r="B172" s="2" t="str">
        <x:v>TXN-00167</x:v>
      </x:c>
      <x:c r="C172" s="2" t="str">
        <x:v>2025-02-09</x:v>
      </x:c>
      <x:c r="D172" s="2" t="str">
        <x:v>Port Harcourt</x:v>
      </x:c>
      <x:c r="E172" s="2" t="str">
        <x:v>Fashion</x:v>
      </x:c>
      <x:c r="F172" s="2" t="str">
        <x:v>Sneakers</x:v>
      </x:c>
      <x:c r="G172" s="2" t="str">
        <x:v>In-store</x:v>
      </x:c>
      <x:c r="H172" s="2" t="n">
        <x:v>1</x:v>
      </x:c>
      <x:c r="I172" s="2" t="n">
        <x:v>28000</x:v>
      </x:c>
      <x:c r="J172" s="2" t="n">
        <x:v>17500</x:v>
      </x:c>
      <x:c r="K172" s="2" t="n">
        <x:v>0</x:v>
      </x:c>
      <x:c r="L172" s="2" t="str">
        <x:v>Returned</x:v>
      </x:c>
    </x:row>
    <x:row r="173" ht="21" customHeight="1">
      <x:c r="A173" s="2" t="n">
        <x:v>168</x:v>
      </x:c>
      <x:c r="B173" s="2" t="str">
        <x:v>TXN-00168</x:v>
      </x:c>
      <x:c r="C173" s="2" t="str">
        <x:v>2025-02-25</x:v>
      </x:c>
      <x:c r="D173" s="2" t="str">
        <x:v>Lagos</x:v>
      </x:c>
      <x:c r="E173" s="2" t="str">
        <x:v>Electronics</x:v>
      </x:c>
      <x:c r="F173" s="2" t="str">
        <x:v>Bluetooth speaker</x:v>
      </x:c>
      <x:c r="G173" s="2" t="str">
        <x:v>In-store</x:v>
      </x:c>
      <x:c r="H173" s="2" t="n">
        <x:v>3</x:v>
      </x:c>
      <x:c r="I173" s="2" t="n">
        <x:v>26000</x:v>
      </x:c>
      <x:c r="J173" s="2" t="n">
        <x:v>17000</x:v>
      </x:c>
      <x:c r="K173" s="2" t="n">
        <x:v>0</x:v>
      </x:c>
      <x:c r="L173" s="2" t="str">
        <x:v>Completed</x:v>
      </x:c>
    </x:row>
    <x:row r="174" ht="21" customHeight="1">
      <x:c r="A174" s="2" t="n">
        <x:v>169</x:v>
      </x:c>
      <x:c r="B174" s="2" t="str">
        <x:v>TXN-00169</x:v>
      </x:c>
      <x:c r="C174" s="2" t="str">
        <x:v>2025-02-03</x:v>
      </x:c>
      <x:c r="D174" s="2" t="str">
        <x:v> abuja </x:v>
      </x:c>
      <x:c r="E174" s="2" t="str">
        <x:v>Beauty</x:v>
      </x:c>
      <x:c r="F174" s="2" t="str">
        <x:v>Perfume</x:v>
      </x:c>
      <x:c r="G174" s="2" t="str">
        <x:v>In-store</x:v>
      </x:c>
      <x:c r="H174" s="2" t="n">
        <x:v>2</x:v>
      </x:c>
      <x:c r="I174" s="2" t="n">
        <x:v>17000</x:v>
      </x:c>
      <x:c r="J174" s="2" t="n">
        <x:v>9000</x:v>
      </x:c>
      <x:c r="K174" s="2" t="n">
        <x:v>0.05</x:v>
      </x:c>
      <x:c r="L174" s="2" t="str">
        <x:v>Completed</x:v>
      </x:c>
    </x:row>
    <x:row r="175" ht="21" customHeight="1">
      <x:c r="A175" s="2" t="n">
        <x:v>170</x:v>
      </x:c>
      <x:c r="B175" s="2" t="str">
        <x:v>TXN-00170</x:v>
      </x:c>
      <x:c r="C175" s="2" t="str">
        <x:v>2025-02-05</x:v>
      </x:c>
      <x:c r="D175" s="2" t="str">
        <x:v>Lagos</x:v>
      </x:c>
      <x:c r="E175" s="2" t="str">
        <x:v>Electronics</x:v>
      </x:c>
      <x:c r="F175" s="2" t="str">
        <x:v>Headphones</x:v>
      </x:c>
      <x:c r="G175" s="2" t="str">
        <x:v>Online</x:v>
      </x:c>
      <x:c r="H175" s="2" t="n">
        <x:v>1</x:v>
      </x:c>
      <x:c r="I175" s="2" t="n">
        <x:v>18000</x:v>
      </x:c>
      <x:c r="J175" s="2" t="n">
        <x:v>10500</x:v>
      </x:c>
      <x:c r="K175" s="2" t="n">
        <x:v>0</x:v>
      </x:c>
      <x:c r="L175" s="2" t="str">
        <x:v>Completed</x:v>
      </x:c>
    </x:row>
    <x:row r="176" ht="21" customHeight="1">
      <x:c r="A176" s="2" t="n">
        <x:v>171</x:v>
      </x:c>
      <x:c r="B176" s="2" t="str">
        <x:v>TXN-00171</x:v>
      </x:c>
      <x:c r="C176" s="2" t="str">
        <x:v>2025-02-16</x:v>
      </x:c>
      <x:c r="D176" s="2" t="str">
        <x:v>Lagos</x:v>
      </x:c>
      <x:c r="E176" s="2" t="str">
        <x:v>Home</x:v>
      </x:c>
      <x:c r="F176" s="2" t="str">
        <x:v>Desk lamp</x:v>
      </x:c>
      <x:c r="G176" s="2" t="str">
        <x:v>Online</x:v>
      </x:c>
      <x:c r="H176" s="2" t="n">
        <x:v>1</x:v>
      </x:c>
      <x:c r="I176" s="2" t="n">
        <x:v>12000</x:v>
      </x:c>
      <x:c r="J176" s="2" t="n">
        <x:v>7200</x:v>
      </x:c>
      <x:c r="K176" s="2" t="n">
        <x:v>0</x:v>
      </x:c>
      <x:c r="L176" s="2" t="str">
        <x:v>Completed</x:v>
      </x:c>
    </x:row>
    <x:row r="177" ht="21" customHeight="1">
      <x:c r="A177" s="2" t="n">
        <x:v>172</x:v>
      </x:c>
      <x:c r="B177" s="2" t="str">
        <x:v>TXN-00172</x:v>
      </x:c>
      <x:c r="C177" s="2" t="str">
        <x:v>2025-02-09</x:v>
      </x:c>
      <x:c r="D177" s="2" t="str">
        <x:v>Lagos</x:v>
      </x:c>
      <x:c r="E177" s="2" t="str">
        <x:v>Home</x:v>
      </x:c>
      <x:c r="F177" s="2" t="str">
        <x:v>Bedsheet</x:v>
      </x:c>
      <x:c r="G177" s="2" t="str">
        <x:v>Online</x:v>
      </x:c>
      <x:c r="H177" s="2" t="n">
        <x:v>2</x:v>
      </x:c>
      <x:c r="I177" s="2" t="n">
        <x:v>14000</x:v>
      </x:c>
      <x:c r="J177" s="2" t="n">
        <x:v>8500</x:v>
      </x:c>
      <x:c r="K177" s="2" t="n">
        <x:v>0</x:v>
      </x:c>
      <x:c r="L177" s="2" t="str">
        <x:v> COMPLETED </x:v>
      </x:c>
    </x:row>
    <x:row r="178" ht="21" customHeight="1">
      <x:c r="A178" s="2" t="n">
        <x:v>173</x:v>
      </x:c>
      <x:c r="B178" s="2" t="str">
        <x:v>TXN-00173</x:v>
      </x:c>
      <x:c r="C178" s="2" t="str">
        <x:v>2025-02-01</x:v>
      </x:c>
      <x:c r="D178" s="2" t="str">
        <x:v>Lagos</x:v>
      </x:c>
      <x:c r="E178" s="2" t="str">
        <x:v>Home</x:v>
      </x:c>
      <x:c r="F178" s="2" t="str">
        <x:v>Desk lamp</x:v>
      </x:c>
      <x:c r="G178" s="2" t="str">
        <x:v>Online</x:v>
      </x:c>
      <x:c r="H178" s="2" t="n">
        <x:v>1</x:v>
      </x:c>
      <x:c r="I178" s="2" t="n">
        <x:v>12000</x:v>
      </x:c>
      <x:c r="J178" s="2" t="n">
        <x:v>7200</x:v>
      </x:c>
      <x:c r="K178" s="2" t="n">
        <x:v>0.1</x:v>
      </x:c>
      <x:c r="L178" s="2" t="str">
        <x:v>Completed</x:v>
      </x:c>
    </x:row>
    <x:row r="179" ht="21" customHeight="1">
      <x:c r="A179" s="2" t="n">
        <x:v>174</x:v>
      </x:c>
      <x:c r="B179" s="2" t="str">
        <x:v>TXN-00174</x:v>
      </x:c>
      <x:c r="C179" s="2" t="str">
        <x:v>2025-02-24</x:v>
      </x:c>
      <x:c r="D179" s="2" t="str">
        <x:v>Kano</x:v>
      </x:c>
      <x:c r="E179" s="2" t="str">
        <x:v>Fashion</x:v>
      </x:c>
      <x:c r="F179" s="2" t="str">
        <x:v>Handbag</x:v>
      </x:c>
      <x:c r="G179" s="2" t="str">
        <x:v>In-store</x:v>
      </x:c>
      <x:c r="H179" s="2" t="n">
        <x:v>1</x:v>
      </x:c>
      <x:c r="I179" s="2" t="n">
        <x:v>22000</x:v>
      </x:c>
      <x:c r="J179" s="2" t="n">
        <x:v>13500</x:v>
      </x:c>
      <x:c r="K179" s="2" t="n">
        <x:v>0</x:v>
      </x:c>
      <x:c r="L179" s="2" t="str">
        <x:v>Completed</x:v>
      </x:c>
    </x:row>
    <x:row r="180" ht="21" customHeight="1">
      <x:c r="A180" s="2" t="n">
        <x:v>175</x:v>
      </x:c>
      <x:c r="B180" s="2" t="str">
        <x:v>TXN-00175</x:v>
      </x:c>
      <x:c r="C180" s="2" t="str">
        <x:v>2025-02-04</x:v>
      </x:c>
      <x:c r="D180" s="2" t="str">
        <x:v>Port Harcourt</x:v>
      </x:c>
      <x:c r="E180" s="2" t="str">
        <x:v>Home</x:v>
      </x:c>
      <x:c r="F180" s="2" t="str">
        <x:v>Desk lamp</x:v>
      </x:c>
      <x:c r="G180" s="2" t="str">
        <x:v>Online</x:v>
      </x:c>
      <x:c r="H180" s="2" t="n">
        <x:v>1</x:v>
      </x:c>
      <x:c r="I180" s="2" t="n">
        <x:v>12000</x:v>
      </x:c>
      <x:c r="J180" s="2" t="n">
        <x:v>7200</x:v>
      </x:c>
      <x:c r="K180" s="2" t="n">
        <x:v>0</x:v>
      </x:c>
      <x:c r="L180" s="2" t="str">
        <x:v>Completed</x:v>
      </x:c>
    </x:row>
    <x:row r="181" ht="21" customHeight="1">
      <x:c r="A181" s="2" t="n">
        <x:v>176</x:v>
      </x:c>
      <x:c r="B181" s="2" t="str">
        <x:v>TXN-00176</x:v>
      </x:c>
      <x:c r="C181" s="2" t="str">
        <x:v>2025-02-13</x:v>
      </x:c>
      <x:c r="D181" s="2" t="str">
        <x:v> lagos </x:v>
      </x:c>
      <x:c r="E181" s="2" t="str">
        <x:v>Fashion</x:v>
      </x:c>
      <x:c r="F181" s="2" t="str">
        <x:v>T-shirt</x:v>
      </x:c>
      <x:c r="G181" s="2" t="str">
        <x:v>In-store</x:v>
      </x:c>
      <x:c r="H181" s="2" t="n">
        <x:v>1</x:v>
      </x:c>
      <x:c r="I181" s="2" t="n">
        <x:v>9000</x:v>
      </x:c>
      <x:c r="J181" s="2" t="n">
        <x:v>5000</x:v>
      </x:c>
      <x:c r="K181" s="2" t="n">
        <x:v>0.1</x:v>
      </x:c>
      <x:c r="L181" s="2" t="str">
        <x:v>Completed</x:v>
      </x:c>
    </x:row>
    <x:row r="182" ht="21" customHeight="1">
      <x:c r="A182" s="2" t="n">
        <x:v>177</x:v>
      </x:c>
      <x:c r="B182" s="2" t="str">
        <x:v>TXN-00177</x:v>
      </x:c>
      <x:c r="C182" s="2" t="str">
        <x:v>2025-02-12</x:v>
      </x:c>
      <x:c r="D182" s="2" t="str">
        <x:v>Kano</x:v>
      </x:c>
      <x:c r="E182" s="2" t="str">
        <x:v>Home</x:v>
      </x:c>
      <x:c r="F182" s="2" t="str">
        <x:v>Cookware set</x:v>
      </x:c>
      <x:c r="G182" s="2" t="str">
        <x:v> online </x:v>
      </x:c>
      <x:c r="H182" s="2" t="n">
        <x:v>1</x:v>
      </x:c>
      <x:c r="I182" s="2" t="n">
        <x:v>35000</x:v>
      </x:c>
      <x:c r="J182" s="2" t="n">
        <x:v>22500</x:v>
      </x:c>
      <x:c r="K182" s="2" t="n">
        <x:v>0</x:v>
      </x:c>
      <x:c r="L182" s="2" t="str">
        <x:v>Completed</x:v>
      </x:c>
    </x:row>
    <x:row r="183" ht="21" customHeight="1">
      <x:c r="A183" s="2" t="n">
        <x:v>178</x:v>
      </x:c>
      <x:c r="B183" s="2" t="str">
        <x:v>TXN-00178</x:v>
      </x:c>
      <x:c r="C183" s="2" t="str">
        <x:v>2025-02-09</x:v>
      </x:c>
      <x:c r="D183" s="2" t="str">
        <x:v>Lagos</x:v>
      </x:c>
      <x:c r="E183" s="2" t="str">
        <x:v>Beauty</x:v>
      </x:c>
      <x:c r="F183" s="2" t="str">
        <x:v>Body wash</x:v>
      </x:c>
      <x:c r="G183" s="2" t="str">
        <x:v>Online</x:v>
      </x:c>
      <x:c r="H183" s="2" t="n">
        <x:v>2</x:v>
      </x:c>
      <x:c r="I183" s="2" t="n">
        <x:v>4500</x:v>
      </x:c>
      <x:c r="J183" s="2" t="n">
        <x:v>2300</x:v>
      </x:c>
      <x:c r="K183" s="2" t="n">
        <x:v>0.05</x:v>
      </x:c>
      <x:c r="L183" s="2" t="str">
        <x:v>Completed</x:v>
      </x:c>
    </x:row>
    <x:row r="184" ht="21" customHeight="1">
      <x:c r="A184" s="2" t="n">
        <x:v>179</x:v>
      </x:c>
      <x:c r="B184" s="2" t="str">
        <x:v>TXN-00179</x:v>
      </x:c>
      <x:c r="C184" s="2" t="str">
        <x:v>2025-02-24</x:v>
      </x:c>
      <x:c r="D184" s="2" t="str">
        <x:v>Abuja</x:v>
      </x:c>
      <x:c r="E184" s="2" t="str">
        <x:v>Fashion</x:v>
      </x:c>
      <x:c r="F184" s="2" t="str">
        <x:v>Handbag</x:v>
      </x:c>
      <x:c r="G184" s="2" t="str">
        <x:v>In-store</x:v>
      </x:c>
      <x:c r="H184" s="2" t="n">
        <x:v>2</x:v>
      </x:c>
      <x:c r="I184" s="2" t="n">
        <x:v>22000</x:v>
      </x:c>
      <x:c r="J184" s="2" t="n">
        <x:v>13500</x:v>
      </x:c>
      <x:c r="K184" s="2" t="n">
        <x:v>0</x:v>
      </x:c>
      <x:c r="L184" s="2" t="str">
        <x:v>Completed</x:v>
      </x:c>
    </x:row>
    <x:row r="185" ht="21" customHeight="1">
      <x:c r="A185" s="2" t="n">
        <x:v>180</x:v>
      </x:c>
      <x:c r="B185" s="2" t="str">
        <x:v>TXN-00180</x:v>
      </x:c>
      <x:c r="C185" s="2" t="str">
        <x:v>2025-02-08</x:v>
      </x:c>
      <x:c r="D185" s="2" t="str">
        <x:v>Port Harcourt</x:v>
      </x:c>
      <x:c r="E185" s="2" t="str">
        <x:v>Beauty</x:v>
      </x:c>
      <x:c r="F185" s="2" t="str">
        <x:v>Body wash</x:v>
      </x:c>
      <x:c r="G185" s="2" t="str">
        <x:v>Online</x:v>
      </x:c>
      <x:c r="H185" s="2" t="n">
        <x:v>1</x:v>
      </x:c>
      <x:c r="I185" s="2" t="n">
        <x:v>4500</x:v>
      </x:c>
      <x:c r="J185" s="2" t="n">
        <x:v>2300</x:v>
      </x:c>
      <x:c r="K185" s="2" t="n">
        <x:v>0.05</x:v>
      </x:c>
      <x:c r="L185" s="2" t="str">
        <x:v>Completed</x:v>
      </x:c>
    </x:row>
    <x:row r="186" ht="21" customHeight="1">
      <x:c r="A186" s="2" t="n">
        <x:v>181</x:v>
      </x:c>
      <x:c r="B186" s="2" t="str">
        <x:v>TXN-00181</x:v>
      </x:c>
      <x:c r="C186" s="2" t="str">
        <x:v>2025-02-17</x:v>
      </x:c>
      <x:c r="D186" s="2" t="str">
        <x:v>Abuja</x:v>
      </x:c>
      <x:c r="E186" s="2" t="str">
        <x:v>Fashion</x:v>
      </x:c>
      <x:c r="F186" s="2" t="str">
        <x:v>Sneakers</x:v>
      </x:c>
      <x:c r="G186" s="2" t="str">
        <x:v>Online</x:v>
      </x:c>
      <x:c r="H186" s="2" t="n">
        <x:v>2</x:v>
      </x:c>
      <x:c r="I186" s="2" t="n">
        <x:v>28000</x:v>
      </x:c>
      <x:c r="J186" s="2" t="n">
        <x:v>17500</x:v>
      </x:c>
      <x:c r="K186" s="2" t="n">
        <x:v>0.05</x:v>
      </x:c>
      <x:c r="L186" s="2" t="str">
        <x:v> COMPLETED </x:v>
      </x:c>
    </x:row>
    <x:row r="187" ht="21" customHeight="1">
      <x:c r="A187" s="2" t="n">
        <x:v>182</x:v>
      </x:c>
      <x:c r="B187" s="2" t="str">
        <x:v>TXN-00182</x:v>
      </x:c>
      <x:c r="C187" s="2" t="str">
        <x:v>2025-02-09</x:v>
      </x:c>
      <x:c r="D187" s="2" t="str">
        <x:v>Kano</x:v>
      </x:c>
      <x:c r="E187" s="2" t="str">
        <x:v>Fashion</x:v>
      </x:c>
      <x:c r="F187" s="2" t="str">
        <x:v>T-shirt</x:v>
      </x:c>
      <x:c r="G187" s="2" t="str">
        <x:v>Online</x:v>
      </x:c>
      <x:c r="H187" s="2" t="n">
        <x:v>1</x:v>
      </x:c>
      <x:c r="I187" s="2" t="n">
        <x:v>9000</x:v>
      </x:c>
      <x:c r="J187" s="2" t="n">
        <x:v>5000</x:v>
      </x:c>
      <x:c r="K187" s="2" t="n">
        <x:v>0</x:v>
      </x:c>
      <x:c r="L187" s="2" t="str">
        <x:v>Completed</x:v>
      </x:c>
    </x:row>
    <x:row r="188" ht="21" customHeight="1">
      <x:c r="A188" s="2" t="n">
        <x:v>183</x:v>
      </x:c>
      <x:c r="B188" s="2" t="str">
        <x:v>TXN-00183</x:v>
      </x:c>
      <x:c r="C188" s="2" t="str">
        <x:v>2025-02-03</x:v>
      </x:c>
      <x:c r="D188" s="2" t="str">
        <x:v> abuja </x:v>
      </x:c>
      <x:c r="E188" s="2" t="str">
        <x:v>Electronics</x:v>
      </x:c>
      <x:c r="F188" s="2" t="str">
        <x:v>Bluetooth speaker</x:v>
      </x:c>
      <x:c r="G188" s="2" t="str">
        <x:v>Online</x:v>
      </x:c>
      <x:c r="H188" s="2" t="n">
        <x:v>1</x:v>
      </x:c>
      <x:c r="I188" s="2" t="n">
        <x:v>26000</x:v>
      </x:c>
      <x:c r="J188" s="2" t="n">
        <x:v>17000</x:v>
      </x:c>
      <x:c r="K188" s="2" t="n">
        <x:v>0.15</x:v>
      </x:c>
      <x:c r="L188" s="2" t="str">
        <x:v>Completed</x:v>
      </x:c>
    </x:row>
    <x:row r="189" ht="21" customHeight="1">
      <x:c r="A189" s="2" t="n">
        <x:v>184</x:v>
      </x:c>
      <x:c r="B189" s="2" t="str">
        <x:v>TXN-00184</x:v>
      </x:c>
      <x:c r="C189" s="2" t="str">
        <x:v>2025-02-18</x:v>
      </x:c>
      <x:c r="D189" s="2" t="str">
        <x:v>Kano</x:v>
      </x:c>
      <x:c r="E189" s="2" t="str">
        <x:v>Fashion</x:v>
      </x:c>
      <x:c r="F189" s="2" t="str">
        <x:v>T-shirt</x:v>
      </x:c>
      <x:c r="G189" s="2" t="str">
        <x:v>In-store</x:v>
      </x:c>
      <x:c r="H189" s="2" t="n">
        <x:v>3</x:v>
      </x:c>
      <x:c r="I189" s="2" t="n">
        <x:v>9000</x:v>
      </x:c>
      <x:c r="J189" s="2" t="n">
        <x:v>5000</x:v>
      </x:c>
      <x:c r="K189" s="2" t="str"/>
      <x:c r="L189" s="2" t="str">
        <x:v>Completed</x:v>
      </x:c>
    </x:row>
    <x:row r="190" ht="21" customHeight="1">
      <x:c r="A190" s="2" t="n">
        <x:v>185</x:v>
      </x:c>
      <x:c r="B190" s="2" t="str">
        <x:v>TXN-00185</x:v>
      </x:c>
      <x:c r="C190" s="2" t="str">
        <x:v>2025-02-03</x:v>
      </x:c>
      <x:c r="D190" s="2" t="str">
        <x:v>Lagos</x:v>
      </x:c>
      <x:c r="E190" s="2" t="str">
        <x:v>Electronics</x:v>
      </x:c>
      <x:c r="F190" s="2" t="str">
        <x:v>Headphones</x:v>
      </x:c>
      <x:c r="G190" s="2" t="str">
        <x:v>In-store</x:v>
      </x:c>
      <x:c r="H190" s="2" t="n">
        <x:v>2</x:v>
      </x:c>
      <x:c r="I190" s="2" t="n">
        <x:v>18000</x:v>
      </x:c>
      <x:c r="J190" s="2" t="n">
        <x:v>10500</x:v>
      </x:c>
      <x:c r="K190" s="2" t="n">
        <x:v>0</x:v>
      </x:c>
      <x:c r="L190" s="2" t="str">
        <x:v>Completed</x:v>
      </x:c>
    </x:row>
    <x:row r="191" ht="21" customHeight="1">
      <x:c r="A191" s="2" t="n">
        <x:v>186</x:v>
      </x:c>
      <x:c r="B191" s="2" t="str">
        <x:v>TXN-00186</x:v>
      </x:c>
      <x:c r="C191" s="2" t="str">
        <x:v>2025-02-07</x:v>
      </x:c>
      <x:c r="D191" s="2" t="str">
        <x:v>Lagos</x:v>
      </x:c>
      <x:c r="E191" s="2" t="str">
        <x:v>Beauty</x:v>
      </x:c>
      <x:c r="F191" s="2" t="str">
        <x:v>Perfume</x:v>
      </x:c>
      <x:c r="G191" s="2" t="str">
        <x:v>Online</x:v>
      </x:c>
      <x:c r="H191" s="2" t="n">
        <x:v>1</x:v>
      </x:c>
      <x:c r="I191" s="2" t="n">
        <x:v>17000</x:v>
      </x:c>
      <x:c r="J191" s="2" t="n">
        <x:v>9000</x:v>
      </x:c>
      <x:c r="K191" s="2" t="n">
        <x:v>0.05</x:v>
      </x:c>
      <x:c r="L191" s="2" t="str">
        <x:v>Completed</x:v>
      </x:c>
    </x:row>
    <x:row r="192" ht="21" customHeight="1">
      <x:c r="A192" s="2" t="n">
        <x:v>187</x:v>
      </x:c>
      <x:c r="B192" s="2" t="str">
        <x:v>TXN-00187</x:v>
      </x:c>
      <x:c r="C192" s="2" t="str">
        <x:v>2025-02-14</x:v>
      </x:c>
      <x:c r="D192" s="2" t="str">
        <x:v>Kano</x:v>
      </x:c>
      <x:c r="E192" s="2" t="str">
        <x:v>Beauty</x:v>
      </x:c>
      <x:c r="F192" s="2" t="str">
        <x:v>Body wash</x:v>
      </x:c>
      <x:c r="G192" s="2" t="str">
        <x:v>Online</x:v>
      </x:c>
      <x:c r="H192" s="2" t="n">
        <x:v>1</x:v>
      </x:c>
      <x:c r="I192" s="2" t="n">
        <x:v>4500</x:v>
      </x:c>
      <x:c r="J192" s="2" t="n">
        <x:v>2300</x:v>
      </x:c>
      <x:c r="K192" s="2" t="n">
        <x:v>0.05</x:v>
      </x:c>
      <x:c r="L192" s="2" t="str">
        <x:v>Completed</x:v>
      </x:c>
    </x:row>
    <x:row r="193" ht="21" customHeight="1">
      <x:c r="A193" s="2" t="n">
        <x:v>188</x:v>
      </x:c>
      <x:c r="B193" s="2" t="str">
        <x:v>TXN-00188</x:v>
      </x:c>
      <x:c r="C193" s="2" t="str">
        <x:v>2025-02-15</x:v>
      </x:c>
      <x:c r="D193" s="2" t="str">
        <x:v>Lagos</x:v>
      </x:c>
      <x:c r="E193" s="2" t="str">
        <x:v>Electronics</x:v>
      </x:c>
      <x:c r="F193" s="2" t="str">
        <x:v>Power bank</x:v>
      </x:c>
      <x:c r="G193" s="2" t="str">
        <x:v> online </x:v>
      </x:c>
      <x:c r="H193" s="2" t="n">
        <x:v>1</x:v>
      </x:c>
      <x:c r="I193" s="2" t="n">
        <x:v>15000</x:v>
      </x:c>
      <x:c r="J193" s="2" t="n">
        <x:v>9500</x:v>
      </x:c>
      <x:c r="K193" s="2" t="n">
        <x:v>0</x:v>
      </x:c>
      <x:c r="L193" s="2" t="str">
        <x:v>Returned</x:v>
      </x:c>
    </x:row>
    <x:row r="194" ht="21" customHeight="1">
      <x:c r="A194" s="2" t="n">
        <x:v>189</x:v>
      </x:c>
      <x:c r="B194" s="2" t="str">
        <x:v>TXN-00189</x:v>
      </x:c>
      <x:c r="C194" s="2" t="str">
        <x:v>2025-02-03</x:v>
      </x:c>
      <x:c r="D194" s="2" t="str">
        <x:v>Lagos</x:v>
      </x:c>
      <x:c r="E194" s="2" t="str">
        <x:v>Fashion</x:v>
      </x:c>
      <x:c r="F194" s="2" t="str">
        <x:v>T-shirt</x:v>
      </x:c>
      <x:c r="G194" s="2" t="str">
        <x:v>Online</x:v>
      </x:c>
      <x:c r="H194" s="2" t="n">
        <x:v>3</x:v>
      </x:c>
      <x:c r="I194" s="2" t="n">
        <x:v>9000</x:v>
      </x:c>
      <x:c r="J194" s="2" t="n">
        <x:v>5000</x:v>
      </x:c>
      <x:c r="K194" s="2" t="n">
        <x:v>0</x:v>
      </x:c>
      <x:c r="L194" s="2" t="str">
        <x:v>Completed</x:v>
      </x:c>
    </x:row>
    <x:row r="195" ht="21" customHeight="1">
      <x:c r="A195" s="2" t="n">
        <x:v>190</x:v>
      </x:c>
      <x:c r="B195" s="2" t="str">
        <x:v>TXN-00190</x:v>
      </x:c>
      <x:c r="C195" s="2" t="str">
        <x:v>2025-02-14</x:v>
      </x:c>
      <x:c r="D195" s="2" t="str">
        <x:v> kano </x:v>
      </x:c>
      <x:c r="E195" s="2" t="str">
        <x:v>Fashion</x:v>
      </x:c>
      <x:c r="F195" s="2" t="str">
        <x:v>T-shirt</x:v>
      </x:c>
      <x:c r="G195" s="2" t="str">
        <x:v>Online</x:v>
      </x:c>
      <x:c r="H195" s="2" t="n">
        <x:v>2</x:v>
      </x:c>
      <x:c r="I195" s="2" t="n">
        <x:v>9000</x:v>
      </x:c>
      <x:c r="J195" s="2" t="n">
        <x:v>5000</x:v>
      </x:c>
      <x:c r="K195" s="2" t="n">
        <x:v>0.1</x:v>
      </x:c>
      <x:c r="L195" s="2" t="str">
        <x:v> COMPLETED </x:v>
      </x:c>
    </x:row>
    <x:row r="196" ht="21" customHeight="1">
      <x:c r="A196" s="2" t="n">
        <x:v>191</x:v>
      </x:c>
      <x:c r="B196" s="2" t="str">
        <x:v>TXN-00191</x:v>
      </x:c>
      <x:c r="C196" s="2" t="str">
        <x:v>2025-02-08</x:v>
      </x:c>
      <x:c r="D196" s="2" t="str">
        <x:v>Lagos</x:v>
      </x:c>
      <x:c r="E196" s="2" t="str">
        <x:v>Fashion</x:v>
      </x:c>
      <x:c r="F196" s="2" t="str">
        <x:v>T-shirt</x:v>
      </x:c>
      <x:c r="G196" s="2" t="str">
        <x:v>Online</x:v>
      </x:c>
      <x:c r="H196" s="2" t="n">
        <x:v>3</x:v>
      </x:c>
      <x:c r="I196" s="2" t="n">
        <x:v>9000</x:v>
      </x:c>
      <x:c r="J196" s="2" t="n">
        <x:v>5000</x:v>
      </x:c>
      <x:c r="K196" s="2" t="n">
        <x:v>0.1</x:v>
      </x:c>
      <x:c r="L196" s="2" t="str">
        <x:v>Returned</x:v>
      </x:c>
    </x:row>
    <x:row r="197" ht="21" customHeight="1">
      <x:c r="A197" s="2" t="n">
        <x:v>192</x:v>
      </x:c>
      <x:c r="B197" s="2" t="str">
        <x:v>TXN-00192</x:v>
      </x:c>
      <x:c r="C197" s="2" t="str">
        <x:v>2025-02-08</x:v>
      </x:c>
      <x:c r="D197" s="2" t="str">
        <x:v>Port Harcourt</x:v>
      </x:c>
      <x:c r="E197" s="2" t="str">
        <x:v>Electronics</x:v>
      </x:c>
      <x:c r="F197" s="2" t="str">
        <x:v>Bluetooth speaker</x:v>
      </x:c>
      <x:c r="G197" s="2" t="str">
        <x:v>In-store</x:v>
      </x:c>
      <x:c r="H197" s="2" t="n">
        <x:v>1</x:v>
      </x:c>
      <x:c r="I197" s="2" t="n">
        <x:v>26000</x:v>
      </x:c>
      <x:c r="J197" s="2" t="n">
        <x:v>17000</x:v>
      </x:c>
      <x:c r="K197" s="2" t="n">
        <x:v>0</x:v>
      </x:c>
      <x:c r="L197" s="2" t="str">
        <x:v>Completed</x:v>
      </x:c>
    </x:row>
    <x:row r="198" ht="21" customHeight="1">
      <x:c r="A198" s="2" t="n">
        <x:v>193</x:v>
      </x:c>
      <x:c r="B198" s="2" t="str">
        <x:v>TXN-00193</x:v>
      </x:c>
      <x:c r="C198" s="2" t="str">
        <x:v>2025-02-15</x:v>
      </x:c>
      <x:c r="D198" s="2" t="str">
        <x:v>Lagos</x:v>
      </x:c>
      <x:c r="E198" s="2" t="str">
        <x:v>Fashion</x:v>
      </x:c>
      <x:c r="F198" s="2" t="str">
        <x:v>Handbag</x:v>
      </x:c>
      <x:c r="G198" s="2" t="str">
        <x:v>Online</x:v>
      </x:c>
      <x:c r="H198" s="2" t="n">
        <x:v>2</x:v>
      </x:c>
      <x:c r="I198" s="2" t="n">
        <x:v>22000</x:v>
      </x:c>
      <x:c r="J198" s="2" t="n">
        <x:v>13500</x:v>
      </x:c>
      <x:c r="K198" s="2" t="n">
        <x:v>0.1</x:v>
      </x:c>
      <x:c r="L198" s="2" t="str">
        <x:v>Returned</x:v>
      </x:c>
    </x:row>
    <x:row r="199" ht="21" customHeight="1">
      <x:c r="A199" s="2" t="n">
        <x:v>194</x:v>
      </x:c>
      <x:c r="B199" s="2" t="str">
        <x:v>TXN-00194</x:v>
      </x:c>
      <x:c r="C199" s="2" t="str">
        <x:v>2025-02-02</x:v>
      </x:c>
      <x:c r="D199" s="2" t="str">
        <x:v>Kano</x:v>
      </x:c>
      <x:c r="E199" s="2" t="str">
        <x:v>Fashion</x:v>
      </x:c>
      <x:c r="F199" s="2" t="str">
        <x:v>T-shirt</x:v>
      </x:c>
      <x:c r="G199" s="2" t="str">
        <x:v>In-store</x:v>
      </x:c>
      <x:c r="H199" s="2" t="n">
        <x:v>3</x:v>
      </x:c>
      <x:c r="I199" s="2" t="n">
        <x:v>9000</x:v>
      </x:c>
      <x:c r="J199" s="2" t="n">
        <x:v>5000</x:v>
      </x:c>
      <x:c r="K199" s="2" t="n">
        <x:v>0.1</x:v>
      </x:c>
      <x:c r="L199" s="2" t="str">
        <x:v>Completed</x:v>
      </x:c>
    </x:row>
    <x:row r="200" ht="21" customHeight="1">
      <x:c r="A200" s="2" t="n">
        <x:v>195</x:v>
      </x:c>
      <x:c r="B200" s="2" t="str">
        <x:v>TXN-00195</x:v>
      </x:c>
      <x:c r="C200" s="2" t="str">
        <x:v>2025-02-16</x:v>
      </x:c>
      <x:c r="D200" s="2" t="str">
        <x:v>Lagos</x:v>
      </x:c>
      <x:c r="E200" s="2" t="str">
        <x:v>Electronics</x:v>
      </x:c>
      <x:c r="F200" s="2" t="str">
        <x:v>Bluetooth speaker</x:v>
      </x:c>
      <x:c r="G200" s="2" t="str">
        <x:v>In-store</x:v>
      </x:c>
      <x:c r="H200" s="2" t="n">
        <x:v>1</x:v>
      </x:c>
      <x:c r="I200" s="2" t="n">
        <x:v>26000</x:v>
      </x:c>
      <x:c r="J200" s="2" t="n">
        <x:v>17000</x:v>
      </x:c>
      <x:c r="K200" s="2" t="str"/>
      <x:c r="L200" s="2" t="str">
        <x:v>Completed</x:v>
      </x:c>
    </x:row>
    <x:row r="201" ht="21" customHeight="1">
      <x:c r="A201" s="2" t="n">
        <x:v>196</x:v>
      </x:c>
      <x:c r="B201" s="2" t="str">
        <x:v>TXN-00196</x:v>
      </x:c>
      <x:c r="C201" s="2" t="str">
        <x:v>2025-02-28</x:v>
      </x:c>
      <x:c r="D201" s="2" t="str">
        <x:v>Port Harcourt</x:v>
      </x:c>
      <x:c r="E201" s="2" t="str">
        <x:v>Fashion</x:v>
      </x:c>
      <x:c r="F201" s="2" t="str">
        <x:v>Sneakers</x:v>
      </x:c>
      <x:c r="G201" s="2" t="str">
        <x:v>Online</x:v>
      </x:c>
      <x:c r="H201" s="2" t="n">
        <x:v>1</x:v>
      </x:c>
      <x:c r="I201" s="2" t="n">
        <x:v>28000</x:v>
      </x:c>
      <x:c r="J201" s="2" t="n">
        <x:v>17500</x:v>
      </x:c>
      <x:c r="K201" s="2" t="n">
        <x:v>0.1</x:v>
      </x:c>
      <x:c r="L201" s="2" t="str">
        <x:v>Completed</x:v>
      </x:c>
    </x:row>
    <x:row r="202" ht="21" customHeight="1">
      <x:c r="A202" s="2" t="n">
        <x:v>197</x:v>
      </x:c>
      <x:c r="B202" s="2" t="str">
        <x:v>TXN-00197</x:v>
      </x:c>
      <x:c r="C202" s="2" t="str">
        <x:v>2025-02-02</x:v>
      </x:c>
      <x:c r="D202" s="2" t="str">
        <x:v> abuja </x:v>
      </x:c>
      <x:c r="E202" s="2" t="str">
        <x:v>Home</x:v>
      </x:c>
      <x:c r="F202" s="2" t="str">
        <x:v>Bedsheet</x:v>
      </x:c>
      <x:c r="G202" s="2" t="str">
        <x:v>Online</x:v>
      </x:c>
      <x:c r="H202" s="2" t="n">
        <x:v>2</x:v>
      </x:c>
      <x:c r="I202" s="2" t="n">
        <x:v>14000</x:v>
      </x:c>
      <x:c r="J202" s="2" t="n">
        <x:v>8500</x:v>
      </x:c>
      <x:c r="K202" s="2" t="n">
        <x:v>0.1</x:v>
      </x:c>
      <x:c r="L202" s="2" t="str">
        <x:v>Completed</x:v>
      </x:c>
    </x:row>
    <x:row r="203" ht="21" customHeight="1">
      <x:c r="A203" s="2" t="n">
        <x:v>198</x:v>
      </x:c>
      <x:c r="B203" s="2" t="str">
        <x:v>TXN-00198</x:v>
      </x:c>
      <x:c r="C203" s="2" t="str">
        <x:v>2025-02-28</x:v>
      </x:c>
      <x:c r="D203" s="2" t="str">
        <x:v>Abuja</x:v>
      </x:c>
      <x:c r="E203" s="2" t="str">
        <x:v>Home</x:v>
      </x:c>
      <x:c r="F203" s="2" t="str">
        <x:v>Desk lamp</x:v>
      </x:c>
      <x:c r="G203" s="2" t="str">
        <x:v>Online</x:v>
      </x:c>
      <x:c r="H203" s="2" t="n">
        <x:v>1</x:v>
      </x:c>
      <x:c r="I203" s="2" t="n">
        <x:v>12000</x:v>
      </x:c>
      <x:c r="J203" s="2" t="n">
        <x:v>7200</x:v>
      </x:c>
      <x:c r="K203" s="2" t="n">
        <x:v>0.05</x:v>
      </x:c>
      <x:c r="L203" s="2" t="str">
        <x:v>Completed</x:v>
      </x:c>
    </x:row>
    <x:row r="204" ht="21" customHeight="1">
      <x:c r="A204" s="2" t="n">
        <x:v>199</x:v>
      </x:c>
      <x:c r="B204" s="2" t="str">
        <x:v>TXN-00199</x:v>
      </x:c>
      <x:c r="C204" s="2" t="str">
        <x:v>2025-03-13</x:v>
      </x:c>
      <x:c r="D204" s="2" t="str">
        <x:v>Abuja</x:v>
      </x:c>
      <x:c r="E204" s="2" t="str">
        <x:v>Electronics</x:v>
      </x:c>
      <x:c r="F204" s="2" t="str">
        <x:v>Headphones</x:v>
      </x:c>
      <x:c r="G204" s="2" t="str">
        <x:v> online </x:v>
      </x:c>
      <x:c r="H204" s="2" t="n">
        <x:v>1</x:v>
      </x:c>
      <x:c r="I204" s="2" t="n">
        <x:v>18000</x:v>
      </x:c>
      <x:c r="J204" s="2" t="n">
        <x:v>10500</x:v>
      </x:c>
      <x:c r="K204" s="2" t="n">
        <x:v>0.05</x:v>
      </x:c>
      <x:c r="L204" s="2" t="str">
        <x:v> COMPLETED </x:v>
      </x:c>
    </x:row>
    <x:row r="205" ht="21" customHeight="1">
      <x:c r="A205" s="2" t="n">
        <x:v>200</x:v>
      </x:c>
      <x:c r="B205" s="2" t="str">
        <x:v>TXN-00200</x:v>
      </x:c>
      <x:c r="C205" s="2" t="str">
        <x:v>2025-03-05</x:v>
      </x:c>
      <x:c r="D205" s="2" t="str">
        <x:v>Abuja</x:v>
      </x:c>
      <x:c r="E205" s="2" t="str">
        <x:v>Home</x:v>
      </x:c>
      <x:c r="F205" s="2" t="str">
        <x:v>Bedsheet</x:v>
      </x:c>
      <x:c r="G205" s="2" t="str">
        <x:v>In-store</x:v>
      </x:c>
      <x:c r="H205" s="2" t="n">
        <x:v>1</x:v>
      </x:c>
      <x:c r="I205" s="2" t="n">
        <x:v>14000</x:v>
      </x:c>
      <x:c r="J205" s="2" t="n">
        <x:v>8500</x:v>
      </x:c>
      <x:c r="K205" s="2" t="n">
        <x:v>0.05</x:v>
      </x:c>
      <x:c r="L205" s="2" t="str">
        <x:v>Completed</x:v>
      </x:c>
    </x:row>
    <x:row r="206" ht="21" customHeight="1">
      <x:c r="A206" s="2" t="n">
        <x:v>201</x:v>
      </x:c>
      <x:c r="B206" s="2" t="str">
        <x:v>TXN-00201</x:v>
      </x:c>
      <x:c r="C206" s="2" t="str">
        <x:v>2025-03-30</x:v>
      </x:c>
      <x:c r="D206" s="2" t="str">
        <x:v>Abuja</x:v>
      </x:c>
      <x:c r="E206" s="2" t="str">
        <x:v>Fashion</x:v>
      </x:c>
      <x:c r="F206" s="2" t="str">
        <x:v>T-shirt</x:v>
      </x:c>
      <x:c r="G206" s="2" t="str">
        <x:v>Online</x:v>
      </x:c>
      <x:c r="H206" s="2" t="n">
        <x:v>1</x:v>
      </x:c>
      <x:c r="I206" s="2" t="n">
        <x:v>9000</x:v>
      </x:c>
      <x:c r="J206" s="2" t="n">
        <x:v>5000</x:v>
      </x:c>
      <x:c r="K206" s="2" t="n">
        <x:v>0.05</x:v>
      </x:c>
      <x:c r="L206" s="2" t="str">
        <x:v>Completed</x:v>
      </x:c>
    </x:row>
    <x:row r="207" ht="21" customHeight="1">
      <x:c r="A207" s="2" t="n">
        <x:v>202</x:v>
      </x:c>
      <x:c r="B207" s="2" t="str">
        <x:v>TXN-00202</x:v>
      </x:c>
      <x:c r="C207" s="2" t="str">
        <x:v>2025-03-28</x:v>
      </x:c>
      <x:c r="D207" s="2" t="str">
        <x:v>Lagos</x:v>
      </x:c>
      <x:c r="E207" s="2" t="str">
        <x:v>Electronics</x:v>
      </x:c>
      <x:c r="F207" s="2" t="str">
        <x:v>Bluetooth speaker</x:v>
      </x:c>
      <x:c r="G207" s="2" t="str">
        <x:v>In-store</x:v>
      </x:c>
      <x:c r="H207" s="2" t="n">
        <x:v>3</x:v>
      </x:c>
      <x:c r="I207" s="2" t="n">
        <x:v>26000</x:v>
      </x:c>
      <x:c r="J207" s="2" t="n">
        <x:v>17000</x:v>
      </x:c>
      <x:c r="K207" s="2" t="n">
        <x:v>0</x:v>
      </x:c>
      <x:c r="L207" s="2" t="str">
        <x:v>Completed</x:v>
      </x:c>
    </x:row>
    <x:row r="208" ht="21" customHeight="1">
      <x:c r="A208" s="2" t="n">
        <x:v>203</x:v>
      </x:c>
      <x:c r="B208" s="2" t="str">
        <x:v>TXN-00203</x:v>
      </x:c>
      <x:c r="C208" s="2" t="str">
        <x:v>2025-03-14</x:v>
      </x:c>
      <x:c r="D208" s="2" t="str">
        <x:v>Lagos</x:v>
      </x:c>
      <x:c r="E208" s="2" t="str">
        <x:v>Beauty</x:v>
      </x:c>
      <x:c r="F208" s="2" t="str">
        <x:v>Moisturizer</x:v>
      </x:c>
      <x:c r="G208" s="2" t="str">
        <x:v>In-store</x:v>
      </x:c>
      <x:c r="H208" s="2" t="n">
        <x:v>1</x:v>
      </x:c>
      <x:c r="I208" s="2" t="n">
        <x:v>6500</x:v>
      </x:c>
      <x:c r="J208" s="2" t="n">
        <x:v>3500</x:v>
      </x:c>
      <x:c r="K208" s="2" t="n">
        <x:v>0</x:v>
      </x:c>
      <x:c r="L208" s="2" t="str">
        <x:v>Returned</x:v>
      </x:c>
    </x:row>
    <x:row r="209" ht="21" customHeight="1">
      <x:c r="A209" s="2" t="n">
        <x:v>204</x:v>
      </x:c>
      <x:c r="B209" s="2" t="str">
        <x:v>TXN-00204</x:v>
      </x:c>
      <x:c r="C209" s="2" t="str">
        <x:v>2025-03-28</x:v>
      </x:c>
      <x:c r="D209" s="2" t="str">
        <x:v> lagos </x:v>
      </x:c>
      <x:c r="E209" s="2" t="str">
        <x:v>Home</x:v>
      </x:c>
      <x:c r="F209" s="2" t="str">
        <x:v>Cookware set</x:v>
      </x:c>
      <x:c r="G209" s="2" t="str">
        <x:v>Online</x:v>
      </x:c>
      <x:c r="H209" s="2" t="n">
        <x:v>2</x:v>
      </x:c>
      <x:c r="I209" s="2" t="n">
        <x:v>35000</x:v>
      </x:c>
      <x:c r="J209" s="2" t="n">
        <x:v>22500</x:v>
      </x:c>
      <x:c r="K209" s="2" t="n">
        <x:v>0.1</x:v>
      </x:c>
      <x:c r="L209" s="2" t="str">
        <x:v>Completed</x:v>
      </x:c>
    </x:row>
    <x:row r="210" ht="21" customHeight="1">
      <x:c r="A210" s="2" t="n">
        <x:v>205</x:v>
      </x:c>
      <x:c r="B210" s="2" t="str">
        <x:v>TXN-00205</x:v>
      </x:c>
      <x:c r="C210" s="2" t="str">
        <x:v>2025-03-31</x:v>
      </x:c>
      <x:c r="D210" s="2" t="str">
        <x:v>Lagos</x:v>
      </x:c>
      <x:c r="E210" s="2" t="str">
        <x:v>Fashion</x:v>
      </x:c>
      <x:c r="F210" s="2" t="str">
        <x:v>Sneakers</x:v>
      </x:c>
      <x:c r="G210" s="2" t="str">
        <x:v>Online</x:v>
      </x:c>
      <x:c r="H210" s="2" t="n">
        <x:v>2</x:v>
      </x:c>
      <x:c r="I210" s="2" t="n">
        <x:v>28000</x:v>
      </x:c>
      <x:c r="J210" s="2" t="n">
        <x:v>17500</x:v>
      </x:c>
      <x:c r="K210" s="2" t="n">
        <x:v>0.05</x:v>
      </x:c>
      <x:c r="L210" s="2" t="str">
        <x:v>Completed</x:v>
      </x:c>
    </x:row>
    <x:row r="211" ht="21" customHeight="1">
      <x:c r="A211" s="2" t="n">
        <x:v>206</x:v>
      </x:c>
      <x:c r="B211" s="2" t="str">
        <x:v>TXN-00206</x:v>
      </x:c>
      <x:c r="C211" s="2" t="str">
        <x:v>2025-03-11</x:v>
      </x:c>
      <x:c r="D211" s="2" t="str">
        <x:v>Lagos</x:v>
      </x:c>
      <x:c r="E211" s="2" t="str">
        <x:v>Electronics</x:v>
      </x:c>
      <x:c r="F211" s="2" t="str">
        <x:v>Headphones</x:v>
      </x:c>
      <x:c r="G211" s="2" t="str">
        <x:v>Online</x:v>
      </x:c>
      <x:c r="H211" s="2" t="n">
        <x:v>1</x:v>
      </x:c>
      <x:c r="I211" s="2" t="n">
        <x:v>18000</x:v>
      </x:c>
      <x:c r="J211" s="2" t="n">
        <x:v>10500</x:v>
      </x:c>
      <x:c r="K211" s="2" t="n">
        <x:v>0</x:v>
      </x:c>
      <x:c r="L211" s="2" t="str">
        <x:v>Completed</x:v>
      </x:c>
    </x:row>
    <x:row r="212" ht="21" customHeight="1">
      <x:c r="A212" s="2" t="n">
        <x:v>207</x:v>
      </x:c>
      <x:c r="B212" s="2" t="str">
        <x:v>TXN-00207</x:v>
      </x:c>
      <x:c r="C212" s="2" t="str">
        <x:v>2025-03-25</x:v>
      </x:c>
      <x:c r="D212" s="2" t="str"/>
      <x:c r="E212" s="2" t="str">
        <x:v>Beauty</x:v>
      </x:c>
      <x:c r="F212" s="2" t="str">
        <x:v>Perfume</x:v>
      </x:c>
      <x:c r="G212" s="2" t="str">
        <x:v>In-store</x:v>
      </x:c>
      <x:c r="H212" s="2" t="n">
        <x:v>1</x:v>
      </x:c>
      <x:c r="I212" s="2" t="n">
        <x:v>17000</x:v>
      </x:c>
      <x:c r="J212" s="2" t="n">
        <x:v>9000</x:v>
      </x:c>
      <x:c r="K212" s="2" t="n">
        <x:v>0</x:v>
      </x:c>
      <x:c r="L212" s="2" t="str">
        <x:v>Completed</x:v>
      </x:c>
    </x:row>
    <x:row r="213" ht="21" customHeight="1">
      <x:c r="A213" s="2" t="n">
        <x:v>208</x:v>
      </x:c>
      <x:c r="B213" s="2" t="str">
        <x:v>TXN-00208</x:v>
      </x:c>
      <x:c r="C213" s="2" t="str">
        <x:v>2025-03-09</x:v>
      </x:c>
      <x:c r="D213" s="2" t="str">
        <x:v>Abuja</x:v>
      </x:c>
      <x:c r="E213" s="2" t="str">
        <x:v>Home</x:v>
      </x:c>
      <x:c r="F213" s="2" t="str">
        <x:v>Desk lamp</x:v>
      </x:c>
      <x:c r="G213" s="2" t="str">
        <x:v>Online</x:v>
      </x:c>
      <x:c r="H213" s="2" t="n">
        <x:v>2</x:v>
      </x:c>
      <x:c r="I213" s="2" t="n">
        <x:v>12000</x:v>
      </x:c>
      <x:c r="J213" s="2" t="n">
        <x:v>7200</x:v>
      </x:c>
      <x:c r="K213" s="2" t="str"/>
      <x:c r="L213" s="2" t="str">
        <x:v> COMPLETED </x:v>
      </x:c>
    </x:row>
    <x:row r="214" ht="21" customHeight="1">
      <x:c r="A214" s="2" t="n">
        <x:v>209</x:v>
      </x:c>
      <x:c r="B214" s="2" t="str">
        <x:v>TXN-00209</x:v>
      </x:c>
      <x:c r="C214" s="2" t="str">
        <x:v>2025-03-30</x:v>
      </x:c>
      <x:c r="D214" s="2" t="str">
        <x:v>Abuja</x:v>
      </x:c>
      <x:c r="E214" s="2" t="str">
        <x:v>Electronics</x:v>
      </x:c>
      <x:c r="F214" s="2" t="str">
        <x:v>Bluetooth speaker</x:v>
      </x:c>
      <x:c r="G214" s="2" t="str">
        <x:v>In-store</x:v>
      </x:c>
      <x:c r="H214" s="2" t="n">
        <x:v>2</x:v>
      </x:c>
      <x:c r="I214" s="2" t="n">
        <x:v>26000</x:v>
      </x:c>
      <x:c r="J214" s="2" t="n">
        <x:v>17000</x:v>
      </x:c>
      <x:c r="K214" s="2" t="n">
        <x:v>0</x:v>
      </x:c>
      <x:c r="L214" s="2" t="str">
        <x:v>Completed</x:v>
      </x:c>
    </x:row>
    <x:row r="215" ht="21" customHeight="1">
      <x:c r="A215" s="2" t="n">
        <x:v>210</x:v>
      </x:c>
      <x:c r="B215" s="2" t="str">
        <x:v>TXN-00210</x:v>
      </x:c>
      <x:c r="C215" s="2" t="str">
        <x:v>2025-03-20</x:v>
      </x:c>
      <x:c r="D215" s="2" t="str">
        <x:v>Lagos</x:v>
      </x:c>
      <x:c r="E215" s="2" t="str">
        <x:v>Electronics</x:v>
      </x:c>
      <x:c r="F215" s="2" t="str">
        <x:v>Headphones</x:v>
      </x:c>
      <x:c r="G215" s="2" t="str">
        <x:v> online </x:v>
      </x:c>
      <x:c r="H215" s="2" t="n">
        <x:v>1</x:v>
      </x:c>
      <x:c r="I215" s="2" t="n">
        <x:v>18000</x:v>
      </x:c>
      <x:c r="J215" s="2" t="n">
        <x:v>10500</x:v>
      </x:c>
      <x:c r="K215" s="2" t="n">
        <x:v>0</x:v>
      </x:c>
      <x:c r="L215" s="2" t="str">
        <x:v>Completed</x:v>
      </x:c>
    </x:row>
    <x:row r="216" ht="21" customHeight="1">
      <x:c r="A216" s="2" t="n">
        <x:v>211</x:v>
      </x:c>
      <x:c r="B216" s="2" t="str">
        <x:v>TXN-00211</x:v>
      </x:c>
      <x:c r="C216" s="2" t="str">
        <x:v>2025-03-11</x:v>
      </x:c>
      <x:c r="D216" s="2" t="str">
        <x:v> kano </x:v>
      </x:c>
      <x:c r="E216" s="2" t="str">
        <x:v>Electronics</x:v>
      </x:c>
      <x:c r="F216" s="2" t="str">
        <x:v>Power bank</x:v>
      </x:c>
      <x:c r="G216" s="2" t="str">
        <x:v>In-store</x:v>
      </x:c>
      <x:c r="H216" s="2" t="n">
        <x:v>3</x:v>
      </x:c>
      <x:c r="I216" s="2" t="n">
        <x:v>15000</x:v>
      </x:c>
      <x:c r="J216" s="2" t="n">
        <x:v>9500</x:v>
      </x:c>
      <x:c r="K216" s="2" t="n">
        <x:v>0.05</x:v>
      </x:c>
      <x:c r="L216" s="2" t="str">
        <x:v>Completed</x:v>
      </x:c>
    </x:row>
    <x:row r="217" ht="21" customHeight="1">
      <x:c r="A217" s="2" t="n">
        <x:v>212</x:v>
      </x:c>
      <x:c r="B217" s="2" t="str">
        <x:v>TXN-00212</x:v>
      </x:c>
      <x:c r="C217" s="2" t="str">
        <x:v>2025-03-26</x:v>
      </x:c>
      <x:c r="D217" s="2" t="str">
        <x:v>Port Harcourt</x:v>
      </x:c>
      <x:c r="E217" s="2" t="str">
        <x:v>Electronics</x:v>
      </x:c>
      <x:c r="F217" s="2" t="str">
        <x:v>Headphones</x:v>
      </x:c>
      <x:c r="G217" s="2" t="str">
        <x:v>Online</x:v>
      </x:c>
      <x:c r="H217" s="2" t="n">
        <x:v>1</x:v>
      </x:c>
      <x:c r="I217" s="2" t="n">
        <x:v>18000</x:v>
      </x:c>
      <x:c r="J217" s="2" t="n">
        <x:v>10500</x:v>
      </x:c>
      <x:c r="K217" s="2" t="n">
        <x:v>0</x:v>
      </x:c>
      <x:c r="L217" s="2" t="str">
        <x:v>Completed</x:v>
      </x:c>
    </x:row>
    <x:row r="218" ht="21" customHeight="1">
      <x:c r="A218" s="2" t="n">
        <x:v>213</x:v>
      </x:c>
      <x:c r="B218" s="2" t="str">
        <x:v>TXN-00213</x:v>
      </x:c>
      <x:c r="C218" s="2" t="str">
        <x:v>2025-03-27</x:v>
      </x:c>
      <x:c r="D218" s="2" t="str">
        <x:v>Abuja</x:v>
      </x:c>
      <x:c r="E218" s="2" t="str">
        <x:v>Electronics</x:v>
      </x:c>
      <x:c r="F218" s="2" t="str">
        <x:v>Bluetooth speaker</x:v>
      </x:c>
      <x:c r="G218" s="2" t="str">
        <x:v>Online</x:v>
      </x:c>
      <x:c r="H218" s="2" t="n">
        <x:v>1</x:v>
      </x:c>
      <x:c r="I218" s="2" t="n">
        <x:v>26000</x:v>
      </x:c>
      <x:c r="J218" s="2" t="n">
        <x:v>17000</x:v>
      </x:c>
      <x:c r="K218" s="2" t="n">
        <x:v>0.1</x:v>
      </x:c>
      <x:c r="L218" s="2" t="str">
        <x:v>Completed</x:v>
      </x:c>
    </x:row>
    <x:row r="219" ht="21" customHeight="1">
      <x:c r="A219" s="2" t="n">
        <x:v>214</x:v>
      </x:c>
      <x:c r="B219" s="2" t="str">
        <x:v>TXN-00214</x:v>
      </x:c>
      <x:c r="C219" s="2" t="str">
        <x:v>2025-03-05</x:v>
      </x:c>
      <x:c r="D219" s="2" t="str">
        <x:v>Port Harcourt</x:v>
      </x:c>
      <x:c r="E219" s="2" t="str">
        <x:v>Fashion</x:v>
      </x:c>
      <x:c r="F219" s="2" t="str">
        <x:v>T-shirt</x:v>
      </x:c>
      <x:c r="G219" s="2" t="str">
        <x:v>Online</x:v>
      </x:c>
      <x:c r="H219" s="2" t="n">
        <x:v>1</x:v>
      </x:c>
      <x:c r="I219" s="2" t="n">
        <x:v>9000</x:v>
      </x:c>
      <x:c r="J219" s="2" t="n">
        <x:v>5000</x:v>
      </x:c>
      <x:c r="K219" s="2" t="n">
        <x:v>0</x:v>
      </x:c>
      <x:c r="L219" s="2" t="str">
        <x:v>Completed</x:v>
      </x:c>
    </x:row>
    <x:row r="220" ht="21" customHeight="1">
      <x:c r="A220" s="2" t="n">
        <x:v>215</x:v>
      </x:c>
      <x:c r="B220" s="2" t="str">
        <x:v>TXN-00215</x:v>
      </x:c>
      <x:c r="C220" s="2" t="str">
        <x:v>2025-03-18</x:v>
      </x:c>
      <x:c r="D220" s="2" t="str">
        <x:v>Lagos</x:v>
      </x:c>
      <x:c r="E220" s="2" t="str">
        <x:v>Fashion</x:v>
      </x:c>
      <x:c r="F220" s="2" t="str">
        <x:v>Handbag</x:v>
      </x:c>
      <x:c r="G220" s="2" t="str">
        <x:v>Online</x:v>
      </x:c>
      <x:c r="H220" s="2" t="n">
        <x:v>1</x:v>
      </x:c>
      <x:c r="I220" s="2" t="n">
        <x:v>22000</x:v>
      </x:c>
      <x:c r="J220" s="2" t="n">
        <x:v>13500</x:v>
      </x:c>
      <x:c r="K220" s="2" t="n">
        <x:v>0</x:v>
      </x:c>
      <x:c r="L220" s="2" t="str">
        <x:v>Completed</x:v>
      </x:c>
    </x:row>
    <x:row r="221" ht="21" customHeight="1">
      <x:c r="A221" s="2" t="n">
        <x:v>216</x:v>
      </x:c>
      <x:c r="B221" s="2" t="str">
        <x:v>TXN-00216</x:v>
      </x:c>
      <x:c r="C221" s="2" t="str">
        <x:v>2025-03-16</x:v>
      </x:c>
      <x:c r="D221" s="2" t="str">
        <x:v>Port Harcourt</x:v>
      </x:c>
      <x:c r="E221" s="2" t="str">
        <x:v>Electronics</x:v>
      </x:c>
      <x:c r="F221" s="2" t="str">
        <x:v>Headphones</x:v>
      </x:c>
      <x:c r="G221" s="2" t="str">
        <x:v>In-store</x:v>
      </x:c>
      <x:c r="H221" s="2" t="n">
        <x:v>1</x:v>
      </x:c>
      <x:c r="I221" s="2" t="n">
        <x:v>18000</x:v>
      </x:c>
      <x:c r="J221" s="2" t="n">
        <x:v>10500</x:v>
      </x:c>
      <x:c r="K221" s="2" t="n">
        <x:v>0</x:v>
      </x:c>
      <x:c r="L221" s="2" t="str">
        <x:v>Completed</x:v>
      </x:c>
    </x:row>
    <x:row r="222" ht="21" customHeight="1">
      <x:c r="A222" s="2" t="n">
        <x:v>217</x:v>
      </x:c>
      <x:c r="B222" s="2" t="str">
        <x:v>TXN-00217</x:v>
      </x:c>
      <x:c r="C222" s="2" t="str">
        <x:v>2025-03-31</x:v>
      </x:c>
      <x:c r="D222" s="2" t="str">
        <x:v>Lagos</x:v>
      </x:c>
      <x:c r="E222" s="2" t="str">
        <x:v>Beauty</x:v>
      </x:c>
      <x:c r="F222" s="2" t="str">
        <x:v>Body wash</x:v>
      </x:c>
      <x:c r="G222" s="2" t="str">
        <x:v>Online</x:v>
      </x:c>
      <x:c r="H222" s="2" t="n">
        <x:v>3</x:v>
      </x:c>
      <x:c r="I222" s="2" t="n">
        <x:v>4500</x:v>
      </x:c>
      <x:c r="J222" s="2" t="n">
        <x:v>2300</x:v>
      </x:c>
      <x:c r="K222" s="2" t="n">
        <x:v>0.15</x:v>
      </x:c>
      <x:c r="L222" s="2" t="str">
        <x:v> COMPLETED </x:v>
      </x:c>
    </x:row>
    <x:row r="223" ht="21" customHeight="1">
      <x:c r="A223" s="2" t="n">
        <x:v>218</x:v>
      </x:c>
      <x:c r="B223" s="2" t="str">
        <x:v>TXN-00218</x:v>
      </x:c>
      <x:c r="C223" s="2" t="str">
        <x:v>2025-03-21</x:v>
      </x:c>
      <x:c r="D223" s="2" t="str">
        <x:v> lagos </x:v>
      </x:c>
      <x:c r="E223" s="2" t="str">
        <x:v>Electronics</x:v>
      </x:c>
      <x:c r="F223" s="2" t="str">
        <x:v>Bluetooth speaker</x:v>
      </x:c>
      <x:c r="G223" s="2" t="str">
        <x:v>Online</x:v>
      </x:c>
      <x:c r="H223" s="2" t="n">
        <x:v>1</x:v>
      </x:c>
      <x:c r="I223" s="2" t="n">
        <x:v>26000</x:v>
      </x:c>
      <x:c r="J223" s="2" t="n">
        <x:v>17000</x:v>
      </x:c>
      <x:c r="K223" s="2" t="n">
        <x:v>0</x:v>
      </x:c>
      <x:c r="L223" s="2" t="str">
        <x:v>Completed</x:v>
      </x:c>
    </x:row>
    <x:row r="224" ht="21" customHeight="1">
      <x:c r="A224" s="2" t="n">
        <x:v>219</x:v>
      </x:c>
      <x:c r="B224" s="2" t="str">
        <x:v>TXN-00219</x:v>
      </x:c>
      <x:c r="C224" s="2" t="str">
        <x:v>2025-03-18</x:v>
      </x:c>
      <x:c r="D224" s="2" t="str">
        <x:v>Lagos</x:v>
      </x:c>
      <x:c r="E224" s="2" t="str">
        <x:v>Electronics</x:v>
      </x:c>
      <x:c r="F224" s="2" t="str">
        <x:v>Power bank</x:v>
      </x:c>
      <x:c r="G224" s="2" t="str">
        <x:v>In-store</x:v>
      </x:c>
      <x:c r="H224" s="2" t="n">
        <x:v>1</x:v>
      </x:c>
      <x:c r="I224" s="2" t="n">
        <x:v>15000</x:v>
      </x:c>
      <x:c r="J224" s="2" t="n">
        <x:v>9500</x:v>
      </x:c>
      <x:c r="K224" s="2" t="n">
        <x:v>0.05</x:v>
      </x:c>
      <x:c r="L224" s="2" t="str">
        <x:v>Completed</x:v>
      </x:c>
    </x:row>
    <x:row r="225" ht="21" customHeight="1">
      <x:c r="A225" s="2" t="n">
        <x:v>220</x:v>
      </x:c>
      <x:c r="B225" s="2" t="str">
        <x:v>TXN-00220</x:v>
      </x:c>
      <x:c r="C225" s="2" t="str">
        <x:v>2025-03-03</x:v>
      </x:c>
      <x:c r="D225" s="2" t="str">
        <x:v>Port Harcourt</x:v>
      </x:c>
      <x:c r="E225" s="2" t="str">
        <x:v>Electronics</x:v>
      </x:c>
      <x:c r="F225" s="2" t="str">
        <x:v>Headphones</x:v>
      </x:c>
      <x:c r="G225" s="2" t="str">
        <x:v>In-store</x:v>
      </x:c>
      <x:c r="H225" s="2" t="n">
        <x:v>2</x:v>
      </x:c>
      <x:c r="I225" s="2" t="n">
        <x:v>18000</x:v>
      </x:c>
      <x:c r="J225" s="2" t="n">
        <x:v>10500</x:v>
      </x:c>
      <x:c r="K225" s="2" t="n">
        <x:v>0</x:v>
      </x:c>
      <x:c r="L225" s="2" t="str">
        <x:v>Completed</x:v>
      </x:c>
    </x:row>
    <x:row r="226" ht="21" customHeight="1">
      <x:c r="A226" s="2" t="n">
        <x:v>221</x:v>
      </x:c>
      <x:c r="B226" s="2" t="str">
        <x:v>TXN-00221</x:v>
      </x:c>
      <x:c r="C226" s="2" t="str">
        <x:v>2025-03-31</x:v>
      </x:c>
      <x:c r="D226" s="2" t="str">
        <x:v>Lagos</x:v>
      </x:c>
      <x:c r="E226" s="2" t="str">
        <x:v>Home</x:v>
      </x:c>
      <x:c r="F226" s="2" t="str">
        <x:v>Bedsheet</x:v>
      </x:c>
      <x:c r="G226" s="2" t="str">
        <x:v> online </x:v>
      </x:c>
      <x:c r="H226" s="2" t="n">
        <x:v>2</x:v>
      </x:c>
      <x:c r="I226" s="2" t="n">
        <x:v>14000</x:v>
      </x:c>
      <x:c r="J226" s="2" t="n">
        <x:v>8500</x:v>
      </x:c>
      <x:c r="K226" s="2" t="n">
        <x:v>0</x:v>
      </x:c>
      <x:c r="L226" s="2" t="str">
        <x:v>Completed</x:v>
      </x:c>
    </x:row>
    <x:row r="227" ht="21" customHeight="1">
      <x:c r="A227" s="2" t="n">
        <x:v>222</x:v>
      </x:c>
      <x:c r="B227" s="2" t="str">
        <x:v>TXN-00222</x:v>
      </x:c>
      <x:c r="C227" s="2" t="str">
        <x:v>2025-03-11</x:v>
      </x:c>
      <x:c r="D227" s="2" t="str">
        <x:v>Abuja</x:v>
      </x:c>
      <x:c r="E227" s="2" t="str">
        <x:v>Electronics</x:v>
      </x:c>
      <x:c r="F227" s="2" t="str">
        <x:v>Bluetooth speaker</x:v>
      </x:c>
      <x:c r="G227" s="2" t="str">
        <x:v>In-store</x:v>
      </x:c>
      <x:c r="H227" s="2" t="n">
        <x:v>3</x:v>
      </x:c>
      <x:c r="I227" s="2" t="n">
        <x:v>26000</x:v>
      </x:c>
      <x:c r="J227" s="2" t="n">
        <x:v>17000</x:v>
      </x:c>
      <x:c r="K227" s="2" t="str"/>
      <x:c r="L227" s="2" t="str">
        <x:v>Completed</x:v>
      </x:c>
    </x:row>
    <x:row r="228" ht="21" customHeight="1">
      <x:c r="A228" s="2" t="n">
        <x:v>223</x:v>
      </x:c>
      <x:c r="B228" s="2" t="str">
        <x:v>TXN-00223</x:v>
      </x:c>
      <x:c r="C228" s="2" t="str">
        <x:v>2025-03-29</x:v>
      </x:c>
      <x:c r="D228" s="2" t="str">
        <x:v>Port Harcourt</x:v>
      </x:c>
      <x:c r="E228" s="2" t="str">
        <x:v>Home</x:v>
      </x:c>
      <x:c r="F228" s="2" t="str">
        <x:v>Cookware set</x:v>
      </x:c>
      <x:c r="G228" s="2" t="str">
        <x:v>Online</x:v>
      </x:c>
      <x:c r="H228" s="2" t="n">
        <x:v>1</x:v>
      </x:c>
      <x:c r="I228" s="2" t="n">
        <x:v>35000</x:v>
      </x:c>
      <x:c r="J228" s="2" t="n">
        <x:v>22500</x:v>
      </x:c>
      <x:c r="K228" s="2" t="n">
        <x:v>0.05</x:v>
      </x:c>
      <x:c r="L228" s="2" t="str">
        <x:v>Completed</x:v>
      </x:c>
    </x:row>
    <x:row r="229" ht="21" customHeight="1">
      <x:c r="A229" s="2" t="n">
        <x:v>224</x:v>
      </x:c>
      <x:c r="B229" s="2" t="str">
        <x:v>TXN-00224</x:v>
      </x:c>
      <x:c r="C229" s="2" t="str">
        <x:v>2025-03-16</x:v>
      </x:c>
      <x:c r="D229" s="2" t="str">
        <x:v>Abuja</x:v>
      </x:c>
      <x:c r="E229" s="2" t="str">
        <x:v>Home</x:v>
      </x:c>
      <x:c r="F229" s="2" t="str">
        <x:v>Bedsheet</x:v>
      </x:c>
      <x:c r="G229" s="2" t="str">
        <x:v>In-store</x:v>
      </x:c>
      <x:c r="H229" s="2" t="n">
        <x:v>2</x:v>
      </x:c>
      <x:c r="I229" s="2" t="n">
        <x:v>14000</x:v>
      </x:c>
      <x:c r="J229" s="2" t="n">
        <x:v>8500</x:v>
      </x:c>
      <x:c r="K229" s="2" t="n">
        <x:v>0.05</x:v>
      </x:c>
      <x:c r="L229" s="2" t="str">
        <x:v>Completed</x:v>
      </x:c>
    </x:row>
    <x:row r="230" ht="21" customHeight="1">
      <x:c r="A230" s="2" t="n">
        <x:v>225</x:v>
      </x:c>
      <x:c r="B230" s="2" t="str">
        <x:v>TXN-00225</x:v>
      </x:c>
      <x:c r="C230" s="2" t="str">
        <x:v>2025-03-14</x:v>
      </x:c>
      <x:c r="D230" s="2" t="str">
        <x:v> lagos </x:v>
      </x:c>
      <x:c r="E230" s="2" t="str">
        <x:v>Beauty</x:v>
      </x:c>
      <x:c r="F230" s="2" t="str">
        <x:v>Perfume</x:v>
      </x:c>
      <x:c r="G230" s="2" t="str">
        <x:v>In-store</x:v>
      </x:c>
      <x:c r="H230" s="2" t="n">
        <x:v>3</x:v>
      </x:c>
      <x:c r="I230" s="2" t="n">
        <x:v>17000</x:v>
      </x:c>
      <x:c r="J230" s="2" t="n">
        <x:v>9000</x:v>
      </x:c>
      <x:c r="K230" s="2" t="n">
        <x:v>0</x:v>
      </x:c>
      <x:c r="L230" s="2" t="str">
        <x:v>Returned</x:v>
      </x:c>
    </x:row>
    <x:row r="231" ht="21" customHeight="1">
      <x:c r="A231" s="2" t="n">
        <x:v>226</x:v>
      </x:c>
      <x:c r="B231" s="2" t="str">
        <x:v>TXN-00226</x:v>
      </x:c>
      <x:c r="C231" s="2" t="str">
        <x:v>2025-03-08</x:v>
      </x:c>
      <x:c r="D231" s="2" t="str">
        <x:v>Kano</x:v>
      </x:c>
      <x:c r="E231" s="2" t="str">
        <x:v>Beauty</x:v>
      </x:c>
      <x:c r="F231" s="2" t="str">
        <x:v>Perfume</x:v>
      </x:c>
      <x:c r="G231" s="2" t="str">
        <x:v>In-store</x:v>
      </x:c>
      <x:c r="H231" s="2" t="n">
        <x:v>3</x:v>
      </x:c>
      <x:c r="I231" s="2" t="n">
        <x:v>17000</x:v>
      </x:c>
      <x:c r="J231" s="2" t="n">
        <x:v>9000</x:v>
      </x:c>
      <x:c r="K231" s="2" t="n">
        <x:v>0</x:v>
      </x:c>
      <x:c r="L231" s="2" t="str">
        <x:v> COMPLETED </x:v>
      </x:c>
    </x:row>
    <x:row r="232" ht="21" customHeight="1">
      <x:c r="A232" s="2" t="n">
        <x:v>227</x:v>
      </x:c>
      <x:c r="B232" s="2" t="str">
        <x:v>TXN-00227</x:v>
      </x:c>
      <x:c r="C232" s="2" t="str">
        <x:v>2025-03-20</x:v>
      </x:c>
      <x:c r="D232" s="2" t="str">
        <x:v>Abuja</x:v>
      </x:c>
      <x:c r="E232" s="2" t="str">
        <x:v>Beauty</x:v>
      </x:c>
      <x:c r="F232" s="2" t="str">
        <x:v>Perfume</x:v>
      </x:c>
      <x:c r="G232" s="2" t="str">
        <x:v>Online</x:v>
      </x:c>
      <x:c r="H232" s="2" t="n">
        <x:v>3</x:v>
      </x:c>
      <x:c r="I232" s="2" t="n">
        <x:v>17000</x:v>
      </x:c>
      <x:c r="J232" s="2" t="n">
        <x:v>9000</x:v>
      </x:c>
      <x:c r="K232" s="2" t="n">
        <x:v>0</x:v>
      </x:c>
      <x:c r="L232" s="2" t="str">
        <x:v>Returned</x:v>
      </x:c>
    </x:row>
    <x:row r="233" ht="21" customHeight="1">
      <x:c r="A233" s="2" t="n">
        <x:v>228</x:v>
      </x:c>
      <x:c r="B233" s="2" t="str">
        <x:v>TXN-00228</x:v>
      </x:c>
      <x:c r="C233" s="2" t="str">
        <x:v>2025-03-05</x:v>
      </x:c>
      <x:c r="D233" s="2" t="str">
        <x:v>Abuja</x:v>
      </x:c>
      <x:c r="E233" s="2" t="str">
        <x:v>Fashion</x:v>
      </x:c>
      <x:c r="F233" s="2" t="str">
        <x:v>Sneakers</x:v>
      </x:c>
      <x:c r="G233" s="2" t="str">
        <x:v>Online</x:v>
      </x:c>
      <x:c r="H233" s="2" t="n">
        <x:v>1</x:v>
      </x:c>
      <x:c r="I233" s="2" t="n">
        <x:v>28000</x:v>
      </x:c>
      <x:c r="J233" s="2" t="n">
        <x:v>17500</x:v>
      </x:c>
      <x:c r="K233" s="2" t="n">
        <x:v>0</x:v>
      </x:c>
      <x:c r="L233" s="2" t="str">
        <x:v>Completed</x:v>
      </x:c>
    </x:row>
    <x:row r="234" ht="21" customHeight="1">
      <x:c r="A234" s="2" t="n">
        <x:v>229</x:v>
      </x:c>
      <x:c r="B234" s="2" t="str">
        <x:v>TXN-00229</x:v>
      </x:c>
      <x:c r="C234" s="2" t="str">
        <x:v>2025-03-17</x:v>
      </x:c>
      <x:c r="D234" s="2" t="str">
        <x:v>Port Harcourt</x:v>
      </x:c>
      <x:c r="E234" s="2" t="str">
        <x:v>Beauty</x:v>
      </x:c>
      <x:c r="F234" s="2" t="str">
        <x:v>Body wash</x:v>
      </x:c>
      <x:c r="G234" s="2" t="str">
        <x:v>In-store</x:v>
      </x:c>
      <x:c r="H234" s="2" t="n">
        <x:v>2</x:v>
      </x:c>
      <x:c r="I234" s="2" t="n">
        <x:v>4500</x:v>
      </x:c>
      <x:c r="J234" s="2" t="n">
        <x:v>2300</x:v>
      </x:c>
      <x:c r="K234" s="2" t="n">
        <x:v>0.1</x:v>
      </x:c>
      <x:c r="L234" s="2" t="str">
        <x:v>Completed</x:v>
      </x:c>
    </x:row>
    <x:row r="235" ht="21" customHeight="1">
      <x:c r="A235" s="2" t="n">
        <x:v>230</x:v>
      </x:c>
      <x:c r="B235" s="2" t="str">
        <x:v>TXN-00230</x:v>
      </x:c>
      <x:c r="C235" s="2" t="str">
        <x:v>2025-03-22</x:v>
      </x:c>
      <x:c r="D235" s="2" t="str">
        <x:v>Abuja</x:v>
      </x:c>
      <x:c r="E235" s="2" t="str">
        <x:v>Fashion</x:v>
      </x:c>
      <x:c r="F235" s="2" t="str">
        <x:v>T-shirt</x:v>
      </x:c>
      <x:c r="G235" s="2" t="str">
        <x:v>Online</x:v>
      </x:c>
      <x:c r="H235" s="2" t="n">
        <x:v>2</x:v>
      </x:c>
      <x:c r="I235" s="2" t="n">
        <x:v>9000</x:v>
      </x:c>
      <x:c r="J235" s="2" t="n">
        <x:v>5000</x:v>
      </x:c>
      <x:c r="K235" s="2" t="n">
        <x:v>0.05</x:v>
      </x:c>
      <x:c r="L235" s="2" t="str">
        <x:v>Completed</x:v>
      </x:c>
    </x:row>
    <x:row r="236" ht="21" customHeight="1">
      <x:c r="A236" s="2" t="n">
        <x:v>231</x:v>
      </x:c>
      <x:c r="B236" s="2" t="str">
        <x:v>TXN-00231</x:v>
      </x:c>
      <x:c r="C236" s="2" t="str">
        <x:v>2025-03-04</x:v>
      </x:c>
      <x:c r="D236" s="2" t="str">
        <x:v>Kano</x:v>
      </x:c>
      <x:c r="E236" s="2" t="str">
        <x:v>Home</x:v>
      </x:c>
      <x:c r="F236" s="2" t="str">
        <x:v>Bedsheet</x:v>
      </x:c>
      <x:c r="G236" s="2" t="str">
        <x:v>In-store</x:v>
      </x:c>
      <x:c r="H236" s="2" t="n">
        <x:v>1</x:v>
      </x:c>
      <x:c r="I236" s="2" t="n">
        <x:v>14000</x:v>
      </x:c>
      <x:c r="J236" s="2" t="n">
        <x:v>8500</x:v>
      </x:c>
      <x:c r="K236" s="2" t="n">
        <x:v>0.1</x:v>
      </x:c>
      <x:c r="L236" s="2" t="str">
        <x:v>Completed</x:v>
      </x:c>
    </x:row>
    <x:row r="237" ht="21" customHeight="1">
      <x:c r="A237" s="2" t="n">
        <x:v>232</x:v>
      </x:c>
      <x:c r="B237" s="2" t="str">
        <x:v>TXN-00232</x:v>
      </x:c>
      <x:c r="C237" s="2" t="str">
        <x:v>2025-03-28</x:v>
      </x:c>
      <x:c r="D237" s="2" t="str">
        <x:v> port harcourt </x:v>
      </x:c>
      <x:c r="E237" s="2" t="str">
        <x:v>Home</x:v>
      </x:c>
      <x:c r="F237" s="2" t="str">
        <x:v>Bedsheet</x:v>
      </x:c>
      <x:c r="G237" s="2" t="str">
        <x:v> online </x:v>
      </x:c>
      <x:c r="H237" s="2" t="n">
        <x:v>2</x:v>
      </x:c>
      <x:c r="I237" s="2" t="n">
        <x:v>14000</x:v>
      </x:c>
      <x:c r="J237" s="2" t="n">
        <x:v>8500</x:v>
      </x:c>
      <x:c r="K237" s="2" t="n">
        <x:v>0.1</x:v>
      </x:c>
      <x:c r="L237" s="2" t="str">
        <x:v>Completed</x:v>
      </x:c>
    </x:row>
    <x:row r="238" ht="21" customHeight="1">
      <x:c r="A238" s="2" t="n">
        <x:v>233</x:v>
      </x:c>
      <x:c r="B238" s="2" t="str">
        <x:v>TXN-00233</x:v>
      </x:c>
      <x:c r="C238" s="2" t="str">
        <x:v>2025-03-28</x:v>
      </x:c>
      <x:c r="D238" s="2" t="str">
        <x:v>Lagos</x:v>
      </x:c>
      <x:c r="E238" s="2" t="str">
        <x:v>Fashion</x:v>
      </x:c>
      <x:c r="F238" s="2" t="str">
        <x:v>Sneakers</x:v>
      </x:c>
      <x:c r="G238" s="2" t="str">
        <x:v>Online</x:v>
      </x:c>
      <x:c r="H238" s="2" t="n">
        <x:v>1</x:v>
      </x:c>
      <x:c r="I238" s="2" t="n">
        <x:v>28000</x:v>
      </x:c>
      <x:c r="J238" s="2" t="n">
        <x:v>17500</x:v>
      </x:c>
      <x:c r="K238" s="2" t="n">
        <x:v>0.05</x:v>
      </x:c>
      <x:c r="L238" s="2" t="str">
        <x:v>Completed</x:v>
      </x:c>
    </x:row>
    <x:row r="239" ht="21" customHeight="1">
      <x:c r="A239" s="2" t="n">
        <x:v>234</x:v>
      </x:c>
      <x:c r="B239" s="2" t="str">
        <x:v>TXN-00234</x:v>
      </x:c>
      <x:c r="C239" s="2" t="str">
        <x:v>2025-03-11</x:v>
      </x:c>
      <x:c r="D239" s="2" t="str">
        <x:v>Lagos</x:v>
      </x:c>
      <x:c r="E239" s="2" t="str">
        <x:v>Beauty</x:v>
      </x:c>
      <x:c r="F239" s="2" t="str">
        <x:v>Body wash</x:v>
      </x:c>
      <x:c r="G239" s="2" t="str">
        <x:v>In-store</x:v>
      </x:c>
      <x:c r="H239" s="2" t="n">
        <x:v>1</x:v>
      </x:c>
      <x:c r="I239" s="2" t="n">
        <x:v>4500</x:v>
      </x:c>
      <x:c r="J239" s="2" t="n">
        <x:v>2300</x:v>
      </x:c>
      <x:c r="K239" s="2" t="n">
        <x:v>0.05</x:v>
      </x:c>
      <x:c r="L239" s="2" t="str">
        <x:v>Completed</x:v>
      </x:c>
    </x:row>
    <x:row r="240" ht="21" customHeight="1">
      <x:c r="A240" s="2" t="n">
        <x:v>235</x:v>
      </x:c>
      <x:c r="B240" s="2" t="str">
        <x:v>TXN-00235</x:v>
      </x:c>
      <x:c r="C240" s="2" t="str">
        <x:v>2025-03-04</x:v>
      </x:c>
      <x:c r="D240" s="2" t="str">
        <x:v>Port Harcourt</x:v>
      </x:c>
      <x:c r="E240" s="2" t="str">
        <x:v>Electronics</x:v>
      </x:c>
      <x:c r="F240" s="2" t="str">
        <x:v>Power bank</x:v>
      </x:c>
      <x:c r="G240" s="2" t="str">
        <x:v>Online</x:v>
      </x:c>
      <x:c r="H240" s="2" t="n">
        <x:v>1</x:v>
      </x:c>
      <x:c r="I240" s="2" t="n">
        <x:v>15000</x:v>
      </x:c>
      <x:c r="J240" s="2" t="n">
        <x:v>9500</x:v>
      </x:c>
      <x:c r="K240" s="2" t="n">
        <x:v>0.1</x:v>
      </x:c>
      <x:c r="L240" s="2" t="str">
        <x:v> COMPLETED </x:v>
      </x:c>
    </x:row>
    <x:row r="241" ht="21" customHeight="1">
      <x:c r="A241" s="2" t="n">
        <x:v>236</x:v>
      </x:c>
      <x:c r="B241" s="2" t="str">
        <x:v>TXN-00236</x:v>
      </x:c>
      <x:c r="C241" s="2" t="str">
        <x:v>2025-03-29</x:v>
      </x:c>
      <x:c r="D241" s="2" t="str">
        <x:v>Port Harcourt</x:v>
      </x:c>
      <x:c r="E241" s="2" t="str">
        <x:v>Electronics</x:v>
      </x:c>
      <x:c r="F241" s="2" t="str">
        <x:v>Bluetooth speaker</x:v>
      </x:c>
      <x:c r="G241" s="2" t="str">
        <x:v>Online</x:v>
      </x:c>
      <x:c r="H241" s="2" t="n">
        <x:v>3</x:v>
      </x:c>
      <x:c r="I241" s="2" t="n">
        <x:v>26000</x:v>
      </x:c>
      <x:c r="J241" s="2" t="n">
        <x:v>17000</x:v>
      </x:c>
      <x:c r="K241" s="2" t="n">
        <x:v>0</x:v>
      </x:c>
      <x:c r="L241" s="2" t="str">
        <x:v>Completed</x:v>
      </x:c>
    </x:row>
    <x:row r="242" ht="21" customHeight="1">
      <x:c r="A242" s="2" t="n">
        <x:v>237</x:v>
      </x:c>
      <x:c r="B242" s="2" t="str">
        <x:v>TXN-00237</x:v>
      </x:c>
      <x:c r="C242" s="2" t="str">
        <x:v>2025-03-27</x:v>
      </x:c>
      <x:c r="D242" s="2" t="str">
        <x:v>Abuja</x:v>
      </x:c>
      <x:c r="E242" s="2" t="str">
        <x:v>Fashion</x:v>
      </x:c>
      <x:c r="F242" s="2" t="str">
        <x:v>Handbag</x:v>
      </x:c>
      <x:c r="G242" s="2" t="str">
        <x:v>In-store</x:v>
      </x:c>
      <x:c r="H242" s="2" t="n">
        <x:v>4</x:v>
      </x:c>
      <x:c r="I242" s="2" t="n">
        <x:v>22000</x:v>
      </x:c>
      <x:c r="J242" s="2" t="n">
        <x:v>13500</x:v>
      </x:c>
      <x:c r="K242" s="2" t="n">
        <x:v>0.05</x:v>
      </x:c>
      <x:c r="L242" s="2" t="str">
        <x:v>Completed</x:v>
      </x:c>
    </x:row>
    <x:row r="243" ht="21" customHeight="1">
      <x:c r="A243" s="2" t="n">
        <x:v>238</x:v>
      </x:c>
      <x:c r="B243" s="2" t="str">
        <x:v>TXN-00238</x:v>
      </x:c>
      <x:c r="C243" s="2" t="str">
        <x:v>2025-03-20</x:v>
      </x:c>
      <x:c r="D243" s="2" t="str">
        <x:v>Abuja</x:v>
      </x:c>
      <x:c r="E243" s="2" t="str">
        <x:v>Beauty</x:v>
      </x:c>
      <x:c r="F243" s="2" t="str">
        <x:v>Moisturizer</x:v>
      </x:c>
      <x:c r="G243" s="2" t="str">
        <x:v>Online</x:v>
      </x:c>
      <x:c r="H243" s="2" t="n">
        <x:v>2</x:v>
      </x:c>
      <x:c r="I243" s="2" t="n">
        <x:v>6500</x:v>
      </x:c>
      <x:c r="J243" s="2" t="n">
        <x:v>3500</x:v>
      </x:c>
      <x:c r="K243" s="2" t="n">
        <x:v>0</x:v>
      </x:c>
      <x:c r="L243" s="2" t="str">
        <x:v>Completed</x:v>
      </x:c>
    </x:row>
    <x:row r="244" ht="21" customHeight="1">
      <x:c r="A244" s="2" t="n">
        <x:v>239</x:v>
      </x:c>
      <x:c r="B244" s="2" t="str">
        <x:v>TXN-00239</x:v>
      </x:c>
      <x:c r="C244" s="2" t="str">
        <x:v>2025-03-22</x:v>
      </x:c>
      <x:c r="D244" s="2" t="str">
        <x:v> lagos </x:v>
      </x:c>
      <x:c r="E244" s="2" t="str">
        <x:v>Beauty</x:v>
      </x:c>
      <x:c r="F244" s="2" t="str">
        <x:v>Moisturizer</x:v>
      </x:c>
      <x:c r="G244" s="2" t="str">
        <x:v>Online</x:v>
      </x:c>
      <x:c r="H244" s="2" t="n">
        <x:v>1</x:v>
      </x:c>
      <x:c r="I244" s="2" t="n">
        <x:v>6500</x:v>
      </x:c>
      <x:c r="J244" s="2" t="n">
        <x:v>3500</x:v>
      </x:c>
      <x:c r="K244" s="2" t="n">
        <x:v>0.1</x:v>
      </x:c>
      <x:c r="L244" s="2" t="str">
        <x:v>Completed</x:v>
      </x:c>
    </x:row>
    <x:row r="245" ht="21" customHeight="1">
      <x:c r="A245" s="2" t="n">
        <x:v>240</x:v>
      </x:c>
      <x:c r="B245" s="2" t="str">
        <x:v>TXN-00240</x:v>
      </x:c>
      <x:c r="C245" s="2" t="str">
        <x:v>2025-03-09</x:v>
      </x:c>
      <x:c r="D245" s="2" t="str">
        <x:v>Lagos</x:v>
      </x:c>
      <x:c r="E245" s="2" t="str">
        <x:v>Electronics</x:v>
      </x:c>
      <x:c r="F245" s="2" t="str">
        <x:v>Power bank</x:v>
      </x:c>
      <x:c r="G245" s="2" t="str">
        <x:v>Online</x:v>
      </x:c>
      <x:c r="H245" s="2" t="n">
        <x:v>1</x:v>
      </x:c>
      <x:c r="I245" s="2" t="n">
        <x:v>15000</x:v>
      </x:c>
      <x:c r="J245" s="2" t="n">
        <x:v>9500</x:v>
      </x:c>
      <x:c r="K245" s="2" t="n">
        <x:v>0</x:v>
      </x:c>
      <x:c r="L245" s="2" t="str">
        <x:v>Completed</x:v>
      </x:c>
    </x:row>
    <x:row r="246" ht="21" customHeight="1">
      <x:c r="A246" s="2" t="n">
        <x:v>241</x:v>
      </x:c>
      <x:c r="B246" s="2" t="str">
        <x:v>TXN-00241</x:v>
      </x:c>
      <x:c r="C246" s="2" t="str">
        <x:v>2025-03-18</x:v>
      </x:c>
      <x:c r="D246" s="2" t="str">
        <x:v>Abuja</x:v>
      </x:c>
      <x:c r="E246" s="2" t="str">
        <x:v>Fashion</x:v>
      </x:c>
      <x:c r="F246" s="2" t="str">
        <x:v>T-shirt</x:v>
      </x:c>
      <x:c r="G246" s="2" t="str">
        <x:v>Online</x:v>
      </x:c>
      <x:c r="H246" s="2" t="n">
        <x:v>2</x:v>
      </x:c>
      <x:c r="I246" s="2" t="n">
        <x:v>9000</x:v>
      </x:c>
      <x:c r="J246" s="2" t="n">
        <x:v>5000</x:v>
      </x:c>
      <x:c r="K246" s="2" t="n">
        <x:v>0.05</x:v>
      </x:c>
      <x:c r="L246" s="2" t="str">
        <x:v>Completed</x:v>
      </x:c>
    </x:row>
    <x:row r="247" ht="21" customHeight="1">
      <x:c r="A247" s="2" t="n">
        <x:v>242</x:v>
      </x:c>
      <x:c r="B247" s="2" t="str">
        <x:v>TXN-00242</x:v>
      </x:c>
      <x:c r="C247" s="2" t="str">
        <x:v>2025-03-06</x:v>
      </x:c>
      <x:c r="D247" s="2" t="str">
        <x:v>Lagos</x:v>
      </x:c>
      <x:c r="E247" s="2" t="str">
        <x:v>Fashion</x:v>
      </x:c>
      <x:c r="F247" s="2" t="str">
        <x:v>Sneakers</x:v>
      </x:c>
      <x:c r="G247" s="2" t="str">
        <x:v>Online</x:v>
      </x:c>
      <x:c r="H247" s="2" t="n">
        <x:v>1</x:v>
      </x:c>
      <x:c r="I247" s="2" t="n">
        <x:v>28000</x:v>
      </x:c>
      <x:c r="J247" s="2" t="n">
        <x:v>17500</x:v>
      </x:c>
      <x:c r="K247" s="2" t="n">
        <x:v>0</x:v>
      </x:c>
      <x:c r="L247" s="2" t="str">
        <x:v>Completed</x:v>
      </x:c>
    </x:row>
    <x:row r="248" ht="21" customHeight="1">
      <x:c r="A248" s="2" t="n">
        <x:v>243</x:v>
      </x:c>
      <x:c r="B248" s="2" t="str">
        <x:v>TXN-00243</x:v>
      </x:c>
      <x:c r="C248" s="2" t="str">
        <x:v>2025-03-01</x:v>
      </x:c>
      <x:c r="D248" s="2" t="str">
        <x:v>Lagos</x:v>
      </x:c>
      <x:c r="E248" s="2" t="str">
        <x:v>Fashion</x:v>
      </x:c>
      <x:c r="F248" s="2" t="str">
        <x:v>Sneakers</x:v>
      </x:c>
      <x:c r="G248" s="2" t="str">
        <x:v> online </x:v>
      </x:c>
      <x:c r="H248" s="2" t="n">
        <x:v>3</x:v>
      </x:c>
      <x:c r="I248" s="2" t="n">
        <x:v>28000</x:v>
      </x:c>
      <x:c r="J248" s="2" t="n">
        <x:v>17500</x:v>
      </x:c>
      <x:c r="K248" s="2" t="n">
        <x:v>0</x:v>
      </x:c>
      <x:c r="L248" s="2" t="str">
        <x:v>Returned</x:v>
      </x:c>
    </x:row>
    <x:row r="249" ht="21" customHeight="1">
      <x:c r="A249" s="2" t="n">
        <x:v>244</x:v>
      </x:c>
      <x:c r="B249" s="2" t="str">
        <x:v>TXN-00244</x:v>
      </x:c>
      <x:c r="C249" s="2" t="str">
        <x:v>2025-03-10</x:v>
      </x:c>
      <x:c r="D249" s="2" t="str">
        <x:v>Kano</x:v>
      </x:c>
      <x:c r="E249" s="2" t="str">
        <x:v>Home</x:v>
      </x:c>
      <x:c r="F249" s="2" t="str">
        <x:v>Bedsheet</x:v>
      </x:c>
      <x:c r="G249" s="2" t="str">
        <x:v>Online</x:v>
      </x:c>
      <x:c r="H249" s="2" t="n">
        <x:v>1</x:v>
      </x:c>
      <x:c r="I249" s="2" t="n">
        <x:v>14000</x:v>
      </x:c>
      <x:c r="J249" s="2" t="n">
        <x:v>8500</x:v>
      </x:c>
      <x:c r="K249" s="2" t="n">
        <x:v>0.15</x:v>
      </x:c>
      <x:c r="L249" s="2" t="str">
        <x:v> COMPLETED </x:v>
      </x:c>
    </x:row>
    <x:row r="250" ht="21" customHeight="1">
      <x:c r="A250" s="2" t="n">
        <x:v>245</x:v>
      </x:c>
      <x:c r="B250" s="2" t="str">
        <x:v>TXN-00245</x:v>
      </x:c>
      <x:c r="C250" s="2" t="str">
        <x:v>2025-03-10</x:v>
      </x:c>
      <x:c r="D250" s="2" t="str">
        <x:v>Port Harcourt</x:v>
      </x:c>
      <x:c r="E250" s="2" t="str">
        <x:v>Beauty</x:v>
      </x:c>
      <x:c r="F250" s="2" t="str">
        <x:v>Perfume</x:v>
      </x:c>
      <x:c r="G250" s="2" t="str">
        <x:v>In-store</x:v>
      </x:c>
      <x:c r="H250" s="2" t="n">
        <x:v>3</x:v>
      </x:c>
      <x:c r="I250" s="2" t="n">
        <x:v>17000</x:v>
      </x:c>
      <x:c r="J250" s="2" t="n">
        <x:v>9000</x:v>
      </x:c>
      <x:c r="K250" s="2" t="n">
        <x:v>0.15</x:v>
      </x:c>
      <x:c r="L250" s="2" t="str">
        <x:v>Completed</x:v>
      </x:c>
    </x:row>
    <x:row r="251" ht="21" customHeight="1">
      <x:c r="A251" s="2" t="n">
        <x:v>246</x:v>
      </x:c>
      <x:c r="B251" s="2" t="str">
        <x:v>TXN-00246</x:v>
      </x:c>
      <x:c r="C251" s="2" t="str">
        <x:v>2025-03-21</x:v>
      </x:c>
      <x:c r="D251" s="2" t="str">
        <x:v> lagos </x:v>
      </x:c>
      <x:c r="E251" s="2" t="str">
        <x:v>Home</x:v>
      </x:c>
      <x:c r="F251" s="2" t="str">
        <x:v>Bedsheet</x:v>
      </x:c>
      <x:c r="G251" s="2" t="str">
        <x:v>In-store</x:v>
      </x:c>
      <x:c r="H251" s="2" t="n">
        <x:v>1</x:v>
      </x:c>
      <x:c r="I251" s="2" t="n">
        <x:v>14000</x:v>
      </x:c>
      <x:c r="J251" s="2" t="n">
        <x:v>8500</x:v>
      </x:c>
      <x:c r="K251" s="2" t="n">
        <x:v>0</x:v>
      </x:c>
      <x:c r="L251" s="2" t="str">
        <x:v>Completed</x:v>
      </x:c>
    </x:row>
    <x:row r="252" ht="21" customHeight="1">
      <x:c r="A252" s="2" t="n">
        <x:v>247</x:v>
      </x:c>
      <x:c r="B252" s="2" t="str">
        <x:v>TXN-00247</x:v>
      </x:c>
      <x:c r="C252" s="2" t="str">
        <x:v>2025-03-13</x:v>
      </x:c>
      <x:c r="D252" s="2" t="str"/>
      <x:c r="E252" s="2" t="str">
        <x:v>Electronics</x:v>
      </x:c>
      <x:c r="F252" s="2" t="str">
        <x:v>Power bank</x:v>
      </x:c>
      <x:c r="G252" s="2" t="str">
        <x:v>In-store</x:v>
      </x:c>
      <x:c r="H252" s="2" t="n">
        <x:v>1</x:v>
      </x:c>
      <x:c r="I252" s="2" t="n">
        <x:v>15000</x:v>
      </x:c>
      <x:c r="J252" s="2" t="n">
        <x:v>9500</x:v>
      </x:c>
      <x:c r="K252" s="2" t="n">
        <x:v>0</x:v>
      </x:c>
      <x:c r="L252" s="2" t="str">
        <x:v>Returned</x:v>
      </x:c>
    </x:row>
    <x:row r="253" ht="21" customHeight="1">
      <x:c r="A253" s="2" t="n">
        <x:v>248</x:v>
      </x:c>
      <x:c r="B253" s="2" t="str">
        <x:v>TXN-00248</x:v>
      </x:c>
      <x:c r="C253" s="2" t="str">
        <x:v>2025-03-31</x:v>
      </x:c>
      <x:c r="D253" s="2" t="str">
        <x:v>Lagos</x:v>
      </x:c>
      <x:c r="E253" s="2" t="str">
        <x:v>Fashion</x:v>
      </x:c>
      <x:c r="F253" s="2" t="str">
        <x:v>Sneakers</x:v>
      </x:c>
      <x:c r="G253" s="2" t="str">
        <x:v>Online</x:v>
      </x:c>
      <x:c r="H253" s="2" t="n">
        <x:v>1</x:v>
      </x:c>
      <x:c r="I253" s="2" t="n">
        <x:v>28000</x:v>
      </x:c>
      <x:c r="J253" s="2" t="n">
        <x:v>17500</x:v>
      </x:c>
      <x:c r="K253" s="2" t="n">
        <x:v>0.15</x:v>
      </x:c>
      <x:c r="L253" s="2" t="str">
        <x:v>Completed</x:v>
      </x:c>
    </x:row>
    <x:row r="254" ht="21" customHeight="1">
      <x:c r="A254" s="2" t="n">
        <x:v>249</x:v>
      </x:c>
      <x:c r="B254" s="2" t="str">
        <x:v>TXN-00249</x:v>
      </x:c>
      <x:c r="C254" s="2" t="str">
        <x:v>2025-03-23</x:v>
      </x:c>
      <x:c r="D254" s="2" t="str">
        <x:v>Kano</x:v>
      </x:c>
      <x:c r="E254" s="2" t="str">
        <x:v>Electronics</x:v>
      </x:c>
      <x:c r="F254" s="2" t="str">
        <x:v>Bluetooth speaker</x:v>
      </x:c>
      <x:c r="G254" s="2" t="str">
        <x:v>Online</x:v>
      </x:c>
      <x:c r="H254" s="2" t="n">
        <x:v>1</x:v>
      </x:c>
      <x:c r="I254" s="2" t="n">
        <x:v>26000</x:v>
      </x:c>
      <x:c r="J254" s="2" t="n">
        <x:v>17000</x:v>
      </x:c>
      <x:c r="K254" s="2" t="n">
        <x:v>0</x:v>
      </x:c>
      <x:c r="L254" s="2" t="str">
        <x:v>Returned</x:v>
      </x:c>
    </x:row>
    <x:row r="255" ht="21" customHeight="1">
      <x:c r="A255" s="2" t="n">
        <x:v>250</x:v>
      </x:c>
      <x:c r="B255" s="2" t="str">
        <x:v>TXN-00250</x:v>
      </x:c>
      <x:c r="C255" s="2" t="str">
        <x:v>2025-03-30</x:v>
      </x:c>
      <x:c r="D255" s="2" t="str">
        <x:v>Abuja</x:v>
      </x:c>
      <x:c r="E255" s="2" t="str">
        <x:v>Electronics</x:v>
      </x:c>
      <x:c r="F255" s="2" t="str">
        <x:v>Headphones</x:v>
      </x:c>
      <x:c r="G255" s="2" t="str">
        <x:v>Online</x:v>
      </x:c>
      <x:c r="H255" s="2" t="n">
        <x:v>1</x:v>
      </x:c>
      <x:c r="I255" s="2" t="n">
        <x:v>18000</x:v>
      </x:c>
      <x:c r="J255" s="2" t="n">
        <x:v>10500</x:v>
      </x:c>
      <x:c r="K255" s="2" t="n">
        <x:v>0</x:v>
      </x:c>
      <x:c r="L255" s="2" t="str">
        <x:v>Completed</x:v>
      </x:c>
    </x:row>
    <x:row r="256" ht="21" customHeight="1">
      <x:c r="A256" s="2" t="n">
        <x:v>251</x:v>
      </x:c>
      <x:c r="B256" s="2" t="str">
        <x:v>TXN-00251</x:v>
      </x:c>
      <x:c r="C256" s="2" t="str">
        <x:v>2025-03-27</x:v>
      </x:c>
      <x:c r="D256" s="2" t="str">
        <x:v>Kano</x:v>
      </x:c>
      <x:c r="E256" s="2" t="str">
        <x:v>Beauty</x:v>
      </x:c>
      <x:c r="F256" s="2" t="str">
        <x:v>Moisturizer</x:v>
      </x:c>
      <x:c r="G256" s="2" t="str">
        <x:v>Online</x:v>
      </x:c>
      <x:c r="H256" s="2" t="n">
        <x:v>1</x:v>
      </x:c>
      <x:c r="I256" s="2" t="n">
        <x:v>6500</x:v>
      </x:c>
      <x:c r="J256" s="2" t="n">
        <x:v>3500</x:v>
      </x:c>
      <x:c r="K256" s="2" t="n">
        <x:v>0.1</x:v>
      </x:c>
      <x:c r="L256" s="2" t="str">
        <x:v>Completed</x:v>
      </x:c>
    </x:row>
    <x:row r="257" ht="21" customHeight="1">
      <x:c r="A257" s="2" t="n">
        <x:v>252</x:v>
      </x:c>
      <x:c r="B257" s="2" t="str">
        <x:v>TXN-00252</x:v>
      </x:c>
      <x:c r="C257" s="2" t="str">
        <x:v>2025-03-07</x:v>
      </x:c>
      <x:c r="D257" s="2" t="str">
        <x:v>Kano</x:v>
      </x:c>
      <x:c r="E257" s="2" t="str">
        <x:v>Home</x:v>
      </x:c>
      <x:c r="F257" s="2" t="str">
        <x:v>Cookware set</x:v>
      </x:c>
      <x:c r="G257" s="2" t="str">
        <x:v>In-store</x:v>
      </x:c>
      <x:c r="H257" s="2" t="n">
        <x:v>3</x:v>
      </x:c>
      <x:c r="I257" s="2" t="n">
        <x:v>35000</x:v>
      </x:c>
      <x:c r="J257" s="2" t="n">
        <x:v>22500</x:v>
      </x:c>
      <x:c r="K257" s="2" t="n">
        <x:v>0.15</x:v>
      </x:c>
      <x:c r="L257" s="2" t="str">
        <x:v>Completed</x:v>
      </x:c>
    </x:row>
    <x:row r="258" ht="21" customHeight="1">
      <x:c r="A258" s="2" t="n">
        <x:v>253</x:v>
      </x:c>
      <x:c r="B258" s="2" t="str">
        <x:v>TXN-00253</x:v>
      </x:c>
      <x:c r="C258" s="2" t="str">
        <x:v>2025-03-22</x:v>
      </x:c>
      <x:c r="D258" s="2" t="str">
        <x:v> port harcourt </x:v>
      </x:c>
      <x:c r="E258" s="2" t="str">
        <x:v>Electronics</x:v>
      </x:c>
      <x:c r="F258" s="2" t="str">
        <x:v>Bluetooth speaker</x:v>
      </x:c>
      <x:c r="G258" s="2" t="str">
        <x:v>In-store</x:v>
      </x:c>
      <x:c r="H258" s="2" t="n">
        <x:v>1</x:v>
      </x:c>
      <x:c r="I258" s="2" t="n">
        <x:v>26000</x:v>
      </x:c>
      <x:c r="J258" s="2" t="n">
        <x:v>17000</x:v>
      </x:c>
      <x:c r="K258" s="2" t="n">
        <x:v>0</x:v>
      </x:c>
      <x:c r="L258" s="2" t="str">
        <x:v> COMPLETED </x:v>
      </x:c>
    </x:row>
    <x:row r="259" ht="21" customHeight="1">
      <x:c r="A259" s="2" t="n">
        <x:v>254</x:v>
      </x:c>
      <x:c r="B259" s="2" t="str">
        <x:v>TXN-00254</x:v>
      </x:c>
      <x:c r="C259" s="2" t="str">
        <x:v>2025-03-05</x:v>
      </x:c>
      <x:c r="D259" s="2" t="str">
        <x:v>Lagos</x:v>
      </x:c>
      <x:c r="E259" s="2" t="str">
        <x:v>Fashion</x:v>
      </x:c>
      <x:c r="F259" s="2" t="str">
        <x:v>Sneakers</x:v>
      </x:c>
      <x:c r="G259" s="2" t="str">
        <x:v> online </x:v>
      </x:c>
      <x:c r="H259" s="2" t="n">
        <x:v>2</x:v>
      </x:c>
      <x:c r="I259" s="2" t="n">
        <x:v>28000</x:v>
      </x:c>
      <x:c r="J259" s="2" t="n">
        <x:v>17500</x:v>
      </x:c>
      <x:c r="K259" s="2" t="n">
        <x:v>0.05</x:v>
      </x:c>
      <x:c r="L259" s="2" t="str">
        <x:v>Completed</x:v>
      </x:c>
    </x:row>
    <x:row r="260" ht="21" customHeight="1">
      <x:c r="A260" s="2" t="n">
        <x:v>255</x:v>
      </x:c>
      <x:c r="B260" s="2" t="str">
        <x:v>TXN-00255</x:v>
      </x:c>
      <x:c r="C260" s="2" t="str">
        <x:v>2025-03-01</x:v>
      </x:c>
      <x:c r="D260" s="2" t="str">
        <x:v>Lagos</x:v>
      </x:c>
      <x:c r="E260" s="2" t="str">
        <x:v>Home</x:v>
      </x:c>
      <x:c r="F260" s="2" t="str">
        <x:v>Cookware set</x:v>
      </x:c>
      <x:c r="G260" s="2" t="str">
        <x:v>In-store</x:v>
      </x:c>
      <x:c r="H260" s="2" t="n">
        <x:v>1</x:v>
      </x:c>
      <x:c r="I260" s="2" t="n">
        <x:v>35000</x:v>
      </x:c>
      <x:c r="J260" s="2" t="n">
        <x:v>22500</x:v>
      </x:c>
      <x:c r="K260" s="2" t="n">
        <x:v>0</x:v>
      </x:c>
      <x:c r="L260" s="2" t="str">
        <x:v>Completed</x:v>
      </x:c>
    </x:row>
    <x:row r="261" ht="21" customHeight="1">
      <x:c r="A261" s="2" t="n">
        <x:v>256</x:v>
      </x:c>
      <x:c r="B261" s="2" t="str">
        <x:v>TXN-00256</x:v>
      </x:c>
      <x:c r="C261" s="2" t="str">
        <x:v>2025-03-23</x:v>
      </x:c>
      <x:c r="D261" s="2" t="str">
        <x:v>Lagos</x:v>
      </x:c>
      <x:c r="E261" s="2" t="str">
        <x:v>Electronics</x:v>
      </x:c>
      <x:c r="F261" s="2" t="str">
        <x:v>Headphones</x:v>
      </x:c>
      <x:c r="G261" s="2" t="str">
        <x:v>Online</x:v>
      </x:c>
      <x:c r="H261" s="2" t="n">
        <x:v>2</x:v>
      </x:c>
      <x:c r="I261" s="2" t="n">
        <x:v>18000</x:v>
      </x:c>
      <x:c r="J261" s="2" t="n">
        <x:v>10500</x:v>
      </x:c>
      <x:c r="K261" s="2" t="n">
        <x:v>0.05</x:v>
      </x:c>
      <x:c r="L261" s="2" t="str">
        <x:v>Returned</x:v>
      </x:c>
    </x:row>
    <x:row r="262" ht="21" customHeight="1">
      <x:c r="A262" s="2" t="n">
        <x:v>257</x:v>
      </x:c>
      <x:c r="B262" s="2" t="str">
        <x:v>TXN-00257</x:v>
      </x:c>
      <x:c r="C262" s="2" t="str">
        <x:v>2025-03-18</x:v>
      </x:c>
      <x:c r="D262" s="2" t="str">
        <x:v>Abuja</x:v>
      </x:c>
      <x:c r="E262" s="2" t="str">
        <x:v>Beauty</x:v>
      </x:c>
      <x:c r="F262" s="2" t="str">
        <x:v>Perfume</x:v>
      </x:c>
      <x:c r="G262" s="2" t="str">
        <x:v>Online</x:v>
      </x:c>
      <x:c r="H262" s="2" t="n">
        <x:v>1</x:v>
      </x:c>
      <x:c r="I262" s="2" t="n">
        <x:v>17000</x:v>
      </x:c>
      <x:c r="J262" s="2" t="n">
        <x:v>9000</x:v>
      </x:c>
      <x:c r="K262" s="2" t="n">
        <x:v>0</x:v>
      </x:c>
      <x:c r="L262" s="2" t="str">
        <x:v>Completed</x:v>
      </x:c>
    </x:row>
    <x:row r="263" ht="21" customHeight="1">
      <x:c r="A263" s="2" t="n">
        <x:v>258</x:v>
      </x:c>
      <x:c r="B263" s="2" t="str">
        <x:v>TXN-00258</x:v>
      </x:c>
      <x:c r="C263" s="2" t="str">
        <x:v>2025-03-10</x:v>
      </x:c>
      <x:c r="D263" s="2" t="str">
        <x:v>Lagos</x:v>
      </x:c>
      <x:c r="E263" s="2" t="str">
        <x:v>Home</x:v>
      </x:c>
      <x:c r="F263" s="2" t="str">
        <x:v>Cookware set</x:v>
      </x:c>
      <x:c r="G263" s="2" t="str">
        <x:v>Online</x:v>
      </x:c>
      <x:c r="H263" s="2" t="n">
        <x:v>1</x:v>
      </x:c>
      <x:c r="I263" s="2" t="n">
        <x:v>35000</x:v>
      </x:c>
      <x:c r="J263" s="2" t="n">
        <x:v>22500</x:v>
      </x:c>
      <x:c r="K263" s="2" t="n">
        <x:v>0.15</x:v>
      </x:c>
      <x:c r="L263" s="2" t="str">
        <x:v>Completed</x:v>
      </x:c>
    </x:row>
    <x:row r="264" ht="21" customHeight="1">
      <x:c r="A264" s="2" t="n">
        <x:v>259</x:v>
      </x:c>
      <x:c r="B264" s="2" t="str">
        <x:v>TXN-00259</x:v>
      </x:c>
      <x:c r="C264" s="2" t="str">
        <x:v>2025-03-27</x:v>
      </x:c>
      <x:c r="D264" s="2" t="str">
        <x:v>Lagos</x:v>
      </x:c>
      <x:c r="E264" s="2" t="str">
        <x:v>Electronics</x:v>
      </x:c>
      <x:c r="F264" s="2" t="str">
        <x:v>Bluetooth speaker</x:v>
      </x:c>
      <x:c r="G264" s="2" t="str">
        <x:v>In-store</x:v>
      </x:c>
      <x:c r="H264" s="2" t="n">
        <x:v>2</x:v>
      </x:c>
      <x:c r="I264" s="2" t="n">
        <x:v>26000</x:v>
      </x:c>
      <x:c r="J264" s="2" t="n">
        <x:v>17000</x:v>
      </x:c>
      <x:c r="K264" s="2" t="n">
        <x:v>0</x:v>
      </x:c>
      <x:c r="L264" s="2" t="str">
        <x:v>Completed</x:v>
      </x:c>
    </x:row>
    <x:row r="265" ht="21" customHeight="1">
      <x:c r="A265" s="2" t="n">
        <x:v>260</x:v>
      </x:c>
      <x:c r="B265" s="2" t="str">
        <x:v>TXN-00260</x:v>
      </x:c>
      <x:c r="C265" s="2" t="str">
        <x:v>2025-03-31</x:v>
      </x:c>
      <x:c r="D265" s="2" t="str"/>
      <x:c r="E265" s="2" t="str">
        <x:v>Electronics</x:v>
      </x:c>
      <x:c r="F265" s="2" t="str">
        <x:v>Headphones</x:v>
      </x:c>
      <x:c r="G265" s="2" t="str">
        <x:v>Online</x:v>
      </x:c>
      <x:c r="H265" s="2" t="n">
        <x:v>3</x:v>
      </x:c>
      <x:c r="I265" s="2" t="n">
        <x:v>18000</x:v>
      </x:c>
      <x:c r="J265" s="2" t="n">
        <x:v>10500</x:v>
      </x:c>
      <x:c r="K265" s="2" t="n">
        <x:v>0</x:v>
      </x:c>
      <x:c r="L265" s="2" t="str">
        <x:v>Completed</x:v>
      </x:c>
    </x:row>
    <x:row r="266" ht="21" customHeight="1">
      <x:c r="A266" s="2" t="n">
        <x:v>261</x:v>
      </x:c>
      <x:c r="B266" s="2" t="str">
        <x:v>TXN-00261</x:v>
      </x:c>
      <x:c r="C266" s="2" t="str">
        <x:v>2025-03-25</x:v>
      </x:c>
      <x:c r="D266" s="2" t="str">
        <x:v>Kano</x:v>
      </x:c>
      <x:c r="E266" s="2" t="str">
        <x:v>Electronics</x:v>
      </x:c>
      <x:c r="F266" s="2" t="str">
        <x:v>Bluetooth speaker</x:v>
      </x:c>
      <x:c r="G266" s="2" t="str">
        <x:v>Online</x:v>
      </x:c>
      <x:c r="H266" s="2" t="n">
        <x:v>1</x:v>
      </x:c>
      <x:c r="I266" s="2" t="n">
        <x:v>26000</x:v>
      </x:c>
      <x:c r="J266" s="2" t="n">
        <x:v>17000</x:v>
      </x:c>
      <x:c r="K266" s="2" t="n">
        <x:v>0.05</x:v>
      </x:c>
      <x:c r="L266" s="2" t="str">
        <x:v>Completed</x:v>
      </x:c>
    </x:row>
    <x:row r="267" ht="21" customHeight="1">
      <x:c r="A267" s="2" t="n">
        <x:v>262</x:v>
      </x:c>
      <x:c r="B267" s="2" t="str">
        <x:v>TXN-00262</x:v>
      </x:c>
      <x:c r="C267" s="2" t="str">
        <x:v>2025-03-19</x:v>
      </x:c>
      <x:c r="D267" s="2" t="str">
        <x:v>Lagos</x:v>
      </x:c>
      <x:c r="E267" s="2" t="str">
        <x:v>Beauty</x:v>
      </x:c>
      <x:c r="F267" s="2" t="str">
        <x:v>Perfume</x:v>
      </x:c>
      <x:c r="G267" s="2" t="str">
        <x:v>Online</x:v>
      </x:c>
      <x:c r="H267" s="2" t="n">
        <x:v>1</x:v>
      </x:c>
      <x:c r="I267" s="2" t="n">
        <x:v>17000</x:v>
      </x:c>
      <x:c r="J267" s="2" t="n">
        <x:v>9000</x:v>
      </x:c>
      <x:c r="K267" s="2" t="n">
        <x:v>0.05</x:v>
      </x:c>
      <x:c r="L267" s="2" t="str">
        <x:v> COMPLETED </x:v>
      </x:c>
    </x:row>
    <x:row r="268" ht="21" customHeight="1">
      <x:c r="A268" s="2" t="n">
        <x:v>263</x:v>
      </x:c>
      <x:c r="B268" s="2" t="str">
        <x:v>TXN-00263</x:v>
      </x:c>
      <x:c r="C268" s="2" t="str">
        <x:v>2025-03-31</x:v>
      </x:c>
      <x:c r="D268" s="2" t="str">
        <x:v>Lagos</x:v>
      </x:c>
      <x:c r="E268" s="2" t="str">
        <x:v>Electronics</x:v>
      </x:c>
      <x:c r="F268" s="2" t="str">
        <x:v>Power bank</x:v>
      </x:c>
      <x:c r="G268" s="2" t="str">
        <x:v>In-store</x:v>
      </x:c>
      <x:c r="H268" s="2" t="n">
        <x:v>1</x:v>
      </x:c>
      <x:c r="I268" s="2" t="n">
        <x:v>15000</x:v>
      </x:c>
      <x:c r="J268" s="2" t="n">
        <x:v>9500</x:v>
      </x:c>
      <x:c r="K268" s="2" t="n">
        <x:v>0</x:v>
      </x:c>
      <x:c r="L268" s="2" t="str">
        <x:v>Completed</x:v>
      </x:c>
    </x:row>
    <x:row r="269" ht="21" customHeight="1">
      <x:c r="A269" s="2" t="n">
        <x:v>264</x:v>
      </x:c>
      <x:c r="B269" s="2" t="str">
        <x:v>TXN-00264</x:v>
      </x:c>
      <x:c r="C269" s="2" t="str">
        <x:v>2025-03-30</x:v>
      </x:c>
      <x:c r="D269" s="2" t="str">
        <x:v>Port Harcourt</x:v>
      </x:c>
      <x:c r="E269" s="2" t="str">
        <x:v>Beauty</x:v>
      </x:c>
      <x:c r="F269" s="2" t="str">
        <x:v>Body wash</x:v>
      </x:c>
      <x:c r="G269" s="2" t="str">
        <x:v>Online</x:v>
      </x:c>
      <x:c r="H269" s="2" t="n">
        <x:v>1</x:v>
      </x:c>
      <x:c r="I269" s="2" t="n">
        <x:v>4500</x:v>
      </x:c>
      <x:c r="J269" s="2" t="n">
        <x:v>2300</x:v>
      </x:c>
      <x:c r="K269" s="2" t="n">
        <x:v>0</x:v>
      </x:c>
      <x:c r="L269" s="2" t="str">
        <x:v>Completed</x:v>
      </x:c>
    </x:row>
    <x:row r="270" ht="21" customHeight="1">
      <x:c r="A270" s="2" t="n">
        <x:v>265</x:v>
      </x:c>
      <x:c r="B270" s="2" t="str">
        <x:v>TXN-00265</x:v>
      </x:c>
      <x:c r="C270" s="2" t="str">
        <x:v>2025-03-22</x:v>
      </x:c>
      <x:c r="D270" s="2" t="str">
        <x:v>Lagos</x:v>
      </x:c>
      <x:c r="E270" s="2" t="str">
        <x:v>Beauty</x:v>
      </x:c>
      <x:c r="F270" s="2" t="str">
        <x:v>Body wash</x:v>
      </x:c>
      <x:c r="G270" s="2" t="str">
        <x:v> online </x:v>
      </x:c>
      <x:c r="H270" s="2" t="n">
        <x:v>1</x:v>
      </x:c>
      <x:c r="I270" s="2" t="n">
        <x:v>4500</x:v>
      </x:c>
      <x:c r="J270" s="2" t="n">
        <x:v>2300</x:v>
      </x:c>
      <x:c r="K270" s="2" t="n">
        <x:v>0</x:v>
      </x:c>
      <x:c r="L270" s="2" t="str">
        <x:v>Completed</x:v>
      </x:c>
    </x:row>
    <x:row r="271" ht="21" customHeight="1">
      <x:c r="A271" s="2" t="n">
        <x:v>266</x:v>
      </x:c>
      <x:c r="B271" s="2" t="str">
        <x:v>TXN-00266</x:v>
      </x:c>
      <x:c r="C271" s="2" t="str">
        <x:v>2025-03-01</x:v>
      </x:c>
      <x:c r="D271" s="2" t="str">
        <x:v>Kano</x:v>
      </x:c>
      <x:c r="E271" s="2" t="str">
        <x:v>Fashion</x:v>
      </x:c>
      <x:c r="F271" s="2" t="str">
        <x:v>Handbag</x:v>
      </x:c>
      <x:c r="G271" s="2" t="str">
        <x:v>In-store</x:v>
      </x:c>
      <x:c r="H271" s="2" t="n">
        <x:v>1</x:v>
      </x:c>
      <x:c r="I271" s="2" t="n">
        <x:v>22000</x:v>
      </x:c>
      <x:c r="J271" s="2" t="n">
        <x:v>13500</x:v>
      </x:c>
      <x:c r="K271" s="2" t="n">
        <x:v>0.05</x:v>
      </x:c>
      <x:c r="L271" s="2" t="str">
        <x:v>Completed</x:v>
      </x:c>
    </x:row>
    <x:row r="272" ht="21" customHeight="1">
      <x:c r="A272" s="2" t="n">
        <x:v>267</x:v>
      </x:c>
      <x:c r="B272" s="2" t="str">
        <x:v>TXN-00267</x:v>
      </x:c>
      <x:c r="C272" s="2" t="str">
        <x:v>2025-03-24</x:v>
      </x:c>
      <x:c r="D272" s="2" t="str">
        <x:v> kano </x:v>
      </x:c>
      <x:c r="E272" s="2" t="str">
        <x:v>Fashion</x:v>
      </x:c>
      <x:c r="F272" s="2" t="str">
        <x:v>Handbag</x:v>
      </x:c>
      <x:c r="G272" s="2" t="str">
        <x:v>In-store</x:v>
      </x:c>
      <x:c r="H272" s="2" t="n">
        <x:v>1</x:v>
      </x:c>
      <x:c r="I272" s="2" t="n">
        <x:v>22000</x:v>
      </x:c>
      <x:c r="J272" s="2" t="n">
        <x:v>13500</x:v>
      </x:c>
      <x:c r="K272" s="2" t="n">
        <x:v>0</x:v>
      </x:c>
      <x:c r="L272" s="2" t="str">
        <x:v>Completed</x:v>
      </x:c>
    </x:row>
    <x:row r="273" ht="21" customHeight="1">
      <x:c r="A273" s="2" t="n">
        <x:v>268</x:v>
      </x:c>
      <x:c r="B273" s="2" t="str">
        <x:v>TXN-00268</x:v>
      </x:c>
      <x:c r="C273" s="2" t="str">
        <x:v>2025-03-27</x:v>
      </x:c>
      <x:c r="D273" s="2" t="str">
        <x:v>Lagos</x:v>
      </x:c>
      <x:c r="E273" s="2" t="str">
        <x:v>Fashion</x:v>
      </x:c>
      <x:c r="F273" s="2" t="str">
        <x:v>T-shirt</x:v>
      </x:c>
      <x:c r="G273" s="2" t="str">
        <x:v>In-store</x:v>
      </x:c>
      <x:c r="H273" s="2" t="n">
        <x:v>1</x:v>
      </x:c>
      <x:c r="I273" s="2" t="n">
        <x:v>9000</x:v>
      </x:c>
      <x:c r="J273" s="2" t="n">
        <x:v>5000</x:v>
      </x:c>
      <x:c r="K273" s="2" t="n">
        <x:v>0.1</x:v>
      </x:c>
      <x:c r="L273" s="2" t="str">
        <x:v>Returned</x:v>
      </x:c>
    </x:row>
    <x:row r="274" ht="21" customHeight="1">
      <x:c r="A274" s="2" t="n">
        <x:v>269</x:v>
      </x:c>
      <x:c r="B274" s="2" t="str">
        <x:v>TXN-00269</x:v>
      </x:c>
      <x:c r="C274" s="2" t="str">
        <x:v>2025-03-19</x:v>
      </x:c>
      <x:c r="D274" s="2" t="str">
        <x:v>Port Harcourt</x:v>
      </x:c>
      <x:c r="E274" s="2" t="str">
        <x:v>Fashion</x:v>
      </x:c>
      <x:c r="F274" s="2" t="str">
        <x:v>Handbag</x:v>
      </x:c>
      <x:c r="G274" s="2" t="str">
        <x:v>In-store</x:v>
      </x:c>
      <x:c r="H274" s="2" t="n">
        <x:v>1</x:v>
      </x:c>
      <x:c r="I274" s="2" t="n">
        <x:v>22000</x:v>
      </x:c>
      <x:c r="J274" s="2" t="n">
        <x:v>13500</x:v>
      </x:c>
      <x:c r="K274" s="2" t="n">
        <x:v>0.05</x:v>
      </x:c>
      <x:c r="L274" s="2" t="str">
        <x:v>Completed</x:v>
      </x:c>
    </x:row>
    <x:row r="275" ht="21" customHeight="1">
      <x:c r="A275" s="2" t="n">
        <x:v>270</x:v>
      </x:c>
      <x:c r="B275" s="2" t="str">
        <x:v>TXN-00270</x:v>
      </x:c>
      <x:c r="C275" s="2" t="str">
        <x:v>2025-03-17</x:v>
      </x:c>
      <x:c r="D275" s="2" t="str">
        <x:v>Lagos</x:v>
      </x:c>
      <x:c r="E275" s="2" t="str">
        <x:v>Home</x:v>
      </x:c>
      <x:c r="F275" s="2" t="str">
        <x:v>Cookware set</x:v>
      </x:c>
      <x:c r="G275" s="2" t="str">
        <x:v>Online</x:v>
      </x:c>
      <x:c r="H275" s="2" t="n">
        <x:v>1</x:v>
      </x:c>
      <x:c r="I275" s="2" t="n">
        <x:v>35000</x:v>
      </x:c>
      <x:c r="J275" s="2" t="n">
        <x:v>22500</x:v>
      </x:c>
      <x:c r="K275" s="2" t="n">
        <x:v>0</x:v>
      </x:c>
      <x:c r="L275" s="2" t="str">
        <x:v>Completed</x:v>
      </x:c>
    </x:row>
    <x:row r="276" ht="21" customHeight="1">
      <x:c r="A276" s="2" t="n">
        <x:v>271</x:v>
      </x:c>
      <x:c r="B276" s="2" t="str">
        <x:v>TXN-00271</x:v>
      </x:c>
      <x:c r="C276" s="2" t="str">
        <x:v>2025-03-29</x:v>
      </x:c>
      <x:c r="D276" s="2" t="str">
        <x:v>Lagos</x:v>
      </x:c>
      <x:c r="E276" s="2" t="str">
        <x:v>Electronics</x:v>
      </x:c>
      <x:c r="F276" s="2" t="str">
        <x:v>Headphones</x:v>
      </x:c>
      <x:c r="G276" s="2" t="str">
        <x:v>In-store</x:v>
      </x:c>
      <x:c r="H276" s="2" t="n">
        <x:v>1</x:v>
      </x:c>
      <x:c r="I276" s="2" t="n">
        <x:v>18000</x:v>
      </x:c>
      <x:c r="J276" s="2" t="n">
        <x:v>10500</x:v>
      </x:c>
      <x:c r="K276" s="2" t="n">
        <x:v>0</x:v>
      </x:c>
      <x:c r="L276" s="2" t="str">
        <x:v> COMPLETED </x:v>
      </x:c>
    </x:row>
    <x:row r="277" ht="21" customHeight="1">
      <x:c r="A277" s="2" t="n">
        <x:v>272</x:v>
      </x:c>
      <x:c r="B277" s="2" t="str">
        <x:v>TXN-00272</x:v>
      </x:c>
      <x:c r="C277" s="2" t="str">
        <x:v>2025-03-29</x:v>
      </x:c>
      <x:c r="D277" s="2" t="str">
        <x:v>Abuja</x:v>
      </x:c>
      <x:c r="E277" s="2" t="str">
        <x:v>Beauty</x:v>
      </x:c>
      <x:c r="F277" s="2" t="str">
        <x:v>Perfume</x:v>
      </x:c>
      <x:c r="G277" s="2" t="str">
        <x:v>Online</x:v>
      </x:c>
      <x:c r="H277" s="2" t="n">
        <x:v>1</x:v>
      </x:c>
      <x:c r="I277" s="2" t="n">
        <x:v>17000</x:v>
      </x:c>
      <x:c r="J277" s="2" t="n">
        <x:v>9000</x:v>
      </x:c>
      <x:c r="K277" s="2" t="n">
        <x:v>0</x:v>
      </x:c>
      <x:c r="L277" s="2" t="str">
        <x:v>Completed</x:v>
      </x:c>
    </x:row>
    <x:row r="278" ht="21" customHeight="1">
      <x:c r="A278" s="2" t="n">
        <x:v>273</x:v>
      </x:c>
      <x:c r="B278" s="2" t="str">
        <x:v>TXN-00273</x:v>
      </x:c>
      <x:c r="C278" s="2" t="str">
        <x:v>2025-03-16</x:v>
      </x:c>
      <x:c r="D278" s="2" t="str">
        <x:v>Abuja</x:v>
      </x:c>
      <x:c r="E278" s="2" t="str">
        <x:v>Home</x:v>
      </x:c>
      <x:c r="F278" s="2" t="str">
        <x:v>Desk lamp</x:v>
      </x:c>
      <x:c r="G278" s="2" t="str">
        <x:v>In-store</x:v>
      </x:c>
      <x:c r="H278" s="2" t="n">
        <x:v>3</x:v>
      </x:c>
      <x:c r="I278" s="2" t="n">
        <x:v>12000</x:v>
      </x:c>
      <x:c r="J278" s="2" t="n">
        <x:v>7200</x:v>
      </x:c>
      <x:c r="K278" s="2" t="n">
        <x:v>0.1</x:v>
      </x:c>
      <x:c r="L278" s="2" t="str">
        <x:v>Completed</x:v>
      </x:c>
    </x:row>
    <x:row r="279" ht="21" customHeight="1">
      <x:c r="A279" s="2" t="n">
        <x:v>274</x:v>
      </x:c>
      <x:c r="B279" s="2" t="str">
        <x:v>TXN-00274</x:v>
      </x:c>
      <x:c r="C279" s="2" t="str">
        <x:v>2025-03-27</x:v>
      </x:c>
      <x:c r="D279" s="2" t="str">
        <x:v> kano </x:v>
      </x:c>
      <x:c r="E279" s="2" t="str">
        <x:v>Fashion</x:v>
      </x:c>
      <x:c r="F279" s="2" t="str">
        <x:v>T-shirt</x:v>
      </x:c>
      <x:c r="G279" s="2" t="str">
        <x:v>In-store</x:v>
      </x:c>
      <x:c r="H279" s="2" t="n">
        <x:v>1</x:v>
      </x:c>
      <x:c r="I279" s="2" t="n">
        <x:v>9000</x:v>
      </x:c>
      <x:c r="J279" s="2" t="n">
        <x:v>5000</x:v>
      </x:c>
      <x:c r="K279" s="2" t="n">
        <x:v>0.15</x:v>
      </x:c>
      <x:c r="L279" s="2" t="str">
        <x:v>Completed</x:v>
      </x:c>
    </x:row>
    <x:row r="280" ht="21" customHeight="1">
      <x:c r="A280" s="2" t="n">
        <x:v>275</x:v>
      </x:c>
      <x:c r="B280" s="2" t="str">
        <x:v>TXN-00275</x:v>
      </x:c>
      <x:c r="C280" s="2" t="str">
        <x:v>2025-03-17</x:v>
      </x:c>
      <x:c r="D280" s="2" t="str">
        <x:v>Abuja</x:v>
      </x:c>
      <x:c r="E280" s="2" t="str">
        <x:v>Fashion</x:v>
      </x:c>
      <x:c r="F280" s="2" t="str">
        <x:v>Sneakers</x:v>
      </x:c>
      <x:c r="G280" s="2" t="str">
        <x:v>In-store</x:v>
      </x:c>
      <x:c r="H280" s="2" t="n">
        <x:v>2</x:v>
      </x:c>
      <x:c r="I280" s="2" t="n">
        <x:v>28000</x:v>
      </x:c>
      <x:c r="J280" s="2" t="n">
        <x:v>17500</x:v>
      </x:c>
      <x:c r="K280" s="2" t="n">
        <x:v>0</x:v>
      </x:c>
      <x:c r="L280" s="2" t="str">
        <x:v>Completed</x:v>
      </x:c>
    </x:row>
    <x:row r="281" ht="21" customHeight="1">
      <x:c r="A281" s="2" t="n">
        <x:v>276</x:v>
      </x:c>
      <x:c r="B281" s="2" t="str">
        <x:v>TXN-00276</x:v>
      </x:c>
      <x:c r="C281" s="2" t="str">
        <x:v>2025-03-07</x:v>
      </x:c>
      <x:c r="D281" s="2" t="str">
        <x:v>Kano</x:v>
      </x:c>
      <x:c r="E281" s="2" t="str">
        <x:v>Home</x:v>
      </x:c>
      <x:c r="F281" s="2" t="str">
        <x:v>Desk lamp</x:v>
      </x:c>
      <x:c r="G281" s="2" t="str">
        <x:v> online </x:v>
      </x:c>
      <x:c r="H281" s="2" t="n">
        <x:v>2</x:v>
      </x:c>
      <x:c r="I281" s="2" t="n">
        <x:v>12000</x:v>
      </x:c>
      <x:c r="J281" s="2" t="n">
        <x:v>7200</x:v>
      </x:c>
      <x:c r="K281" s="2" t="n">
        <x:v>0.1</x:v>
      </x:c>
      <x:c r="L281" s="2" t="str">
        <x:v>Completed</x:v>
      </x:c>
    </x:row>
    <x:row r="282" ht="21" customHeight="1">
      <x:c r="A282" s="2" t="n">
        <x:v>277</x:v>
      </x:c>
      <x:c r="B282" s="2" t="str">
        <x:v>TXN-00277</x:v>
      </x:c>
      <x:c r="C282" s="2" t="str">
        <x:v>2025-03-14</x:v>
      </x:c>
      <x:c r="D282" s="2" t="str">
        <x:v>Port Harcourt</x:v>
      </x:c>
      <x:c r="E282" s="2" t="str">
        <x:v>Beauty</x:v>
      </x:c>
      <x:c r="F282" s="2" t="str">
        <x:v>Perfume</x:v>
      </x:c>
      <x:c r="G282" s="2" t="str">
        <x:v>Online</x:v>
      </x:c>
      <x:c r="H282" s="2" t="n">
        <x:v>2</x:v>
      </x:c>
      <x:c r="I282" s="2" t="n">
        <x:v>17000</x:v>
      </x:c>
      <x:c r="J282" s="2" t="n">
        <x:v>9000</x:v>
      </x:c>
      <x:c r="K282" s="2" t="n">
        <x:v>0</x:v>
      </x:c>
      <x:c r="L282" s="2" t="str">
        <x:v>Completed</x:v>
      </x:c>
    </x:row>
    <x:row r="283" ht="21" customHeight="1">
      <x:c r="A283" s="2" t="n">
        <x:v>278</x:v>
      </x:c>
      <x:c r="B283" s="2" t="str">
        <x:v>TXN-00278</x:v>
      </x:c>
      <x:c r="C283" s="2" t="str">
        <x:v>2025-03-18</x:v>
      </x:c>
      <x:c r="D283" s="2" t="str">
        <x:v>Port Harcourt</x:v>
      </x:c>
      <x:c r="E283" s="2" t="str">
        <x:v>Home</x:v>
      </x:c>
      <x:c r="F283" s="2" t="str">
        <x:v>Bedsheet</x:v>
      </x:c>
      <x:c r="G283" s="2" t="str">
        <x:v>In-store</x:v>
      </x:c>
      <x:c r="H283" s="2" t="n">
        <x:v>4</x:v>
      </x:c>
      <x:c r="I283" s="2" t="n">
        <x:v>14000</x:v>
      </x:c>
      <x:c r="J283" s="2" t="n">
        <x:v>8500</x:v>
      </x:c>
      <x:c r="K283" s="2" t="n">
        <x:v>0.05</x:v>
      </x:c>
      <x:c r="L283" s="2" t="str">
        <x:v>Completed</x:v>
      </x:c>
    </x:row>
    <x:row r="284" ht="21" customHeight="1">
      <x:c r="A284" s="2" t="n">
        <x:v>279</x:v>
      </x:c>
      <x:c r="B284" s="2" t="str">
        <x:v>TXN-00279</x:v>
      </x:c>
      <x:c r="C284" s="2" t="str">
        <x:v>2025-03-21</x:v>
      </x:c>
      <x:c r="D284" s="2" t="str">
        <x:v>Port Harcourt</x:v>
      </x:c>
      <x:c r="E284" s="2" t="str">
        <x:v>Beauty</x:v>
      </x:c>
      <x:c r="F284" s="2" t="str">
        <x:v>Body wash</x:v>
      </x:c>
      <x:c r="G284" s="2" t="str">
        <x:v>Online</x:v>
      </x:c>
      <x:c r="H284" s="2" t="n">
        <x:v>2</x:v>
      </x:c>
      <x:c r="I284" s="2" t="n">
        <x:v>4500</x:v>
      </x:c>
      <x:c r="J284" s="2" t="n">
        <x:v>2300</x:v>
      </x:c>
      <x:c r="K284" s="2" t="n">
        <x:v>0.1</x:v>
      </x:c>
      <x:c r="L284" s="2" t="str">
        <x:v>Completed</x:v>
      </x:c>
    </x:row>
    <x:row r="285" ht="21" customHeight="1">
      <x:c r="A285" s="2" t="n">
        <x:v>280</x:v>
      </x:c>
      <x:c r="B285" s="2" t="str">
        <x:v>TXN-00280</x:v>
      </x:c>
      <x:c r="C285" s="2" t="str">
        <x:v>2025-03-16</x:v>
      </x:c>
      <x:c r="D285" s="2" t="str">
        <x:v>Abuja</x:v>
      </x:c>
      <x:c r="E285" s="2" t="str">
        <x:v>Beauty</x:v>
      </x:c>
      <x:c r="F285" s="2" t="str">
        <x:v>Moisturizer</x:v>
      </x:c>
      <x:c r="G285" s="2" t="str">
        <x:v>In-store</x:v>
      </x:c>
      <x:c r="H285" s="2" t="n">
        <x:v>3</x:v>
      </x:c>
      <x:c r="I285" s="2" t="n">
        <x:v>6500</x:v>
      </x:c>
      <x:c r="J285" s="2" t="n">
        <x:v>3500</x:v>
      </x:c>
      <x:c r="K285" s="2" t="n">
        <x:v>0.05</x:v>
      </x:c>
      <x:c r="L285" s="2" t="str">
        <x:v> COMPLETED </x:v>
      </x:c>
    </x:row>
    <x:row r="286" ht="21" customHeight="1">
      <x:c r="A286" s="2" t="n">
        <x:v>281</x:v>
      </x:c>
      <x:c r="B286" s="2" t="str">
        <x:v>TXN-00281</x:v>
      </x:c>
      <x:c r="C286" s="2" t="str">
        <x:v>2025-03-22</x:v>
      </x:c>
      <x:c r="D286" s="2" t="str">
        <x:v> abuja </x:v>
      </x:c>
      <x:c r="E286" s="2" t="str">
        <x:v>Home</x:v>
      </x:c>
      <x:c r="F286" s="2" t="str">
        <x:v>Bedsheet</x:v>
      </x:c>
      <x:c r="G286" s="2" t="str">
        <x:v>Online</x:v>
      </x:c>
      <x:c r="H286" s="2" t="n">
        <x:v>2</x:v>
      </x:c>
      <x:c r="I286" s="2" t="n">
        <x:v>14000</x:v>
      </x:c>
      <x:c r="J286" s="2" t="n">
        <x:v>8500</x:v>
      </x:c>
      <x:c r="K286" s="2" t="n">
        <x:v>0.05</x:v>
      </x:c>
      <x:c r="L286" s="2" t="str">
        <x:v>Completed</x:v>
      </x:c>
    </x:row>
    <x:row r="287" ht="21" customHeight="1">
      <x:c r="A287" s="2" t="n">
        <x:v>282</x:v>
      </x:c>
      <x:c r="B287" s="2" t="str">
        <x:v>TXN-00282</x:v>
      </x:c>
      <x:c r="C287" s="2" t="str">
        <x:v>2025-03-07</x:v>
      </x:c>
      <x:c r="D287" s="2" t="str">
        <x:v>Port Harcourt</x:v>
      </x:c>
      <x:c r="E287" s="2" t="str">
        <x:v>Fashion</x:v>
      </x:c>
      <x:c r="F287" s="2" t="str">
        <x:v>T-shirt</x:v>
      </x:c>
      <x:c r="G287" s="2" t="str">
        <x:v>In-store</x:v>
      </x:c>
      <x:c r="H287" s="2" t="n">
        <x:v>1</x:v>
      </x:c>
      <x:c r="I287" s="2" t="n">
        <x:v>9000</x:v>
      </x:c>
      <x:c r="J287" s="2" t="n">
        <x:v>5000</x:v>
      </x:c>
      <x:c r="K287" s="2" t="n">
        <x:v>0</x:v>
      </x:c>
      <x:c r="L287" s="2" t="str">
        <x:v>Completed</x:v>
      </x:c>
    </x:row>
    <x:row r="288" ht="21" customHeight="1">
      <x:c r="A288" s="2" t="n">
        <x:v>283</x:v>
      </x:c>
      <x:c r="B288" s="2" t="str">
        <x:v>TXN-00283</x:v>
      </x:c>
      <x:c r="C288" s="2" t="str">
        <x:v>2025-03-22</x:v>
      </x:c>
      <x:c r="D288" s="2" t="str">
        <x:v>Lagos</x:v>
      </x:c>
      <x:c r="E288" s="2" t="str">
        <x:v>Electronics</x:v>
      </x:c>
      <x:c r="F288" s="2" t="str">
        <x:v>Headphones</x:v>
      </x:c>
      <x:c r="G288" s="2" t="str">
        <x:v>Online</x:v>
      </x:c>
      <x:c r="H288" s="2" t="n">
        <x:v>2</x:v>
      </x:c>
      <x:c r="I288" s="2" t="n">
        <x:v>18000</x:v>
      </x:c>
      <x:c r="J288" s="2" t="n">
        <x:v>10500</x:v>
      </x:c>
      <x:c r="K288" s="2" t="n">
        <x:v>0</x:v>
      </x:c>
      <x:c r="L288" s="2" t="str">
        <x:v>Completed</x:v>
      </x:c>
    </x:row>
    <x:row r="289" ht="21" customHeight="1">
      <x:c r="A289" s="2" t="n">
        <x:v>284</x:v>
      </x:c>
      <x:c r="B289" s="2" t="str">
        <x:v>TXN-00284</x:v>
      </x:c>
      <x:c r="C289" s="2" t="str">
        <x:v>2025-03-20</x:v>
      </x:c>
      <x:c r="D289" s="2" t="str">
        <x:v>Lagos</x:v>
      </x:c>
      <x:c r="E289" s="2" t="str">
        <x:v>Fashion</x:v>
      </x:c>
      <x:c r="F289" s="2" t="str">
        <x:v>Handbag</x:v>
      </x:c>
      <x:c r="G289" s="2" t="str">
        <x:v>Online</x:v>
      </x:c>
      <x:c r="H289" s="2" t="n">
        <x:v>3</x:v>
      </x:c>
      <x:c r="I289" s="2" t="n">
        <x:v>22000</x:v>
      </x:c>
      <x:c r="J289" s="2" t="n">
        <x:v>13500</x:v>
      </x:c>
      <x:c r="K289" s="2" t="n">
        <x:v>0.05</x:v>
      </x:c>
      <x:c r="L289" s="2" t="str">
        <x:v>Completed</x:v>
      </x:c>
    </x:row>
    <x:row r="290" ht="21" customHeight="1">
      <x:c r="A290" s="2" t="n">
        <x:v>285</x:v>
      </x:c>
      <x:c r="B290" s="2" t="str">
        <x:v>TXN-00285</x:v>
      </x:c>
      <x:c r="C290" s="2" t="str">
        <x:v>2025-03-29</x:v>
      </x:c>
      <x:c r="D290" s="2" t="str">
        <x:v>Abuja</x:v>
      </x:c>
      <x:c r="E290" s="2" t="str">
        <x:v>Beauty</x:v>
      </x:c>
      <x:c r="F290" s="2" t="str">
        <x:v>Moisturizer</x:v>
      </x:c>
      <x:c r="G290" s="2" t="str">
        <x:v>Online</x:v>
      </x:c>
      <x:c r="H290" s="2" t="n">
        <x:v>2</x:v>
      </x:c>
      <x:c r="I290" s="2" t="n">
        <x:v>6500</x:v>
      </x:c>
      <x:c r="J290" s="2" t="n">
        <x:v>3500</x:v>
      </x:c>
      <x:c r="K290" s="2" t="n">
        <x:v>0.05</x:v>
      </x:c>
      <x:c r="L290" s="2" t="str">
        <x:v>Completed</x:v>
      </x:c>
    </x:row>
    <x:row r="291" ht="21" customHeight="1">
      <x:c r="A291" s="2" t="n">
        <x:v>286</x:v>
      </x:c>
      <x:c r="B291" s="2" t="str">
        <x:v>TXN-00286</x:v>
      </x:c>
      <x:c r="C291" s="2" t="str">
        <x:v>2025-03-09</x:v>
      </x:c>
      <x:c r="D291" s="2" t="str">
        <x:v>Lagos</x:v>
      </x:c>
      <x:c r="E291" s="2" t="str">
        <x:v>Home</x:v>
      </x:c>
      <x:c r="F291" s="2" t="str">
        <x:v>Bedsheet</x:v>
      </x:c>
      <x:c r="G291" s="2" t="str">
        <x:v>In-store</x:v>
      </x:c>
      <x:c r="H291" s="2" t="n">
        <x:v>2</x:v>
      </x:c>
      <x:c r="I291" s="2" t="n">
        <x:v>14000</x:v>
      </x:c>
      <x:c r="J291" s="2" t="n">
        <x:v>8500</x:v>
      </x:c>
      <x:c r="K291" s="2" t="n">
        <x:v>0.05</x:v>
      </x:c>
      <x:c r="L291" s="2" t="str">
        <x:v>Completed</x:v>
      </x:c>
    </x:row>
    <x:row r="292" ht="21" customHeight="1">
      <x:c r="A292" s="2" t="n">
        <x:v>287</x:v>
      </x:c>
      <x:c r="B292" s="2" t="str">
        <x:v>TXN-00287</x:v>
      </x:c>
      <x:c r="C292" s="2" t="str">
        <x:v>2025-03-17</x:v>
      </x:c>
      <x:c r="D292" s="2" t="str">
        <x:v>Lagos</x:v>
      </x:c>
      <x:c r="E292" s="2" t="str">
        <x:v>Fashion</x:v>
      </x:c>
      <x:c r="F292" s="2" t="str">
        <x:v>Handbag</x:v>
      </x:c>
      <x:c r="G292" s="2" t="str">
        <x:v> in-store </x:v>
      </x:c>
      <x:c r="H292" s="2" t="n">
        <x:v>2</x:v>
      </x:c>
      <x:c r="I292" s="2" t="n">
        <x:v>22000</x:v>
      </x:c>
      <x:c r="J292" s="2" t="n">
        <x:v>13500</x:v>
      </x:c>
      <x:c r="K292" s="2" t="n">
        <x:v>0.15</x:v>
      </x:c>
      <x:c r="L292" s="2" t="str">
        <x:v>Returned</x:v>
      </x:c>
    </x:row>
    <x:row r="293" ht="21" customHeight="1">
      <x:c r="A293" s="2" t="n">
        <x:v>288</x:v>
      </x:c>
      <x:c r="B293" s="2" t="str">
        <x:v>TXN-00288</x:v>
      </x:c>
      <x:c r="C293" s="2" t="str">
        <x:v>2025-03-04</x:v>
      </x:c>
      <x:c r="D293" s="2" t="str">
        <x:v> kano </x:v>
      </x:c>
      <x:c r="E293" s="2" t="str">
        <x:v>Fashion</x:v>
      </x:c>
      <x:c r="F293" s="2" t="str">
        <x:v>T-shirt</x:v>
      </x:c>
      <x:c r="G293" s="2" t="str">
        <x:v>In-store</x:v>
      </x:c>
      <x:c r="H293" s="2" t="n">
        <x:v>1</x:v>
      </x:c>
      <x:c r="I293" s="2" t="n">
        <x:v>9000</x:v>
      </x:c>
      <x:c r="J293" s="2" t="n">
        <x:v>5000</x:v>
      </x:c>
      <x:c r="K293" s="2" t="n">
        <x:v>0</x:v>
      </x:c>
      <x:c r="L293" s="2" t="str">
        <x:v>Completed</x:v>
      </x:c>
    </x:row>
    <x:row r="294" ht="21" customHeight="1">
      <x:c r="A294" s="2" t="n">
        <x:v>289</x:v>
      </x:c>
      <x:c r="B294" s="2" t="str">
        <x:v>TXN-00289</x:v>
      </x:c>
      <x:c r="C294" s="2" t="str">
        <x:v>2025-03-16</x:v>
      </x:c>
      <x:c r="D294" s="2" t="str">
        <x:v>Lagos</x:v>
      </x:c>
      <x:c r="E294" s="2" t="str">
        <x:v>Beauty</x:v>
      </x:c>
      <x:c r="F294" s="2" t="str">
        <x:v>Perfume</x:v>
      </x:c>
      <x:c r="G294" s="2" t="str">
        <x:v>In-store</x:v>
      </x:c>
      <x:c r="H294" s="2" t="n">
        <x:v>1</x:v>
      </x:c>
      <x:c r="I294" s="2" t="n">
        <x:v>17000</x:v>
      </x:c>
      <x:c r="J294" s="2" t="n">
        <x:v>9000</x:v>
      </x:c>
      <x:c r="K294" s="2" t="n">
        <x:v>0</x:v>
      </x:c>
      <x:c r="L294" s="2" t="str">
        <x:v> COMPLETED </x:v>
      </x:c>
    </x:row>
    <x:row r="295" ht="21" customHeight="1">
      <x:c r="A295" s="2" t="n">
        <x:v>290</x:v>
      </x:c>
      <x:c r="B295" s="2" t="str">
        <x:v>TXN-00290</x:v>
      </x:c>
      <x:c r="C295" s="2" t="str">
        <x:v>2025-03-26</x:v>
      </x:c>
      <x:c r="D295" s="2" t="str">
        <x:v>Lagos</x:v>
      </x:c>
      <x:c r="E295" s="2" t="str">
        <x:v>Fashion</x:v>
      </x:c>
      <x:c r="F295" s="2" t="str">
        <x:v>Sneakers</x:v>
      </x:c>
      <x:c r="G295" s="2" t="str">
        <x:v>In-store</x:v>
      </x:c>
      <x:c r="H295" s="2" t="n">
        <x:v>1</x:v>
      </x:c>
      <x:c r="I295" s="2" t="n">
        <x:v>28000</x:v>
      </x:c>
      <x:c r="J295" s="2" t="n">
        <x:v>17500</x:v>
      </x:c>
      <x:c r="K295" s="2" t="n">
        <x:v>0</x:v>
      </x:c>
      <x:c r="L295" s="2" t="str">
        <x:v>Completed</x:v>
      </x:c>
    </x:row>
    <x:row r="296" ht="21" customHeight="1">
      <x:c r="A296" s="2" t="n">
        <x:v>291</x:v>
      </x:c>
      <x:c r="B296" s="2" t="str">
        <x:v>TXN-00291</x:v>
      </x:c>
      <x:c r="C296" s="2" t="str">
        <x:v>2025-03-14</x:v>
      </x:c>
      <x:c r="D296" s="2" t="str">
        <x:v>Lagos</x:v>
      </x:c>
      <x:c r="E296" s="2" t="str">
        <x:v>Electronics</x:v>
      </x:c>
      <x:c r="F296" s="2" t="str">
        <x:v>Bluetooth speaker</x:v>
      </x:c>
      <x:c r="G296" s="2" t="str">
        <x:v>Online</x:v>
      </x:c>
      <x:c r="H296" s="2" t="n">
        <x:v>3</x:v>
      </x:c>
      <x:c r="I296" s="2" t="n">
        <x:v>26000</x:v>
      </x:c>
      <x:c r="J296" s="2" t="n">
        <x:v>17000</x:v>
      </x:c>
      <x:c r="K296" s="2" t="n">
        <x:v>0</x:v>
      </x:c>
      <x:c r="L296" s="2" t="str">
        <x:v>Completed</x:v>
      </x:c>
    </x:row>
    <x:row r="297" ht="21" customHeight="1">
      <x:c r="A297" s="2" t="n">
        <x:v>292</x:v>
      </x:c>
      <x:c r="B297" s="2" t="str">
        <x:v>TXN-00292</x:v>
      </x:c>
      <x:c r="C297" s="2" t="str">
        <x:v>2025-03-02</x:v>
      </x:c>
      <x:c r="D297" s="2" t="str">
        <x:v>Port Harcourt</x:v>
      </x:c>
      <x:c r="E297" s="2" t="str">
        <x:v>Beauty</x:v>
      </x:c>
      <x:c r="F297" s="2" t="str">
        <x:v>Body wash</x:v>
      </x:c>
      <x:c r="G297" s="2" t="str">
        <x:v>Online</x:v>
      </x:c>
      <x:c r="H297" s="2" t="n">
        <x:v>1</x:v>
      </x:c>
      <x:c r="I297" s="2" t="n">
        <x:v>4500</x:v>
      </x:c>
      <x:c r="J297" s="2" t="n">
        <x:v>2300</x:v>
      </x:c>
      <x:c r="K297" s="2" t="n">
        <x:v>0.1</x:v>
      </x:c>
      <x:c r="L297" s="2" t="str">
        <x:v>Completed</x:v>
      </x:c>
    </x:row>
    <x:row r="298" ht="21" customHeight="1">
      <x:c r="A298" s="2" t="n">
        <x:v>293</x:v>
      </x:c>
      <x:c r="B298" s="2" t="str">
        <x:v>TXN-00293</x:v>
      </x:c>
      <x:c r="C298" s="2" t="str">
        <x:v>2025-03-07</x:v>
      </x:c>
      <x:c r="D298" s="2" t="str">
        <x:v>Lagos</x:v>
      </x:c>
      <x:c r="E298" s="2" t="str">
        <x:v>Electronics</x:v>
      </x:c>
      <x:c r="F298" s="2" t="str">
        <x:v>Headphones</x:v>
      </x:c>
      <x:c r="G298" s="2" t="str">
        <x:v>In-store</x:v>
      </x:c>
      <x:c r="H298" s="2" t="n">
        <x:v>1</x:v>
      </x:c>
      <x:c r="I298" s="2" t="n">
        <x:v>18000</x:v>
      </x:c>
      <x:c r="J298" s="2" t="n">
        <x:v>10500</x:v>
      </x:c>
      <x:c r="K298" s="2" t="n">
        <x:v>0</x:v>
      </x:c>
      <x:c r="L298" s="2" t="str">
        <x:v>Completed</x:v>
      </x:c>
    </x:row>
    <x:row r="299" ht="21" customHeight="1">
      <x:c r="A299" s="2" t="n">
        <x:v>294</x:v>
      </x:c>
      <x:c r="B299" s="2" t="str">
        <x:v>TXN-00294</x:v>
      </x:c>
      <x:c r="C299" s="2" t="str">
        <x:v>2025-03-03</x:v>
      </x:c>
      <x:c r="D299" s="2" t="str">
        <x:v>Lagos</x:v>
      </x:c>
      <x:c r="E299" s="2" t="str">
        <x:v>Home</x:v>
      </x:c>
      <x:c r="F299" s="2" t="str">
        <x:v>Desk lamp</x:v>
      </x:c>
      <x:c r="G299" s="2" t="str">
        <x:v>Online</x:v>
      </x:c>
      <x:c r="H299" s="2" t="n">
        <x:v>2</x:v>
      </x:c>
      <x:c r="I299" s="2" t="n">
        <x:v>12000</x:v>
      </x:c>
      <x:c r="J299" s="2" t="n">
        <x:v>7200</x:v>
      </x:c>
      <x:c r="K299" s="2" t="n">
        <x:v>0.1</x:v>
      </x:c>
      <x:c r="L299" s="2" t="str">
        <x:v>Completed</x:v>
      </x:c>
    </x:row>
    <x:row r="300" ht="21" customHeight="1">
      <x:c r="A300" s="2" t="n">
        <x:v>295</x:v>
      </x:c>
      <x:c r="B300" s="2" t="str">
        <x:v>TXN-00295</x:v>
      </x:c>
      <x:c r="C300" s="2" t="str">
        <x:v>2025-03-19</x:v>
      </x:c>
      <x:c r="D300" s="2" t="str">
        <x:v> port harcourt </x:v>
      </x:c>
      <x:c r="E300" s="2" t="str">
        <x:v>Fashion</x:v>
      </x:c>
      <x:c r="F300" s="2" t="str">
        <x:v>Handbag</x:v>
      </x:c>
      <x:c r="G300" s="2" t="str">
        <x:v>In-store</x:v>
      </x:c>
      <x:c r="H300" s="2" t="n">
        <x:v>1</x:v>
      </x:c>
      <x:c r="I300" s="2" t="n">
        <x:v>22000</x:v>
      </x:c>
      <x:c r="J300" s="2" t="n">
        <x:v>13500</x:v>
      </x:c>
      <x:c r="K300" s="2" t="n">
        <x:v>0</x:v>
      </x:c>
      <x:c r="L300" s="2" t="str">
        <x:v>Completed</x:v>
      </x:c>
    </x:row>
    <x:row r="301" ht="21" customHeight="1">
      <x:c r="A301" s="2" t="n">
        <x:v>296</x:v>
      </x:c>
      <x:c r="B301" s="2" t="str">
        <x:v>TXN-00296</x:v>
      </x:c>
      <x:c r="C301" s="2" t="str">
        <x:v>2025-03-06</x:v>
      </x:c>
      <x:c r="D301" s="2" t="str">
        <x:v>Lagos</x:v>
      </x:c>
      <x:c r="E301" s="2" t="str">
        <x:v>Fashion</x:v>
      </x:c>
      <x:c r="F301" s="2" t="str">
        <x:v>T-shirt</x:v>
      </x:c>
      <x:c r="G301" s="2" t="str">
        <x:v>In-store</x:v>
      </x:c>
      <x:c r="H301" s="2" t="n">
        <x:v>1</x:v>
      </x:c>
      <x:c r="I301" s="2" t="n">
        <x:v>9000</x:v>
      </x:c>
      <x:c r="J301" s="2" t="n">
        <x:v>5000</x:v>
      </x:c>
      <x:c r="K301" s="2" t="n">
        <x:v>0.1</x:v>
      </x:c>
      <x:c r="L301" s="2" t="str">
        <x:v>Completed</x:v>
      </x:c>
    </x:row>
    <x:row r="302" ht="21" customHeight="1">
      <x:c r="A302" s="2" t="n">
        <x:v>297</x:v>
      </x:c>
      <x:c r="B302" s="2" t="str">
        <x:v>TXN-00297</x:v>
      </x:c>
      <x:c r="C302" s="2" t="str">
        <x:v>2025-03-08</x:v>
      </x:c>
      <x:c r="D302" s="2" t="str">
        <x:v>Kano</x:v>
      </x:c>
      <x:c r="E302" s="2" t="str">
        <x:v>Home</x:v>
      </x:c>
      <x:c r="F302" s="2" t="str">
        <x:v>Cookware set</x:v>
      </x:c>
      <x:c r="G302" s="2" t="str">
        <x:v>In-store</x:v>
      </x:c>
      <x:c r="H302" s="2" t="n">
        <x:v>1</x:v>
      </x:c>
      <x:c r="I302" s="2" t="n">
        <x:v>35000</x:v>
      </x:c>
      <x:c r="J302" s="2" t="n">
        <x:v>22500</x:v>
      </x:c>
      <x:c r="K302" s="2" t="n">
        <x:v>0.1</x:v>
      </x:c>
      <x:c r="L302" s="2" t="str">
        <x:v>Completed</x:v>
      </x:c>
    </x:row>
    <x:row r="303" ht="21" customHeight="1">
      <x:c r="A303" s="2" t="n">
        <x:v>298</x:v>
      </x:c>
      <x:c r="B303" s="2" t="str">
        <x:v>TXN-00298</x:v>
      </x:c>
      <x:c r="C303" s="2" t="str">
        <x:v>2025-03-03</x:v>
      </x:c>
      <x:c r="D303" s="2" t="str">
        <x:v>Lagos</x:v>
      </x:c>
      <x:c r="E303" s="2" t="str">
        <x:v>Beauty</x:v>
      </x:c>
      <x:c r="F303" s="2" t="str">
        <x:v>Perfume</x:v>
      </x:c>
      <x:c r="G303" s="2" t="str">
        <x:v> online </x:v>
      </x:c>
      <x:c r="H303" s="2" t="n">
        <x:v>3</x:v>
      </x:c>
      <x:c r="I303" s="2" t="n">
        <x:v>17000</x:v>
      </x:c>
      <x:c r="J303" s="2" t="n">
        <x:v>9000</x:v>
      </x:c>
      <x:c r="K303" s="2" t="n">
        <x:v>0.1</x:v>
      </x:c>
      <x:c r="L303" s="2" t="str">
        <x:v> COMPLETED </x:v>
      </x:c>
    </x:row>
    <x:row r="304" ht="21" customHeight="1">
      <x:c r="A304" s="2" t="n">
        <x:v>299</x:v>
      </x:c>
      <x:c r="B304" s="2" t="str">
        <x:v>TXN-00299</x:v>
      </x:c>
      <x:c r="C304" s="2" t="str">
        <x:v>2025-03-16</x:v>
      </x:c>
      <x:c r="D304" s="2" t="str">
        <x:v>Lagos</x:v>
      </x:c>
      <x:c r="E304" s="2" t="str">
        <x:v>Fashion</x:v>
      </x:c>
      <x:c r="F304" s="2" t="str">
        <x:v>Sneakers</x:v>
      </x:c>
      <x:c r="G304" s="2" t="str">
        <x:v>Online</x:v>
      </x:c>
      <x:c r="H304" s="2" t="n">
        <x:v>1</x:v>
      </x:c>
      <x:c r="I304" s="2" t="n">
        <x:v>28000</x:v>
      </x:c>
      <x:c r="J304" s="2" t="n">
        <x:v>17500</x:v>
      </x:c>
      <x:c r="K304" s="2" t="n">
        <x:v>0</x:v>
      </x:c>
      <x:c r="L304" s="2" t="str">
        <x:v>Completed</x:v>
      </x:c>
    </x:row>
    <x:row r="305" ht="21" customHeight="1">
      <x:c r="A305" s="2" t="n">
        <x:v>300</x:v>
      </x:c>
      <x:c r="B305" s="2" t="str">
        <x:v>TXN-00300</x:v>
      </x:c>
      <x:c r="C305" s="2" t="str">
        <x:v>2025-03-10</x:v>
      </x:c>
      <x:c r="D305" s="2" t="str">
        <x:v>Lagos</x:v>
      </x:c>
      <x:c r="E305" s="2" t="str">
        <x:v>Home</x:v>
      </x:c>
      <x:c r="F305" s="2" t="str">
        <x:v>Desk lamp</x:v>
      </x:c>
      <x:c r="G305" s="2" t="str">
        <x:v>In-store</x:v>
      </x:c>
      <x:c r="H305" s="2" t="n">
        <x:v>2</x:v>
      </x:c>
      <x:c r="I305" s="2" t="n">
        <x:v>12000</x:v>
      </x:c>
      <x:c r="J305" s="2" t="n">
        <x:v>7200</x:v>
      </x:c>
      <x:c r="K305" s="2" t="n">
        <x:v>0</x:v>
      </x:c>
      <x:c r="L305" s="2" t="str">
        <x:v>Completed</x:v>
      </x:c>
    </x:row>
    <x:row r="306" ht="21" customHeight="1">
      <x:c r="A306" s="2" t="n">
        <x:v>301</x:v>
      </x:c>
      <x:c r="B306" s="2" t="str">
        <x:v>TXN-00301</x:v>
      </x:c>
      <x:c r="C306" s="2" t="str">
        <x:v>2025-03-23</x:v>
      </x:c>
      <x:c r="D306" s="2" t="str">
        <x:v>Abuja</x:v>
      </x:c>
      <x:c r="E306" s="2" t="str">
        <x:v>Beauty</x:v>
      </x:c>
      <x:c r="F306" s="2" t="str">
        <x:v>Body wash</x:v>
      </x:c>
      <x:c r="G306" s="2" t="str">
        <x:v>In-store</x:v>
      </x:c>
      <x:c r="H306" s="2" t="n">
        <x:v>2</x:v>
      </x:c>
      <x:c r="I306" s="2" t="n">
        <x:v>4500</x:v>
      </x:c>
      <x:c r="J306" s="2" t="n">
        <x:v>2300</x:v>
      </x:c>
      <x:c r="K306" s="2" t="n">
        <x:v>0</x:v>
      </x:c>
      <x:c r="L306" s="2" t="str">
        <x:v>Completed</x:v>
      </x:c>
    </x:row>
    <x:row r="307" ht="21" customHeight="1">
      <x:c r="A307" s="2" t="n">
        <x:v>302</x:v>
      </x:c>
      <x:c r="B307" s="2" t="str">
        <x:v>TXN-00302</x:v>
      </x:c>
      <x:c r="C307" s="2" t="str">
        <x:v>2025-03-06</x:v>
      </x:c>
      <x:c r="D307" s="2" t="str">
        <x:v> lagos </x:v>
      </x:c>
      <x:c r="E307" s="2" t="str">
        <x:v>Electronics</x:v>
      </x:c>
      <x:c r="F307" s="2" t="str">
        <x:v>Bluetooth speaker</x:v>
      </x:c>
      <x:c r="G307" s="2" t="str">
        <x:v>In-store</x:v>
      </x:c>
      <x:c r="H307" s="2" t="n">
        <x:v>2</x:v>
      </x:c>
      <x:c r="I307" s="2" t="n">
        <x:v>26000</x:v>
      </x:c>
      <x:c r="J307" s="2" t="n">
        <x:v>17000</x:v>
      </x:c>
      <x:c r="K307" s="2" t="n">
        <x:v>0.1</x:v>
      </x:c>
      <x:c r="L307" s="2" t="str">
        <x:v>Completed</x:v>
      </x:c>
    </x:row>
    <x:row r="308" ht="21" customHeight="1">
      <x:c r="A308" s="2" t="n">
        <x:v>303</x:v>
      </x:c>
      <x:c r="B308" s="2" t="str">
        <x:v>TXN-00303</x:v>
      </x:c>
      <x:c r="C308" s="2" t="str">
        <x:v>2025-03-14</x:v>
      </x:c>
      <x:c r="D308" s="2" t="str">
        <x:v>Lagos</x:v>
      </x:c>
      <x:c r="E308" s="2" t="str">
        <x:v>Home</x:v>
      </x:c>
      <x:c r="F308" s="2" t="str">
        <x:v>Cookware set</x:v>
      </x:c>
      <x:c r="G308" s="2" t="str">
        <x:v>Online</x:v>
      </x:c>
      <x:c r="H308" s="2" t="n">
        <x:v>3</x:v>
      </x:c>
      <x:c r="I308" s="2" t="n">
        <x:v>35000</x:v>
      </x:c>
      <x:c r="J308" s="2" t="n">
        <x:v>22500</x:v>
      </x:c>
      <x:c r="K308" s="2" t="n">
        <x:v>0.05</x:v>
      </x:c>
      <x:c r="L308" s="2" t="str">
        <x:v>Completed</x:v>
      </x:c>
    </x:row>
    <x:row r="309" ht="21" customHeight="1">
      <x:c r="A309" s="2" t="n">
        <x:v>304</x:v>
      </x:c>
      <x:c r="B309" s="2" t="str">
        <x:v>TXN-00304</x:v>
      </x:c>
      <x:c r="C309" s="2" t="str">
        <x:v>2025-03-14</x:v>
      </x:c>
      <x:c r="D309" s="2" t="str">
        <x:v>Lagos</x:v>
      </x:c>
      <x:c r="E309" s="2" t="str">
        <x:v>Fashion</x:v>
      </x:c>
      <x:c r="F309" s="2" t="str">
        <x:v>Handbag</x:v>
      </x:c>
      <x:c r="G309" s="2" t="str">
        <x:v>Online</x:v>
      </x:c>
      <x:c r="H309" s="2" t="n">
        <x:v>3</x:v>
      </x:c>
      <x:c r="I309" s="2" t="n">
        <x:v>22000</x:v>
      </x:c>
      <x:c r="J309" s="2" t="n">
        <x:v>13500</x:v>
      </x:c>
      <x:c r="K309" s="2" t="n">
        <x:v>0</x:v>
      </x:c>
      <x:c r="L309" s="2" t="str">
        <x:v>Completed</x:v>
      </x:c>
    </x:row>
    <x:row r="310" ht="21" customHeight="1">
      <x:c r="A310" s="2" t="n">
        <x:v>305</x:v>
      </x:c>
      <x:c r="B310" s="2" t="str">
        <x:v>TXN-00305</x:v>
      </x:c>
      <x:c r="C310" s="2" t="str">
        <x:v>2025-03-23</x:v>
      </x:c>
      <x:c r="D310" s="2" t="str">
        <x:v>Abuja</x:v>
      </x:c>
      <x:c r="E310" s="2" t="str">
        <x:v>Electronics</x:v>
      </x:c>
      <x:c r="F310" s="2" t="str">
        <x:v>Power bank</x:v>
      </x:c>
      <x:c r="G310" s="2" t="str">
        <x:v>In-store</x:v>
      </x:c>
      <x:c r="H310" s="2" t="n">
        <x:v>2</x:v>
      </x:c>
      <x:c r="I310" s="2" t="n">
        <x:v>15000</x:v>
      </x:c>
      <x:c r="J310" s="2" t="n">
        <x:v>9500</x:v>
      </x:c>
      <x:c r="K310" s="2" t="n">
        <x:v>0.15</x:v>
      </x:c>
      <x:c r="L310" s="2" t="str">
        <x:v>Completed</x:v>
      </x:c>
    </x:row>
    <x:row r="311" ht="21" customHeight="1">
      <x:c r="A311" s="2" t="n">
        <x:v>306</x:v>
      </x:c>
      <x:c r="B311" s="2" t="str">
        <x:v>TXN-00306</x:v>
      </x:c>
      <x:c r="C311" s="2" t="str">
        <x:v>2025-03-21</x:v>
      </x:c>
      <x:c r="D311" s="2" t="str">
        <x:v>Abuja</x:v>
      </x:c>
      <x:c r="E311" s="2" t="str">
        <x:v>Fashion</x:v>
      </x:c>
      <x:c r="F311" s="2" t="str">
        <x:v>Sneakers</x:v>
      </x:c>
      <x:c r="G311" s="2" t="str">
        <x:v>Online</x:v>
      </x:c>
      <x:c r="H311" s="2" t="n">
        <x:v>2</x:v>
      </x:c>
      <x:c r="I311" s="2" t="n">
        <x:v>28000</x:v>
      </x:c>
      <x:c r="J311" s="2" t="n">
        <x:v>17500</x:v>
      </x:c>
      <x:c r="K311" s="2" t="n">
        <x:v>0</x:v>
      </x:c>
      <x:c r="L311" s="2" t="str">
        <x:v>Completed</x:v>
      </x:c>
    </x:row>
    <x:row r="312" ht="21" customHeight="1">
      <x:c r="A312" s="2" t="n">
        <x:v>307</x:v>
      </x:c>
      <x:c r="B312" s="2" t="str">
        <x:v>TXN-00307</x:v>
      </x:c>
      <x:c r="C312" s="2" t="str">
        <x:v>2025-03-13</x:v>
      </x:c>
      <x:c r="D312" s="2" t="str">
        <x:v>Kano</x:v>
      </x:c>
      <x:c r="E312" s="2" t="str">
        <x:v>Beauty</x:v>
      </x:c>
      <x:c r="F312" s="2" t="str">
        <x:v>Perfume</x:v>
      </x:c>
      <x:c r="G312" s="2" t="str">
        <x:v>Online</x:v>
      </x:c>
      <x:c r="H312" s="2" t="n">
        <x:v>1</x:v>
      </x:c>
      <x:c r="I312" s="2" t="n">
        <x:v>17000</x:v>
      </x:c>
      <x:c r="J312" s="2" t="n">
        <x:v>9000</x:v>
      </x:c>
      <x:c r="K312" s="2" t="n">
        <x:v>0.1</x:v>
      </x:c>
      <x:c r="L312" s="2" t="str">
        <x:v> COMPLETED </x:v>
      </x:c>
    </x:row>
    <x:row r="313" ht="21" customHeight="1">
      <x:c r="A313" s="2" t="n">
        <x:v>308</x:v>
      </x:c>
      <x:c r="B313" s="2" t="str">
        <x:v>TXN-00308</x:v>
      </x:c>
      <x:c r="C313" s="2" t="str">
        <x:v>2025-04-19</x:v>
      </x:c>
      <x:c r="D313" s="2" t="str">
        <x:v>Lagos</x:v>
      </x:c>
      <x:c r="E313" s="2" t="str">
        <x:v>Electronics</x:v>
      </x:c>
      <x:c r="F313" s="2" t="str">
        <x:v>Power bank</x:v>
      </x:c>
      <x:c r="G313" s="2" t="str">
        <x:v>Online</x:v>
      </x:c>
      <x:c r="H313" s="2" t="n">
        <x:v>1</x:v>
      </x:c>
      <x:c r="I313" s="2" t="n">
        <x:v>15000</x:v>
      </x:c>
      <x:c r="J313" s="2" t="n">
        <x:v>9500</x:v>
      </x:c>
      <x:c r="K313" s="2" t="n">
        <x:v>0.1</x:v>
      </x:c>
      <x:c r="L313" s="2" t="str">
        <x:v>Completed</x:v>
      </x:c>
    </x:row>
    <x:row r="314" ht="21" customHeight="1">
      <x:c r="A314" s="2" t="n">
        <x:v>309</x:v>
      </x:c>
      <x:c r="B314" s="2" t="str">
        <x:v>TXN-00309</x:v>
      </x:c>
      <x:c r="C314" s="2" t="str">
        <x:v>2025-04-06</x:v>
      </x:c>
      <x:c r="D314" s="2" t="str">
        <x:v> lagos </x:v>
      </x:c>
      <x:c r="E314" s="2" t="str">
        <x:v>Home</x:v>
      </x:c>
      <x:c r="F314" s="2" t="str">
        <x:v>Bedsheet</x:v>
      </x:c>
      <x:c r="G314" s="2" t="str">
        <x:v> in-store </x:v>
      </x:c>
      <x:c r="H314" s="2" t="n">
        <x:v>1</x:v>
      </x:c>
      <x:c r="I314" s="2" t="n">
        <x:v>14000</x:v>
      </x:c>
      <x:c r="J314" s="2" t="n">
        <x:v>8500</x:v>
      </x:c>
      <x:c r="K314" s="2" t="n">
        <x:v>0.15</x:v>
      </x:c>
      <x:c r="L314" s="2" t="str">
        <x:v>Completed</x:v>
      </x:c>
    </x:row>
    <x:row r="315" ht="21" customHeight="1">
      <x:c r="A315" s="2" t="n">
        <x:v>310</x:v>
      </x:c>
      <x:c r="B315" s="2" t="str">
        <x:v>TXN-00310</x:v>
      </x:c>
      <x:c r="C315" s="2" t="str">
        <x:v>2025-04-17</x:v>
      </x:c>
      <x:c r="D315" s="2" t="str">
        <x:v>Abuja</x:v>
      </x:c>
      <x:c r="E315" s="2" t="str">
        <x:v>Fashion</x:v>
      </x:c>
      <x:c r="F315" s="2" t="str">
        <x:v>Handbag</x:v>
      </x:c>
      <x:c r="G315" s="2" t="str">
        <x:v>In-store</x:v>
      </x:c>
      <x:c r="H315" s="2" t="n">
        <x:v>2</x:v>
      </x:c>
      <x:c r="I315" s="2" t="n">
        <x:v>22000</x:v>
      </x:c>
      <x:c r="J315" s="2" t="n">
        <x:v>13500</x:v>
      </x:c>
      <x:c r="K315" s="2" t="n">
        <x:v>0</x:v>
      </x:c>
      <x:c r="L315" s="2" t="str">
        <x:v>Returned</x:v>
      </x:c>
    </x:row>
    <x:row r="316" ht="21" customHeight="1">
      <x:c r="A316" s="2" t="n">
        <x:v>311</x:v>
      </x:c>
      <x:c r="B316" s="2" t="str">
        <x:v>TXN-00311</x:v>
      </x:c>
      <x:c r="C316" s="2" t="str">
        <x:v>2025-04-12</x:v>
      </x:c>
      <x:c r="D316" s="2" t="str">
        <x:v>Lagos</x:v>
      </x:c>
      <x:c r="E316" s="2" t="str">
        <x:v>Beauty</x:v>
      </x:c>
      <x:c r="F316" s="2" t="str">
        <x:v>Moisturizer</x:v>
      </x:c>
      <x:c r="G316" s="2" t="str">
        <x:v>Online</x:v>
      </x:c>
      <x:c r="H316" s="2" t="n">
        <x:v>2</x:v>
      </x:c>
      <x:c r="I316" s="2" t="n">
        <x:v>6500</x:v>
      </x:c>
      <x:c r="J316" s="2" t="n">
        <x:v>3500</x:v>
      </x:c>
      <x:c r="K316" s="2" t="n">
        <x:v>0.1</x:v>
      </x:c>
      <x:c r="L316" s="2" t="str">
        <x:v>Completed</x:v>
      </x:c>
    </x:row>
    <x:row r="317" ht="21" customHeight="1">
      <x:c r="A317" s="2" t="n">
        <x:v>312</x:v>
      </x:c>
      <x:c r="B317" s="2" t="str">
        <x:v>TXN-00312</x:v>
      </x:c>
      <x:c r="C317" s="2" t="str">
        <x:v>2025-04-30</x:v>
      </x:c>
      <x:c r="D317" s="2" t="str">
        <x:v>Lagos</x:v>
      </x:c>
      <x:c r="E317" s="2" t="str">
        <x:v>Electronics</x:v>
      </x:c>
      <x:c r="F317" s="2" t="str">
        <x:v>Headphones</x:v>
      </x:c>
      <x:c r="G317" s="2" t="str">
        <x:v>In-store</x:v>
      </x:c>
      <x:c r="H317" s="2" t="n">
        <x:v>3</x:v>
      </x:c>
      <x:c r="I317" s="2" t="n">
        <x:v>18000</x:v>
      </x:c>
      <x:c r="J317" s="2" t="n">
        <x:v>10500</x:v>
      </x:c>
      <x:c r="K317" s="2" t="n">
        <x:v>0</x:v>
      </x:c>
      <x:c r="L317" s="2" t="str">
        <x:v>Completed</x:v>
      </x:c>
    </x:row>
    <x:row r="318" ht="21" customHeight="1">
      <x:c r="A318" s="2" t="n">
        <x:v>313</x:v>
      </x:c>
      <x:c r="B318" s="2" t="str">
        <x:v>TXN-00313</x:v>
      </x:c>
      <x:c r="C318" s="2" t="str">
        <x:v>2025-04-26</x:v>
      </x:c>
      <x:c r="D318" s="2" t="str">
        <x:v>Lagos</x:v>
      </x:c>
      <x:c r="E318" s="2" t="str">
        <x:v>Beauty</x:v>
      </x:c>
      <x:c r="F318" s="2" t="str">
        <x:v>Moisturizer</x:v>
      </x:c>
      <x:c r="G318" s="2" t="str">
        <x:v>Online</x:v>
      </x:c>
      <x:c r="H318" s="2" t="n">
        <x:v>4</x:v>
      </x:c>
      <x:c r="I318" s="2" t="n">
        <x:v>6500</x:v>
      </x:c>
      <x:c r="J318" s="2" t="n">
        <x:v>3500</x:v>
      </x:c>
      <x:c r="K318" s="2" t="n">
        <x:v>0.05</x:v>
      </x:c>
      <x:c r="L318" s="2" t="str">
        <x:v>Completed</x:v>
      </x:c>
    </x:row>
    <x:row r="319" ht="21" customHeight="1">
      <x:c r="A319" s="2" t="n">
        <x:v>314</x:v>
      </x:c>
      <x:c r="B319" s="2" t="str">
        <x:v>TXN-00314</x:v>
      </x:c>
      <x:c r="C319" s="2" t="str">
        <x:v>2025-04-01</x:v>
      </x:c>
      <x:c r="D319" s="2" t="str">
        <x:v>Port Harcourt</x:v>
      </x:c>
      <x:c r="E319" s="2" t="str">
        <x:v>Beauty</x:v>
      </x:c>
      <x:c r="F319" s="2" t="str">
        <x:v>Moisturizer</x:v>
      </x:c>
      <x:c r="G319" s="2" t="str">
        <x:v>In-store</x:v>
      </x:c>
      <x:c r="H319" s="2" t="n">
        <x:v>1</x:v>
      </x:c>
      <x:c r="I319" s="2" t="n">
        <x:v>6500</x:v>
      </x:c>
      <x:c r="J319" s="2" t="n">
        <x:v>3500</x:v>
      </x:c>
      <x:c r="K319" s="2" t="n">
        <x:v>0</x:v>
      </x:c>
      <x:c r="L319" s="2" t="str">
        <x:v>Completed</x:v>
      </x:c>
    </x:row>
    <x:row r="320" ht="21" customHeight="1">
      <x:c r="A320" s="2" t="n">
        <x:v>315</x:v>
      </x:c>
      <x:c r="B320" s="2" t="str">
        <x:v>TXN-00315</x:v>
      </x:c>
      <x:c r="C320" s="2" t="str">
        <x:v>2025-04-04</x:v>
      </x:c>
      <x:c r="D320" s="2" t="str">
        <x:v>Lagos</x:v>
      </x:c>
      <x:c r="E320" s="2" t="str">
        <x:v>Electronics</x:v>
      </x:c>
      <x:c r="F320" s="2" t="str">
        <x:v>Bluetooth speaker</x:v>
      </x:c>
      <x:c r="G320" s="2" t="str">
        <x:v>Online</x:v>
      </x:c>
      <x:c r="H320" s="2" t="n">
        <x:v>2</x:v>
      </x:c>
      <x:c r="I320" s="2" t="n">
        <x:v>26000</x:v>
      </x:c>
      <x:c r="J320" s="2" t="n">
        <x:v>17000</x:v>
      </x:c>
      <x:c r="K320" s="2" t="n">
        <x:v>0.05</x:v>
      </x:c>
      <x:c r="L320" s="2" t="str">
        <x:v>Completed</x:v>
      </x:c>
    </x:row>
    <x:row r="321" ht="21" customHeight="1">
      <x:c r="A321" s="2" t="n">
        <x:v>316</x:v>
      </x:c>
      <x:c r="B321" s="2" t="str">
        <x:v>TXN-00316</x:v>
      </x:c>
      <x:c r="C321" s="2" t="str">
        <x:v>2025-04-14</x:v>
      </x:c>
      <x:c r="D321" s="2" t="str">
        <x:v> abuja </x:v>
      </x:c>
      <x:c r="E321" s="2" t="str">
        <x:v>Fashion</x:v>
      </x:c>
      <x:c r="F321" s="2" t="str">
        <x:v>Handbag</x:v>
      </x:c>
      <x:c r="G321" s="2" t="str">
        <x:v>Online</x:v>
      </x:c>
      <x:c r="H321" s="2" t="n">
        <x:v>1</x:v>
      </x:c>
      <x:c r="I321" s="2" t="n">
        <x:v>22000</x:v>
      </x:c>
      <x:c r="J321" s="2" t="n">
        <x:v>13500</x:v>
      </x:c>
      <x:c r="K321" s="2" t="n">
        <x:v>0.1</x:v>
      </x:c>
      <x:c r="L321" s="2" t="str">
        <x:v> COMPLETED </x:v>
      </x:c>
    </x:row>
    <x:row r="322" ht="21" customHeight="1">
      <x:c r="A322" s="2" t="n">
        <x:v>317</x:v>
      </x:c>
      <x:c r="B322" s="2" t="str">
        <x:v>TXN-00317</x:v>
      </x:c>
      <x:c r="C322" s="2" t="str">
        <x:v>2025-04-14</x:v>
      </x:c>
      <x:c r="D322" s="2" t="str">
        <x:v>Lagos</x:v>
      </x:c>
      <x:c r="E322" s="2" t="str">
        <x:v>Fashion</x:v>
      </x:c>
      <x:c r="F322" s="2" t="str">
        <x:v>T-shirt</x:v>
      </x:c>
      <x:c r="G322" s="2" t="str">
        <x:v>In-store</x:v>
      </x:c>
      <x:c r="H322" s="2" t="n">
        <x:v>1</x:v>
      </x:c>
      <x:c r="I322" s="2" t="n">
        <x:v>9000</x:v>
      </x:c>
      <x:c r="J322" s="2" t="n">
        <x:v>5000</x:v>
      </x:c>
      <x:c r="K322" s="2" t="n">
        <x:v>0</x:v>
      </x:c>
      <x:c r="L322" s="2" t="str">
        <x:v>Returned</x:v>
      </x:c>
    </x:row>
    <x:row r="323" ht="21" customHeight="1">
      <x:c r="A323" s="2" t="n">
        <x:v>318</x:v>
      </x:c>
      <x:c r="B323" s="2" t="str">
        <x:v>TXN-00318</x:v>
      </x:c>
      <x:c r="C323" s="2" t="str">
        <x:v>2025-04-24</x:v>
      </x:c>
      <x:c r="D323" s="2" t="str">
        <x:v>Port Harcourt</x:v>
      </x:c>
      <x:c r="E323" s="2" t="str">
        <x:v>Electronics</x:v>
      </x:c>
      <x:c r="F323" s="2" t="str">
        <x:v>Headphones</x:v>
      </x:c>
      <x:c r="G323" s="2" t="str">
        <x:v>In-store</x:v>
      </x:c>
      <x:c r="H323" s="2" t="n">
        <x:v>1</x:v>
      </x:c>
      <x:c r="I323" s="2" t="n">
        <x:v>18000</x:v>
      </x:c>
      <x:c r="J323" s="2" t="n">
        <x:v>10500</x:v>
      </x:c>
      <x:c r="K323" s="2" t="n">
        <x:v>0</x:v>
      </x:c>
      <x:c r="L323" s="2" t="str">
        <x:v>Completed</x:v>
      </x:c>
    </x:row>
    <x:row r="324" ht="21" customHeight="1">
      <x:c r="A324" s="2" t="n">
        <x:v>319</x:v>
      </x:c>
      <x:c r="B324" s="2" t="str">
        <x:v>TXN-00319</x:v>
      </x:c>
      <x:c r="C324" s="2" t="str">
        <x:v>2025-04-04</x:v>
      </x:c>
      <x:c r="D324" s="2" t="str">
        <x:v>Abuja</x:v>
      </x:c>
      <x:c r="E324" s="2" t="str">
        <x:v>Fashion</x:v>
      </x:c>
      <x:c r="F324" s="2" t="str">
        <x:v>T-shirt</x:v>
      </x:c>
      <x:c r="G324" s="2" t="str">
        <x:v>Online</x:v>
      </x:c>
      <x:c r="H324" s="2" t="n">
        <x:v>1</x:v>
      </x:c>
      <x:c r="I324" s="2" t="n">
        <x:v>9000</x:v>
      </x:c>
      <x:c r="J324" s="2" t="n">
        <x:v>5000</x:v>
      </x:c>
      <x:c r="K324" s="2" t="n">
        <x:v>0.1</x:v>
      </x:c>
      <x:c r="L324" s="2" t="str">
        <x:v>Completed</x:v>
      </x:c>
    </x:row>
    <x:row r="325" ht="21" customHeight="1">
      <x:c r="A325" s="2" t="n">
        <x:v>320</x:v>
      </x:c>
      <x:c r="B325" s="2" t="str">
        <x:v>TXN-00320</x:v>
      </x:c>
      <x:c r="C325" s="2" t="str">
        <x:v>2025-04-02</x:v>
      </x:c>
      <x:c r="D325" s="2" t="str">
        <x:v>Abuja</x:v>
      </x:c>
      <x:c r="E325" s="2" t="str">
        <x:v>Fashion</x:v>
      </x:c>
      <x:c r="F325" s="2" t="str">
        <x:v>Sneakers</x:v>
      </x:c>
      <x:c r="G325" s="2" t="str">
        <x:v> in-store </x:v>
      </x:c>
      <x:c r="H325" s="2" t="n">
        <x:v>4</x:v>
      </x:c>
      <x:c r="I325" s="2" t="n">
        <x:v>28000</x:v>
      </x:c>
      <x:c r="J325" s="2" t="n">
        <x:v>17500</x:v>
      </x:c>
      <x:c r="K325" s="2" t="n">
        <x:v>0.05</x:v>
      </x:c>
      <x:c r="L325" s="2" t="str">
        <x:v>Completed</x:v>
      </x:c>
    </x:row>
    <x:row r="326" ht="21" customHeight="1">
      <x:c r="A326" s="2" t="n">
        <x:v>321</x:v>
      </x:c>
      <x:c r="B326" s="2" t="str">
        <x:v>TXN-00321</x:v>
      </x:c>
      <x:c r="C326" s="2" t="str">
        <x:v>2025-04-02</x:v>
      </x:c>
      <x:c r="D326" s="2" t="str">
        <x:v>Lagos</x:v>
      </x:c>
      <x:c r="E326" s="2" t="str">
        <x:v>Beauty</x:v>
      </x:c>
      <x:c r="F326" s="2" t="str">
        <x:v>Moisturizer</x:v>
      </x:c>
      <x:c r="G326" s="2" t="str">
        <x:v>Online</x:v>
      </x:c>
      <x:c r="H326" s="2" t="n">
        <x:v>1</x:v>
      </x:c>
      <x:c r="I326" s="2" t="n">
        <x:v>6500</x:v>
      </x:c>
      <x:c r="J326" s="2" t="n">
        <x:v>3500</x:v>
      </x:c>
      <x:c r="K326" s="2" t="n">
        <x:v>0</x:v>
      </x:c>
      <x:c r="L326" s="2" t="str">
        <x:v>Completed</x:v>
      </x:c>
    </x:row>
    <x:row r="327" ht="21" customHeight="1">
      <x:c r="A327" s="2" t="n">
        <x:v>322</x:v>
      </x:c>
      <x:c r="B327" s="2" t="str">
        <x:v>TXN-00322</x:v>
      </x:c>
      <x:c r="C327" s="2" t="str">
        <x:v>2025-04-03</x:v>
      </x:c>
      <x:c r="D327" s="2" t="str">
        <x:v>Lagos</x:v>
      </x:c>
      <x:c r="E327" s="2" t="str">
        <x:v>Beauty</x:v>
      </x:c>
      <x:c r="F327" s="2" t="str">
        <x:v>Moisturizer</x:v>
      </x:c>
      <x:c r="G327" s="2" t="str">
        <x:v>Online</x:v>
      </x:c>
      <x:c r="H327" s="2" t="n">
        <x:v>2</x:v>
      </x:c>
      <x:c r="I327" s="2" t="n">
        <x:v>6500</x:v>
      </x:c>
      <x:c r="J327" s="2" t="n">
        <x:v>3500</x:v>
      </x:c>
      <x:c r="K327" s="2" t="n">
        <x:v>0</x:v>
      </x:c>
      <x:c r="L327" s="2" t="str">
        <x:v>Completed</x:v>
      </x:c>
    </x:row>
    <x:row r="328" ht="21" customHeight="1">
      <x:c r="A328" s="2" t="n">
        <x:v>323</x:v>
      </x:c>
      <x:c r="B328" s="2" t="str">
        <x:v>TXN-00323</x:v>
      </x:c>
      <x:c r="C328" s="2" t="str">
        <x:v>2025-04-11</x:v>
      </x:c>
      <x:c r="D328" s="2" t="str">
        <x:v> lagos </x:v>
      </x:c>
      <x:c r="E328" s="2" t="str">
        <x:v>Fashion</x:v>
      </x:c>
      <x:c r="F328" s="2" t="str">
        <x:v>Handbag</x:v>
      </x:c>
      <x:c r="G328" s="2" t="str">
        <x:v>Online</x:v>
      </x:c>
      <x:c r="H328" s="2" t="n">
        <x:v>1</x:v>
      </x:c>
      <x:c r="I328" s="2" t="n">
        <x:v>22000</x:v>
      </x:c>
      <x:c r="J328" s="2" t="n">
        <x:v>13500</x:v>
      </x:c>
      <x:c r="K328" s="2" t="n">
        <x:v>0</x:v>
      </x:c>
      <x:c r="L328" s="2" t="str">
        <x:v>Completed</x:v>
      </x:c>
    </x:row>
    <x:row r="329" ht="21" customHeight="1">
      <x:c r="A329" s="2" t="n">
        <x:v>324</x:v>
      </x:c>
      <x:c r="B329" s="2" t="str">
        <x:v>TXN-00324</x:v>
      </x:c>
      <x:c r="C329" s="2" t="str">
        <x:v>2025-04-14</x:v>
      </x:c>
      <x:c r="D329" s="2" t="str">
        <x:v>Port Harcourt</x:v>
      </x:c>
      <x:c r="E329" s="2" t="str">
        <x:v>Electronics</x:v>
      </x:c>
      <x:c r="F329" s="2" t="str">
        <x:v>Power bank</x:v>
      </x:c>
      <x:c r="G329" s="2" t="str">
        <x:v>In-store</x:v>
      </x:c>
      <x:c r="H329" s="2" t="n">
        <x:v>3</x:v>
      </x:c>
      <x:c r="I329" s="2" t="n">
        <x:v>15000</x:v>
      </x:c>
      <x:c r="J329" s="2" t="n">
        <x:v>9500</x:v>
      </x:c>
      <x:c r="K329" s="2" t="n">
        <x:v>0.1</x:v>
      </x:c>
      <x:c r="L329" s="2" t="str">
        <x:v>Completed</x:v>
      </x:c>
    </x:row>
    <x:row r="330" ht="21" customHeight="1">
      <x:c r="A330" s="2" t="n">
        <x:v>325</x:v>
      </x:c>
      <x:c r="B330" s="2" t="str">
        <x:v>TXN-00325</x:v>
      </x:c>
      <x:c r="C330" s="2" t="str">
        <x:v>2025-04-16</x:v>
      </x:c>
      <x:c r="D330" s="2" t="str">
        <x:v>Port Harcourt</x:v>
      </x:c>
      <x:c r="E330" s="2" t="str">
        <x:v>Home</x:v>
      </x:c>
      <x:c r="F330" s="2" t="str">
        <x:v>Cookware set</x:v>
      </x:c>
      <x:c r="G330" s="2" t="str">
        <x:v>In-store</x:v>
      </x:c>
      <x:c r="H330" s="2" t="n">
        <x:v>1</x:v>
      </x:c>
      <x:c r="I330" s="2" t="n">
        <x:v>35000</x:v>
      </x:c>
      <x:c r="J330" s="2" t="n">
        <x:v>22500</x:v>
      </x:c>
      <x:c r="K330" s="2" t="n">
        <x:v>0.15</x:v>
      </x:c>
      <x:c r="L330" s="2" t="str">
        <x:v> COMPLETED </x:v>
      </x:c>
    </x:row>
    <x:row r="331" ht="21" customHeight="1">
      <x:c r="A331" s="2" t="n">
        <x:v>326</x:v>
      </x:c>
      <x:c r="B331" s="2" t="str">
        <x:v>TXN-00326</x:v>
      </x:c>
      <x:c r="C331" s="2" t="str">
        <x:v>2025-04-03</x:v>
      </x:c>
      <x:c r="D331" s="2" t="str">
        <x:v>Port Harcourt</x:v>
      </x:c>
      <x:c r="E331" s="2" t="str">
        <x:v>Fashion</x:v>
      </x:c>
      <x:c r="F331" s="2" t="str">
        <x:v>Handbag</x:v>
      </x:c>
      <x:c r="G331" s="2" t="str">
        <x:v>In-store</x:v>
      </x:c>
      <x:c r="H331" s="2" t="n">
        <x:v>2</x:v>
      </x:c>
      <x:c r="I331" s="2" t="n">
        <x:v>22000</x:v>
      </x:c>
      <x:c r="J331" s="2" t="n">
        <x:v>13500</x:v>
      </x:c>
      <x:c r="K331" s="2" t="n">
        <x:v>0</x:v>
      </x:c>
      <x:c r="L331" s="2" t="str">
        <x:v>Completed</x:v>
      </x:c>
    </x:row>
    <x:row r="332" ht="21" customHeight="1">
      <x:c r="A332" s="2" t="n">
        <x:v>327</x:v>
      </x:c>
      <x:c r="B332" s="2" t="str">
        <x:v>TXN-00327</x:v>
      </x:c>
      <x:c r="C332" s="2" t="str">
        <x:v>2025-04-03</x:v>
      </x:c>
      <x:c r="D332" s="2" t="str">
        <x:v>Kano</x:v>
      </x:c>
      <x:c r="E332" s="2" t="str">
        <x:v>Fashion</x:v>
      </x:c>
      <x:c r="F332" s="2" t="str">
        <x:v>Sneakers</x:v>
      </x:c>
      <x:c r="G332" s="2" t="str">
        <x:v>Online</x:v>
      </x:c>
      <x:c r="H332" s="2" t="n">
        <x:v>1</x:v>
      </x:c>
      <x:c r="I332" s="2" t="n">
        <x:v>28000</x:v>
      </x:c>
      <x:c r="J332" s="2" t="n">
        <x:v>17500</x:v>
      </x:c>
      <x:c r="K332" s="2" t="n">
        <x:v>0.1</x:v>
      </x:c>
      <x:c r="L332" s="2" t="str">
        <x:v>Completed</x:v>
      </x:c>
    </x:row>
    <x:row r="333" ht="21" customHeight="1">
      <x:c r="A333" s="2" t="n">
        <x:v>328</x:v>
      </x:c>
      <x:c r="B333" s="2" t="str">
        <x:v>TXN-00328</x:v>
      </x:c>
      <x:c r="C333" s="2" t="str">
        <x:v>2025-04-02</x:v>
      </x:c>
      <x:c r="D333" s="2" t="str">
        <x:v>Abuja</x:v>
      </x:c>
      <x:c r="E333" s="2" t="str">
        <x:v>Home</x:v>
      </x:c>
      <x:c r="F333" s="2" t="str">
        <x:v>Bedsheet</x:v>
      </x:c>
      <x:c r="G333" s="2" t="str">
        <x:v>Online</x:v>
      </x:c>
      <x:c r="H333" s="2" t="n">
        <x:v>2</x:v>
      </x:c>
      <x:c r="I333" s="2" t="n">
        <x:v>14000</x:v>
      </x:c>
      <x:c r="J333" s="2" t="n">
        <x:v>8500</x:v>
      </x:c>
      <x:c r="K333" s="2" t="n">
        <x:v>0.1</x:v>
      </x:c>
      <x:c r="L333" s="2" t="str">
        <x:v>Returned</x:v>
      </x:c>
    </x:row>
    <x:row r="334" ht="21" customHeight="1">
      <x:c r="A334" s="2" t="n">
        <x:v>329</x:v>
      </x:c>
      <x:c r="B334" s="2" t="str">
        <x:v>TXN-00329</x:v>
      </x:c>
      <x:c r="C334" s="2" t="str">
        <x:v>2025-04-18</x:v>
      </x:c>
      <x:c r="D334" s="2" t="str">
        <x:v>Kano</x:v>
      </x:c>
      <x:c r="E334" s="2" t="str">
        <x:v>Beauty</x:v>
      </x:c>
      <x:c r="F334" s="2" t="str">
        <x:v>Moisturizer</x:v>
      </x:c>
      <x:c r="G334" s="2" t="str">
        <x:v>In-store</x:v>
      </x:c>
      <x:c r="H334" s="2" t="n">
        <x:v>3</x:v>
      </x:c>
      <x:c r="I334" s="2" t="n">
        <x:v>6500</x:v>
      </x:c>
      <x:c r="J334" s="2" t="n">
        <x:v>3500</x:v>
      </x:c>
      <x:c r="K334" s="2" t="n">
        <x:v>0</x:v>
      </x:c>
      <x:c r="L334" s="2" t="str">
        <x:v>Completed</x:v>
      </x:c>
    </x:row>
    <x:row r="335" ht="21" customHeight="1">
      <x:c r="A335" s="2" t="n">
        <x:v>330</x:v>
      </x:c>
      <x:c r="B335" s="2" t="str">
        <x:v>TXN-00330</x:v>
      </x:c>
      <x:c r="C335" s="2" t="str">
        <x:v>2025-04-11</x:v>
      </x:c>
      <x:c r="D335" s="2" t="str">
        <x:v> kano </x:v>
      </x:c>
      <x:c r="E335" s="2" t="str">
        <x:v>Electronics</x:v>
      </x:c>
      <x:c r="F335" s="2" t="str">
        <x:v>Headphones</x:v>
      </x:c>
      <x:c r="G335" s="2" t="str">
        <x:v>Online</x:v>
      </x:c>
      <x:c r="H335" s="2" t="n">
        <x:v>1</x:v>
      </x:c>
      <x:c r="I335" s="2" t="n">
        <x:v>18000</x:v>
      </x:c>
      <x:c r="J335" s="2" t="n">
        <x:v>10500</x:v>
      </x:c>
      <x:c r="K335" s="2" t="n">
        <x:v>0.05</x:v>
      </x:c>
      <x:c r="L335" s="2" t="str">
        <x:v>Completed</x:v>
      </x:c>
    </x:row>
    <x:row r="336" ht="21" customHeight="1">
      <x:c r="A336" s="2" t="n">
        <x:v>331</x:v>
      </x:c>
      <x:c r="B336" s="2" t="str">
        <x:v>TXN-00331</x:v>
      </x:c>
      <x:c r="C336" s="2" t="str">
        <x:v>2025-04-03</x:v>
      </x:c>
      <x:c r="D336" s="2" t="str">
        <x:v>Lagos</x:v>
      </x:c>
      <x:c r="E336" s="2" t="str">
        <x:v>Electronics</x:v>
      </x:c>
      <x:c r="F336" s="2" t="str">
        <x:v>Bluetooth speaker</x:v>
      </x:c>
      <x:c r="G336" s="2" t="str">
        <x:v> online </x:v>
      </x:c>
      <x:c r="H336" s="2" t="n">
        <x:v>3</x:v>
      </x:c>
      <x:c r="I336" s="2" t="n">
        <x:v>26000</x:v>
      </x:c>
      <x:c r="J336" s="2" t="n">
        <x:v>17000</x:v>
      </x:c>
      <x:c r="K336" s="2" t="n">
        <x:v>0.05</x:v>
      </x:c>
      <x:c r="L336" s="2" t="str">
        <x:v>Completed</x:v>
      </x:c>
    </x:row>
    <x:row r="337" ht="21" customHeight="1">
      <x:c r="A337" s="2" t="n">
        <x:v>332</x:v>
      </x:c>
      <x:c r="B337" s="2" t="str">
        <x:v>TXN-00332</x:v>
      </x:c>
      <x:c r="C337" s="2" t="str">
        <x:v>2025-04-05</x:v>
      </x:c>
      <x:c r="D337" s="2" t="str">
        <x:v>Abuja</x:v>
      </x:c>
      <x:c r="E337" s="2" t="str">
        <x:v>Electronics</x:v>
      </x:c>
      <x:c r="F337" s="2" t="str">
        <x:v>Bluetooth speaker</x:v>
      </x:c>
      <x:c r="G337" s="2" t="str">
        <x:v>In-store</x:v>
      </x:c>
      <x:c r="H337" s="2" t="n">
        <x:v>1</x:v>
      </x:c>
      <x:c r="I337" s="2" t="n">
        <x:v>26000</x:v>
      </x:c>
      <x:c r="J337" s="2" t="n">
        <x:v>17000</x:v>
      </x:c>
      <x:c r="K337" s="2" t="n">
        <x:v>0</x:v>
      </x:c>
      <x:c r="L337" s="2" t="str">
        <x:v>Completed</x:v>
      </x:c>
    </x:row>
    <x:row r="338" ht="21" customHeight="1">
      <x:c r="A338" s="2" t="n">
        <x:v>333</x:v>
      </x:c>
      <x:c r="B338" s="2" t="str">
        <x:v>TXN-00333</x:v>
      </x:c>
      <x:c r="C338" s="2" t="str">
        <x:v>2025-04-29</x:v>
      </x:c>
      <x:c r="D338" s="2" t="str">
        <x:v>Port Harcourt</x:v>
      </x:c>
      <x:c r="E338" s="2" t="str">
        <x:v>Home</x:v>
      </x:c>
      <x:c r="F338" s="2" t="str">
        <x:v>Desk lamp</x:v>
      </x:c>
      <x:c r="G338" s="2" t="str">
        <x:v>Online</x:v>
      </x:c>
      <x:c r="H338" s="2" t="n">
        <x:v>1</x:v>
      </x:c>
      <x:c r="I338" s="2" t="n">
        <x:v>12000</x:v>
      </x:c>
      <x:c r="J338" s="2" t="n">
        <x:v>7200</x:v>
      </x:c>
      <x:c r="K338" s="2" t="n">
        <x:v>0</x:v>
      </x:c>
      <x:c r="L338" s="2" t="str">
        <x:v>Completed</x:v>
      </x:c>
    </x:row>
    <x:row r="339" ht="21" customHeight="1">
      <x:c r="A339" s="2" t="n">
        <x:v>334</x:v>
      </x:c>
      <x:c r="B339" s="2" t="str">
        <x:v>TXN-00334</x:v>
      </x:c>
      <x:c r="C339" s="2" t="str">
        <x:v>2025-04-11</x:v>
      </x:c>
      <x:c r="D339" s="2" t="str">
        <x:v>Lagos</x:v>
      </x:c>
      <x:c r="E339" s="2" t="str">
        <x:v>Electronics</x:v>
      </x:c>
      <x:c r="F339" s="2" t="str">
        <x:v>Bluetooth speaker</x:v>
      </x:c>
      <x:c r="G339" s="2" t="str">
        <x:v>Online</x:v>
      </x:c>
      <x:c r="H339" s="2" t="n">
        <x:v>2</x:v>
      </x:c>
      <x:c r="I339" s="2" t="n">
        <x:v>26000</x:v>
      </x:c>
      <x:c r="J339" s="2" t="n">
        <x:v>17000</x:v>
      </x:c>
      <x:c r="K339" s="2" t="n">
        <x:v>0.05</x:v>
      </x:c>
      <x:c r="L339" s="2" t="str">
        <x:v> COMPLETED </x:v>
      </x:c>
    </x:row>
    <x:row r="340" ht="21" customHeight="1">
      <x:c r="A340" s="2" t="n">
        <x:v>335</x:v>
      </x:c>
      <x:c r="B340" s="2" t="str">
        <x:v>TXN-00335</x:v>
      </x:c>
      <x:c r="C340" s="2" t="str">
        <x:v>2025-04-03</x:v>
      </x:c>
      <x:c r="D340" s="2" t="str">
        <x:v>Lagos</x:v>
      </x:c>
      <x:c r="E340" s="2" t="str">
        <x:v>Beauty</x:v>
      </x:c>
      <x:c r="F340" s="2" t="str">
        <x:v>Body wash</x:v>
      </x:c>
      <x:c r="G340" s="2" t="str">
        <x:v>In-store</x:v>
      </x:c>
      <x:c r="H340" s="2" t="n">
        <x:v>1</x:v>
      </x:c>
      <x:c r="I340" s="2" t="n">
        <x:v>4500</x:v>
      </x:c>
      <x:c r="J340" s="2" t="n">
        <x:v>2300</x:v>
      </x:c>
      <x:c r="K340" s="2" t="n">
        <x:v>0</x:v>
      </x:c>
      <x:c r="L340" s="2" t="str">
        <x:v>Completed</x:v>
      </x:c>
    </x:row>
    <x:row r="341" ht="21" customHeight="1">
      <x:c r="A341" s="2" t="n">
        <x:v>336</x:v>
      </x:c>
      <x:c r="B341" s="2" t="str">
        <x:v>TXN-00336</x:v>
      </x:c>
      <x:c r="C341" s="2" t="str">
        <x:v>2025-04-29</x:v>
      </x:c>
      <x:c r="D341" s="2" t="str">
        <x:v>Port Harcourt</x:v>
      </x:c>
      <x:c r="E341" s="2" t="str">
        <x:v>Beauty</x:v>
      </x:c>
      <x:c r="F341" s="2" t="str">
        <x:v>Perfume</x:v>
      </x:c>
      <x:c r="G341" s="2" t="str">
        <x:v>Online</x:v>
      </x:c>
      <x:c r="H341" s="2" t="n">
        <x:v>3</x:v>
      </x:c>
      <x:c r="I341" s="2" t="n">
        <x:v>17000</x:v>
      </x:c>
      <x:c r="J341" s="2" t="n">
        <x:v>9000</x:v>
      </x:c>
      <x:c r="K341" s="2" t="n">
        <x:v>0</x:v>
      </x:c>
      <x:c r="L341" s="2" t="str">
        <x:v>Completed</x:v>
      </x:c>
    </x:row>
    <x:row r="342" ht="21" customHeight="1">
      <x:c r="A342" s="2" t="n">
        <x:v>337</x:v>
      </x:c>
      <x:c r="B342" s="2" t="str">
        <x:v>TXN-00337</x:v>
      </x:c>
      <x:c r="C342" s="2" t="str">
        <x:v>2025-04-28</x:v>
      </x:c>
      <x:c r="D342" s="2" t="str">
        <x:v> abuja </x:v>
      </x:c>
      <x:c r="E342" s="2" t="str">
        <x:v>Fashion</x:v>
      </x:c>
      <x:c r="F342" s="2" t="str">
        <x:v>Handbag</x:v>
      </x:c>
      <x:c r="G342" s="2" t="str">
        <x:v>Online</x:v>
      </x:c>
      <x:c r="H342" s="2" t="n">
        <x:v>1</x:v>
      </x:c>
      <x:c r="I342" s="2" t="n">
        <x:v>22000</x:v>
      </x:c>
      <x:c r="J342" s="2" t="n">
        <x:v>13500</x:v>
      </x:c>
      <x:c r="K342" s="2" t="n">
        <x:v>0</x:v>
      </x:c>
      <x:c r="L342" s="2" t="str">
        <x:v>Completed</x:v>
      </x:c>
    </x:row>
    <x:row r="343" ht="21" customHeight="1">
      <x:c r="A343" s="2" t="n">
        <x:v>338</x:v>
      </x:c>
      <x:c r="B343" s="2" t="str">
        <x:v>TXN-00338</x:v>
      </x:c>
      <x:c r="C343" s="2" t="str">
        <x:v>2025-04-26</x:v>
      </x:c>
      <x:c r="D343" s="2" t="str">
        <x:v>Lagos</x:v>
      </x:c>
      <x:c r="E343" s="2" t="str">
        <x:v>Beauty</x:v>
      </x:c>
      <x:c r="F343" s="2" t="str">
        <x:v>Body wash</x:v>
      </x:c>
      <x:c r="G343" s="2" t="str">
        <x:v>Online</x:v>
      </x:c>
      <x:c r="H343" s="2" t="n">
        <x:v>2</x:v>
      </x:c>
      <x:c r="I343" s="2" t="n">
        <x:v>4500</x:v>
      </x:c>
      <x:c r="J343" s="2" t="n">
        <x:v>2300</x:v>
      </x:c>
      <x:c r="K343" s="2" t="n">
        <x:v>0</x:v>
      </x:c>
      <x:c r="L343" s="2" t="str">
        <x:v>Completed</x:v>
      </x:c>
    </x:row>
    <x:row r="344" ht="21" customHeight="1">
      <x:c r="A344" s="2" t="n">
        <x:v>339</x:v>
      </x:c>
      <x:c r="B344" s="2" t="str">
        <x:v>TXN-00339</x:v>
      </x:c>
      <x:c r="C344" s="2" t="str">
        <x:v>2025-04-29</x:v>
      </x:c>
      <x:c r="D344" s="2" t="str">
        <x:v>Lagos</x:v>
      </x:c>
      <x:c r="E344" s="2" t="str">
        <x:v>Electronics</x:v>
      </x:c>
      <x:c r="F344" s="2" t="str">
        <x:v>Headphones</x:v>
      </x:c>
      <x:c r="G344" s="2" t="str">
        <x:v>Online</x:v>
      </x:c>
      <x:c r="H344" s="2" t="n">
        <x:v>1</x:v>
      </x:c>
      <x:c r="I344" s="2" t="n">
        <x:v>18000</x:v>
      </x:c>
      <x:c r="J344" s="2" t="n">
        <x:v>10500</x:v>
      </x:c>
      <x:c r="K344" s="2" t="n">
        <x:v>0.05</x:v>
      </x:c>
      <x:c r="L344" s="2" t="str">
        <x:v>Completed</x:v>
      </x:c>
    </x:row>
    <x:row r="345" ht="21" customHeight="1">
      <x:c r="A345" s="2" t="n">
        <x:v>340</x:v>
      </x:c>
      <x:c r="B345" s="2" t="str">
        <x:v>TXN-00340</x:v>
      </x:c>
      <x:c r="C345" s="2" t="str">
        <x:v>2025-04-30</x:v>
      </x:c>
      <x:c r="D345" s="2" t="str">
        <x:v>Lagos</x:v>
      </x:c>
      <x:c r="E345" s="2" t="str">
        <x:v>Fashion</x:v>
      </x:c>
      <x:c r="F345" s="2" t="str">
        <x:v>Sneakers</x:v>
      </x:c>
      <x:c r="G345" s="2" t="str">
        <x:v>Online</x:v>
      </x:c>
      <x:c r="H345" s="2" t="n">
        <x:v>3</x:v>
      </x:c>
      <x:c r="I345" s="2" t="n">
        <x:v>28000</x:v>
      </x:c>
      <x:c r="J345" s="2" t="n">
        <x:v>17500</x:v>
      </x:c>
      <x:c r="K345" s="2" t="n">
        <x:v>0.1</x:v>
      </x:c>
      <x:c r="L345" s="2" t="str">
        <x:v>Completed</x:v>
      </x:c>
    </x:row>
    <x:row r="346" ht="21" customHeight="1">
      <x:c r="A346" s="2" t="n">
        <x:v>341</x:v>
      </x:c>
      <x:c r="B346" s="2" t="str">
        <x:v>TXN-00341</x:v>
      </x:c>
      <x:c r="C346" s="2" t="str">
        <x:v>2025-04-11</x:v>
      </x:c>
      <x:c r="D346" s="2" t="str">
        <x:v>Kano</x:v>
      </x:c>
      <x:c r="E346" s="2" t="str">
        <x:v>Fashion</x:v>
      </x:c>
      <x:c r="F346" s="2" t="str">
        <x:v>Sneakers</x:v>
      </x:c>
      <x:c r="G346" s="2" t="str">
        <x:v>Online</x:v>
      </x:c>
      <x:c r="H346" s="2" t="n">
        <x:v>1</x:v>
      </x:c>
      <x:c r="I346" s="2" t="n">
        <x:v>28000</x:v>
      </x:c>
      <x:c r="J346" s="2" t="n">
        <x:v>17500</x:v>
      </x:c>
      <x:c r="K346" s="2" t="n">
        <x:v>0.05</x:v>
      </x:c>
      <x:c r="L346" s="2" t="str">
        <x:v>Completed</x:v>
      </x:c>
    </x:row>
    <x:row r="347" ht="21" customHeight="1">
      <x:c r="A347" s="2" t="n">
        <x:v>342</x:v>
      </x:c>
      <x:c r="B347" s="2" t="str">
        <x:v>TXN-00342</x:v>
      </x:c>
      <x:c r="C347" s="2" t="str">
        <x:v>2025-04-04</x:v>
      </x:c>
      <x:c r="D347" s="2" t="str">
        <x:v>Abuja</x:v>
      </x:c>
      <x:c r="E347" s="2" t="str">
        <x:v>Fashion</x:v>
      </x:c>
      <x:c r="F347" s="2" t="str">
        <x:v>Handbag</x:v>
      </x:c>
      <x:c r="G347" s="2" t="str">
        <x:v> online </x:v>
      </x:c>
      <x:c r="H347" s="2" t="n">
        <x:v>3</x:v>
      </x:c>
      <x:c r="I347" s="2" t="n">
        <x:v>22000</x:v>
      </x:c>
      <x:c r="J347" s="2" t="n">
        <x:v>13500</x:v>
      </x:c>
      <x:c r="K347" s="2" t="n">
        <x:v>0.1</x:v>
      </x:c>
      <x:c r="L347" s="2" t="str">
        <x:v>Returned</x:v>
      </x:c>
    </x:row>
    <x:row r="348" ht="21" customHeight="1">
      <x:c r="A348" s="2" t="n">
        <x:v>343</x:v>
      </x:c>
      <x:c r="B348" s="2" t="str">
        <x:v>TXN-00343</x:v>
      </x:c>
      <x:c r="C348" s="2" t="str">
        <x:v>2025-04-13</x:v>
      </x:c>
      <x:c r="D348" s="2" t="str">
        <x:v>Lagos</x:v>
      </x:c>
      <x:c r="E348" s="2" t="str">
        <x:v>Fashion</x:v>
      </x:c>
      <x:c r="F348" s="2" t="str">
        <x:v>T-shirt</x:v>
      </x:c>
      <x:c r="G348" s="2" t="str">
        <x:v>Online</x:v>
      </x:c>
      <x:c r="H348" s="2" t="n">
        <x:v>2</x:v>
      </x:c>
      <x:c r="I348" s="2" t="n">
        <x:v>9000</x:v>
      </x:c>
      <x:c r="J348" s="2" t="n">
        <x:v>5000</x:v>
      </x:c>
      <x:c r="K348" s="2" t="n">
        <x:v>0</x:v>
      </x:c>
      <x:c r="L348" s="2" t="str">
        <x:v> COMPLETED </x:v>
      </x:c>
    </x:row>
    <x:row r="349" ht="21" customHeight="1">
      <x:c r="A349" s="2" t="n">
        <x:v>344</x:v>
      </x:c>
      <x:c r="B349" s="2" t="str">
        <x:v>TXN-00344</x:v>
      </x:c>
      <x:c r="C349" s="2" t="str">
        <x:v>2025-04-18</x:v>
      </x:c>
      <x:c r="D349" s="2" t="str">
        <x:v> port harcourt </x:v>
      </x:c>
      <x:c r="E349" s="2" t="str">
        <x:v>Beauty</x:v>
      </x:c>
      <x:c r="F349" s="2" t="str">
        <x:v>Perfume</x:v>
      </x:c>
      <x:c r="G349" s="2" t="str">
        <x:v>In-store</x:v>
      </x:c>
      <x:c r="H349" s="2" t="n">
        <x:v>1</x:v>
      </x:c>
      <x:c r="I349" s="2" t="n">
        <x:v>17000</x:v>
      </x:c>
      <x:c r="J349" s="2" t="n">
        <x:v>9000</x:v>
      </x:c>
      <x:c r="K349" s="2" t="n">
        <x:v>0</x:v>
      </x:c>
      <x:c r="L349" s="2" t="str">
        <x:v>Completed</x:v>
      </x:c>
    </x:row>
    <x:row r="350" ht="21" customHeight="1">
      <x:c r="A350" s="2" t="n">
        <x:v>345</x:v>
      </x:c>
      <x:c r="B350" s="2" t="str">
        <x:v>TXN-00345</x:v>
      </x:c>
      <x:c r="C350" s="2" t="str">
        <x:v>2025-04-24</x:v>
      </x:c>
      <x:c r="D350" s="2" t="str">
        <x:v>Lagos</x:v>
      </x:c>
      <x:c r="E350" s="2" t="str">
        <x:v>Fashion</x:v>
      </x:c>
      <x:c r="F350" s="2" t="str">
        <x:v>Handbag</x:v>
      </x:c>
      <x:c r="G350" s="2" t="str">
        <x:v>In-store</x:v>
      </x:c>
      <x:c r="H350" s="2" t="n">
        <x:v>2</x:v>
      </x:c>
      <x:c r="I350" s="2" t="n">
        <x:v>22000</x:v>
      </x:c>
      <x:c r="J350" s="2" t="n">
        <x:v>13500</x:v>
      </x:c>
      <x:c r="K350" s="2" t="n">
        <x:v>0</x:v>
      </x:c>
      <x:c r="L350" s="2" t="str">
        <x:v>Completed</x:v>
      </x:c>
    </x:row>
    <x:row r="351" ht="21" customHeight="1">
      <x:c r="A351" s="2" t="n">
        <x:v>346</x:v>
      </x:c>
      <x:c r="B351" s="2" t="str">
        <x:v>TXN-00346</x:v>
      </x:c>
      <x:c r="C351" s="2" t="str">
        <x:v>2025-04-07</x:v>
      </x:c>
      <x:c r="D351" s="2" t="str">
        <x:v>Lagos</x:v>
      </x:c>
      <x:c r="E351" s="2" t="str">
        <x:v>Electronics</x:v>
      </x:c>
      <x:c r="F351" s="2" t="str">
        <x:v>Power bank</x:v>
      </x:c>
      <x:c r="G351" s="2" t="str">
        <x:v>In-store</x:v>
      </x:c>
      <x:c r="H351" s="2" t="n">
        <x:v>1</x:v>
      </x:c>
      <x:c r="I351" s="2" t="n">
        <x:v>15000</x:v>
      </x:c>
      <x:c r="J351" s="2" t="n">
        <x:v>9500</x:v>
      </x:c>
      <x:c r="K351" s="2" t="n">
        <x:v>0.05</x:v>
      </x:c>
      <x:c r="L351" s="2" t="str">
        <x:v>Returned</x:v>
      </x:c>
    </x:row>
    <x:row r="352" ht="21" customHeight="1">
      <x:c r="A352" s="2" t="n">
        <x:v>347</x:v>
      </x:c>
      <x:c r="B352" s="2" t="str">
        <x:v>TXN-00347</x:v>
      </x:c>
      <x:c r="C352" s="2" t="str">
        <x:v>2025-04-09</x:v>
      </x:c>
      <x:c r="D352" s="2" t="str">
        <x:v>Lagos</x:v>
      </x:c>
      <x:c r="E352" s="2" t="str">
        <x:v>Fashion</x:v>
      </x:c>
      <x:c r="F352" s="2" t="str">
        <x:v>Sneakers</x:v>
      </x:c>
      <x:c r="G352" s="2" t="str">
        <x:v>In-store</x:v>
      </x:c>
      <x:c r="H352" s="2" t="n">
        <x:v>1</x:v>
      </x:c>
      <x:c r="I352" s="2" t="n">
        <x:v>28000</x:v>
      </x:c>
      <x:c r="J352" s="2" t="n">
        <x:v>17500</x:v>
      </x:c>
      <x:c r="K352" s="2" t="n">
        <x:v>0.05</x:v>
      </x:c>
      <x:c r="L352" s="2" t="str">
        <x:v>Completed</x:v>
      </x:c>
    </x:row>
    <x:row r="353" ht="21" customHeight="1">
      <x:c r="A353" s="2" t="n">
        <x:v>348</x:v>
      </x:c>
      <x:c r="B353" s="2" t="str">
        <x:v>TXN-00348</x:v>
      </x:c>
      <x:c r="C353" s="2" t="str">
        <x:v>2025-04-01</x:v>
      </x:c>
      <x:c r="D353" s="2" t="str">
        <x:v>Abuja</x:v>
      </x:c>
      <x:c r="E353" s="2" t="str">
        <x:v>Electronics</x:v>
      </x:c>
      <x:c r="F353" s="2" t="str">
        <x:v>Power bank</x:v>
      </x:c>
      <x:c r="G353" s="2" t="str">
        <x:v>Online</x:v>
      </x:c>
      <x:c r="H353" s="2" t="n">
        <x:v>2</x:v>
      </x:c>
      <x:c r="I353" s="2" t="n">
        <x:v>15000</x:v>
      </x:c>
      <x:c r="J353" s="2" t="n">
        <x:v>9500</x:v>
      </x:c>
      <x:c r="K353" s="2" t="n">
        <x:v>0</x:v>
      </x:c>
      <x:c r="L353" s="2" t="str">
        <x:v>Completed</x:v>
      </x:c>
    </x:row>
    <x:row r="354" ht="21" customHeight="1">
      <x:c r="A354" s="2" t="n">
        <x:v>349</x:v>
      </x:c>
      <x:c r="B354" s="2" t="str">
        <x:v>TXN-00349</x:v>
      </x:c>
      <x:c r="C354" s="2" t="str">
        <x:v>2025-04-12</x:v>
      </x:c>
      <x:c r="D354" s="2" t="str">
        <x:v>Lagos</x:v>
      </x:c>
      <x:c r="E354" s="2" t="str">
        <x:v>Electronics</x:v>
      </x:c>
      <x:c r="F354" s="2" t="str">
        <x:v>Bluetooth speaker</x:v>
      </x:c>
      <x:c r="G354" s="2" t="str">
        <x:v>Online</x:v>
      </x:c>
      <x:c r="H354" s="2" t="n">
        <x:v>2</x:v>
      </x:c>
      <x:c r="I354" s="2" t="n">
        <x:v>26000</x:v>
      </x:c>
      <x:c r="J354" s="2" t="n">
        <x:v>17000</x:v>
      </x:c>
      <x:c r="K354" s="2" t="n">
        <x:v>0</x:v>
      </x:c>
      <x:c r="L354" s="2" t="str">
        <x:v>Completed</x:v>
      </x:c>
    </x:row>
    <x:row r="355" ht="21" customHeight="1">
      <x:c r="A355" s="2" t="n">
        <x:v>350</x:v>
      </x:c>
      <x:c r="B355" s="2" t="str">
        <x:v>TXN-00350</x:v>
      </x:c>
      <x:c r="C355" s="2" t="str">
        <x:v>2025-04-04</x:v>
      </x:c>
      <x:c r="D355" s="2" t="str">
        <x:v>Kano</x:v>
      </x:c>
      <x:c r="E355" s="2" t="str">
        <x:v>Fashion</x:v>
      </x:c>
      <x:c r="F355" s="2" t="str">
        <x:v>Sneakers</x:v>
      </x:c>
      <x:c r="G355" s="2" t="str">
        <x:v>In-store</x:v>
      </x:c>
      <x:c r="H355" s="2" t="n">
        <x:v>2</x:v>
      </x:c>
      <x:c r="I355" s="2" t="n">
        <x:v>28000</x:v>
      </x:c>
      <x:c r="J355" s="2" t="n">
        <x:v>17500</x:v>
      </x:c>
      <x:c r="K355" s="2" t="n">
        <x:v>0.1</x:v>
      </x:c>
      <x:c r="L355" s="2" t="str">
        <x:v>Completed</x:v>
      </x:c>
    </x:row>
    <x:row r="356" ht="21" customHeight="1">
      <x:c r="A356" s="2" t="n">
        <x:v>351</x:v>
      </x:c>
      <x:c r="B356" s="2" t="str">
        <x:v>TXN-00351</x:v>
      </x:c>
      <x:c r="C356" s="2" t="str">
        <x:v>2025-04-15</x:v>
      </x:c>
      <x:c r="D356" s="2" t="str">
        <x:v> port harcourt </x:v>
      </x:c>
      <x:c r="E356" s="2" t="str">
        <x:v>Fashion</x:v>
      </x:c>
      <x:c r="F356" s="2" t="str">
        <x:v>T-shirt</x:v>
      </x:c>
      <x:c r="G356" s="2" t="str">
        <x:v>In-store</x:v>
      </x:c>
      <x:c r="H356" s="2" t="n">
        <x:v>2</x:v>
      </x:c>
      <x:c r="I356" s="2" t="n">
        <x:v>9000</x:v>
      </x:c>
      <x:c r="J356" s="2" t="n">
        <x:v>5000</x:v>
      </x:c>
      <x:c r="K356" s="2" t="n">
        <x:v>0.1</x:v>
      </x:c>
      <x:c r="L356" s="2" t="str">
        <x:v>Completed</x:v>
      </x:c>
    </x:row>
    <x:row r="357" ht="21" customHeight="1">
      <x:c r="A357" s="2" t="n">
        <x:v>352</x:v>
      </x:c>
      <x:c r="B357" s="2" t="str">
        <x:v>TXN-00352</x:v>
      </x:c>
      <x:c r="C357" s="2" t="str">
        <x:v>2025-04-25</x:v>
      </x:c>
      <x:c r="D357" s="2" t="str">
        <x:v>Abuja</x:v>
      </x:c>
      <x:c r="E357" s="2" t="str">
        <x:v>Beauty</x:v>
      </x:c>
      <x:c r="F357" s="2" t="str">
        <x:v>Body wash</x:v>
      </x:c>
      <x:c r="G357" s="2" t="str">
        <x:v>In-store</x:v>
      </x:c>
      <x:c r="H357" s="2" t="n">
        <x:v>3</x:v>
      </x:c>
      <x:c r="I357" s="2" t="n">
        <x:v>4500</x:v>
      </x:c>
      <x:c r="J357" s="2" t="n">
        <x:v>2300</x:v>
      </x:c>
      <x:c r="K357" s="2" t="n">
        <x:v>0</x:v>
      </x:c>
      <x:c r="L357" s="2" t="str">
        <x:v> COMPLETED </x:v>
      </x:c>
    </x:row>
    <x:row r="358" ht="21" customHeight="1">
      <x:c r="A358" s="2" t="n">
        <x:v>353</x:v>
      </x:c>
      <x:c r="B358" s="2" t="str">
        <x:v>TXN-00353</x:v>
      </x:c>
      <x:c r="C358" s="2" t="str">
        <x:v>2025-04-20</x:v>
      </x:c>
      <x:c r="D358" s="2" t="str">
        <x:v>Lagos</x:v>
      </x:c>
      <x:c r="E358" s="2" t="str">
        <x:v>Electronics</x:v>
      </x:c>
      <x:c r="F358" s="2" t="str">
        <x:v>Headphones</x:v>
      </x:c>
      <x:c r="G358" s="2" t="str">
        <x:v> online </x:v>
      </x:c>
      <x:c r="H358" s="2" t="n">
        <x:v>4</x:v>
      </x:c>
      <x:c r="I358" s="2" t="n">
        <x:v>18000</x:v>
      </x:c>
      <x:c r="J358" s="2" t="n">
        <x:v>10500</x:v>
      </x:c>
      <x:c r="K358" s="2" t="n">
        <x:v>0.05</x:v>
      </x:c>
      <x:c r="L358" s="2" t="str">
        <x:v>Completed</x:v>
      </x:c>
    </x:row>
    <x:row r="359" ht="21" customHeight="1">
      <x:c r="A359" s="2" t="n">
        <x:v>354</x:v>
      </x:c>
      <x:c r="B359" s="2" t="str">
        <x:v>TXN-00354</x:v>
      </x:c>
      <x:c r="C359" s="2" t="str">
        <x:v>2025-04-06</x:v>
      </x:c>
      <x:c r="D359" s="2" t="str">
        <x:v>Lagos</x:v>
      </x:c>
      <x:c r="E359" s="2" t="str">
        <x:v>Electronics</x:v>
      </x:c>
      <x:c r="F359" s="2" t="str">
        <x:v>Power bank</x:v>
      </x:c>
      <x:c r="G359" s="2" t="str">
        <x:v>In-store</x:v>
      </x:c>
      <x:c r="H359" s="2" t="n">
        <x:v>2</x:v>
      </x:c>
      <x:c r="I359" s="2" t="n">
        <x:v>15000</x:v>
      </x:c>
      <x:c r="J359" s="2" t="n">
        <x:v>9500</x:v>
      </x:c>
      <x:c r="K359" s="2" t="n">
        <x:v>0</x:v>
      </x:c>
      <x:c r="L359" s="2" t="str">
        <x:v>Completed</x:v>
      </x:c>
    </x:row>
    <x:row r="360" ht="21" customHeight="1">
      <x:c r="A360" s="2" t="n">
        <x:v>355</x:v>
      </x:c>
      <x:c r="B360" s="2" t="str">
        <x:v>TXN-00355</x:v>
      </x:c>
      <x:c r="C360" s="2" t="str">
        <x:v>2025-04-18</x:v>
      </x:c>
      <x:c r="D360" s="2" t="str">
        <x:v>Port Harcourt</x:v>
      </x:c>
      <x:c r="E360" s="2" t="str">
        <x:v>Electronics</x:v>
      </x:c>
      <x:c r="F360" s="2" t="str">
        <x:v>Power bank</x:v>
      </x:c>
      <x:c r="G360" s="2" t="str">
        <x:v>In-store</x:v>
      </x:c>
      <x:c r="H360" s="2" t="n">
        <x:v>2</x:v>
      </x:c>
      <x:c r="I360" s="2" t="n">
        <x:v>15000</x:v>
      </x:c>
      <x:c r="J360" s="2" t="n">
        <x:v>9500</x:v>
      </x:c>
      <x:c r="K360" s="2" t="n">
        <x:v>0</x:v>
      </x:c>
      <x:c r="L360" s="2" t="str">
        <x:v>Completed</x:v>
      </x:c>
    </x:row>
    <x:row r="361" ht="21" customHeight="1">
      <x:c r="A361" s="2" t="n">
        <x:v>356</x:v>
      </x:c>
      <x:c r="B361" s="2" t="str">
        <x:v>TXN-00356</x:v>
      </x:c>
      <x:c r="C361" s="2" t="str">
        <x:v>2025-04-09</x:v>
      </x:c>
      <x:c r="D361" s="2" t="str">
        <x:v>Kano</x:v>
      </x:c>
      <x:c r="E361" s="2" t="str">
        <x:v>Fashion</x:v>
      </x:c>
      <x:c r="F361" s="2" t="str">
        <x:v>Handbag</x:v>
      </x:c>
      <x:c r="G361" s="2" t="str">
        <x:v>Online</x:v>
      </x:c>
      <x:c r="H361" s="2" t="n">
        <x:v>1</x:v>
      </x:c>
      <x:c r="I361" s="2" t="n">
        <x:v>22000</x:v>
      </x:c>
      <x:c r="J361" s="2" t="n">
        <x:v>13500</x:v>
      </x:c>
      <x:c r="K361" s="2" t="n">
        <x:v>0.05</x:v>
      </x:c>
      <x:c r="L361" s="2" t="str">
        <x:v>Completed</x:v>
      </x:c>
    </x:row>
    <x:row r="362" ht="21" customHeight="1">
      <x:c r="A362" s="2" t="n">
        <x:v>357</x:v>
      </x:c>
      <x:c r="B362" s="2" t="str">
        <x:v>TXN-00357</x:v>
      </x:c>
      <x:c r="C362" s="2" t="str">
        <x:v>2025-04-28</x:v>
      </x:c>
      <x:c r="D362" s="2" t="str">
        <x:v>Abuja</x:v>
      </x:c>
      <x:c r="E362" s="2" t="str">
        <x:v>Fashion</x:v>
      </x:c>
      <x:c r="F362" s="2" t="str">
        <x:v>Sneakers</x:v>
      </x:c>
      <x:c r="G362" s="2" t="str">
        <x:v>Online</x:v>
      </x:c>
      <x:c r="H362" s="2" t="n">
        <x:v>2</x:v>
      </x:c>
      <x:c r="I362" s="2" t="n">
        <x:v>28000</x:v>
      </x:c>
      <x:c r="J362" s="2" t="n">
        <x:v>17500</x:v>
      </x:c>
      <x:c r="K362" s="2" t="n">
        <x:v>0.05</x:v>
      </x:c>
      <x:c r="L362" s="2" t="str">
        <x:v>Completed</x:v>
      </x:c>
    </x:row>
    <x:row r="363" ht="21" customHeight="1">
      <x:c r="A363" s="2" t="n">
        <x:v>358</x:v>
      </x:c>
      <x:c r="B363" s="2" t="str">
        <x:v>TXN-00358</x:v>
      </x:c>
      <x:c r="C363" s="2" t="str">
        <x:v>2025-04-18</x:v>
      </x:c>
      <x:c r="D363" s="2" t="str">
        <x:v> abuja </x:v>
      </x:c>
      <x:c r="E363" s="2" t="str">
        <x:v>Beauty</x:v>
      </x:c>
      <x:c r="F363" s="2" t="str">
        <x:v>Moisturizer</x:v>
      </x:c>
      <x:c r="G363" s="2" t="str">
        <x:v>In-store</x:v>
      </x:c>
      <x:c r="H363" s="2" t="n">
        <x:v>1</x:v>
      </x:c>
      <x:c r="I363" s="2" t="n">
        <x:v>6500</x:v>
      </x:c>
      <x:c r="J363" s="2" t="n">
        <x:v>3500</x:v>
      </x:c>
      <x:c r="K363" s="2" t="n">
        <x:v>0.05</x:v>
      </x:c>
      <x:c r="L363" s="2" t="str">
        <x:v>Completed</x:v>
      </x:c>
    </x:row>
    <x:row r="364" ht="21" customHeight="1">
      <x:c r="A364" s="2" t="n">
        <x:v>359</x:v>
      </x:c>
      <x:c r="B364" s="2" t="str">
        <x:v>TXN-00359</x:v>
      </x:c>
      <x:c r="C364" s="2" t="str">
        <x:v>2025-04-07</x:v>
      </x:c>
      <x:c r="D364" s="2" t="str">
        <x:v>Lagos</x:v>
      </x:c>
      <x:c r="E364" s="2" t="str">
        <x:v>Home</x:v>
      </x:c>
      <x:c r="F364" s="2" t="str">
        <x:v>Bedsheet</x:v>
      </x:c>
      <x:c r="G364" s="2" t="str">
        <x:v>In-store</x:v>
      </x:c>
      <x:c r="H364" s="2" t="n">
        <x:v>1</x:v>
      </x:c>
      <x:c r="I364" s="2" t="n">
        <x:v>14000</x:v>
      </x:c>
      <x:c r="J364" s="2" t="n">
        <x:v>8500</x:v>
      </x:c>
      <x:c r="K364" s="2" t="n">
        <x:v>0.1</x:v>
      </x:c>
      <x:c r="L364" s="2" t="str">
        <x:v>Completed</x:v>
      </x:c>
    </x:row>
    <x:row r="365" ht="21" customHeight="1">
      <x:c r="A365" s="2" t="n">
        <x:v>360</x:v>
      </x:c>
      <x:c r="B365" s="2" t="str">
        <x:v>TXN-00360</x:v>
      </x:c>
      <x:c r="C365" s="2" t="str">
        <x:v>2025-04-01</x:v>
      </x:c>
      <x:c r="D365" s="2" t="str">
        <x:v>Kano</x:v>
      </x:c>
      <x:c r="E365" s="2" t="str">
        <x:v>Electronics</x:v>
      </x:c>
      <x:c r="F365" s="2" t="str">
        <x:v>Bluetooth speaker</x:v>
      </x:c>
      <x:c r="G365" s="2" t="str">
        <x:v>Online</x:v>
      </x:c>
      <x:c r="H365" s="2" t="n">
        <x:v>4</x:v>
      </x:c>
      <x:c r="I365" s="2" t="n">
        <x:v>26000</x:v>
      </x:c>
      <x:c r="J365" s="2" t="n">
        <x:v>17000</x:v>
      </x:c>
      <x:c r="K365" s="2" t="n">
        <x:v>0.05</x:v>
      </x:c>
      <x:c r="L365" s="2" t="str">
        <x:v>Completed</x:v>
      </x:c>
    </x:row>
    <x:row r="366" ht="21" customHeight="1">
      <x:c r="A366" s="2" t="n">
        <x:v>361</x:v>
      </x:c>
      <x:c r="B366" s="2" t="str">
        <x:v>TXN-00361</x:v>
      </x:c>
      <x:c r="C366" s="2" t="str">
        <x:v>2025-04-17</x:v>
      </x:c>
      <x:c r="D366" s="2" t="str">
        <x:v>Port Harcourt</x:v>
      </x:c>
      <x:c r="E366" s="2" t="str">
        <x:v>Beauty</x:v>
      </x:c>
      <x:c r="F366" s="2" t="str">
        <x:v>Perfume</x:v>
      </x:c>
      <x:c r="G366" s="2" t="str">
        <x:v>In-store</x:v>
      </x:c>
      <x:c r="H366" s="2" t="n">
        <x:v>1</x:v>
      </x:c>
      <x:c r="I366" s="2" t="n">
        <x:v>17000</x:v>
      </x:c>
      <x:c r="J366" s="2" t="n">
        <x:v>9000</x:v>
      </x:c>
      <x:c r="K366" s="2" t="n">
        <x:v>0</x:v>
      </x:c>
      <x:c r="L366" s="2" t="str">
        <x:v> COMPLETED </x:v>
      </x:c>
    </x:row>
    <x:row r="367" ht="21" customHeight="1">
      <x:c r="A367" s="2" t="n">
        <x:v>362</x:v>
      </x:c>
      <x:c r="B367" s="2" t="str">
        <x:v>TXN-00362</x:v>
      </x:c>
      <x:c r="C367" s="2" t="str">
        <x:v>2025-04-12</x:v>
      </x:c>
      <x:c r="D367" s="2" t="str">
        <x:v>Abuja</x:v>
      </x:c>
      <x:c r="E367" s="2" t="str">
        <x:v>Home</x:v>
      </x:c>
      <x:c r="F367" s="2" t="str">
        <x:v>Cookware set</x:v>
      </x:c>
      <x:c r="G367" s="2" t="str">
        <x:v>In-store</x:v>
      </x:c>
      <x:c r="H367" s="2" t="n">
        <x:v>4</x:v>
      </x:c>
      <x:c r="I367" s="2" t="n">
        <x:v>35000</x:v>
      </x:c>
      <x:c r="J367" s="2" t="n">
        <x:v>22500</x:v>
      </x:c>
      <x:c r="K367" s="2" t="n">
        <x:v>0</x:v>
      </x:c>
      <x:c r="L367" s="2" t="str">
        <x:v>Completed</x:v>
      </x:c>
    </x:row>
    <x:row r="368" ht="21" customHeight="1">
      <x:c r="A368" s="2" t="n">
        <x:v>363</x:v>
      </x:c>
      <x:c r="B368" s="2" t="str">
        <x:v>TXN-00363</x:v>
      </x:c>
      <x:c r="C368" s="2" t="str">
        <x:v>2025-04-18</x:v>
      </x:c>
      <x:c r="D368" s="2" t="str">
        <x:v>Kano</x:v>
      </x:c>
      <x:c r="E368" s="2" t="str">
        <x:v>Fashion</x:v>
      </x:c>
      <x:c r="F368" s="2" t="str">
        <x:v>T-shirt</x:v>
      </x:c>
      <x:c r="G368" s="2" t="str">
        <x:v>Online</x:v>
      </x:c>
      <x:c r="H368" s="2" t="n">
        <x:v>2</x:v>
      </x:c>
      <x:c r="I368" s="2" t="n">
        <x:v>9000</x:v>
      </x:c>
      <x:c r="J368" s="2" t="n">
        <x:v>5000</x:v>
      </x:c>
      <x:c r="K368" s="2" t="n">
        <x:v>0.05</x:v>
      </x:c>
      <x:c r="L368" s="2" t="str">
        <x:v>Completed</x:v>
      </x:c>
    </x:row>
    <x:row r="369" ht="21" customHeight="1">
      <x:c r="A369" s="2" t="n">
        <x:v>364</x:v>
      </x:c>
      <x:c r="B369" s="2" t="str">
        <x:v>TXN-00364</x:v>
      </x:c>
      <x:c r="C369" s="2" t="str">
        <x:v>2025-04-13</x:v>
      </x:c>
      <x:c r="D369" s="2" t="str">
        <x:v>Port Harcourt</x:v>
      </x:c>
      <x:c r="E369" s="2" t="str">
        <x:v>Fashion</x:v>
      </x:c>
      <x:c r="F369" s="2" t="str">
        <x:v>T-shirt</x:v>
      </x:c>
      <x:c r="G369" s="2" t="str">
        <x:v> online </x:v>
      </x:c>
      <x:c r="H369" s="2" t="n">
        <x:v>1</x:v>
      </x:c>
      <x:c r="I369" s="2" t="n">
        <x:v>9000</x:v>
      </x:c>
      <x:c r="J369" s="2" t="n">
        <x:v>5000</x:v>
      </x:c>
      <x:c r="K369" s="2" t="n">
        <x:v>0.15</x:v>
      </x:c>
      <x:c r="L369" s="2" t="str">
        <x:v>Completed</x:v>
      </x:c>
    </x:row>
    <x:row r="370" ht="21" customHeight="1">
      <x:c r="A370" s="2" t="n">
        <x:v>365</x:v>
      </x:c>
      <x:c r="B370" s="2" t="str">
        <x:v>TXN-00365</x:v>
      </x:c>
      <x:c r="C370" s="2" t="str">
        <x:v>2025-04-26</x:v>
      </x:c>
      <x:c r="D370" s="2" t="str">
        <x:v> lagos </x:v>
      </x:c>
      <x:c r="E370" s="2" t="str">
        <x:v>Electronics</x:v>
      </x:c>
      <x:c r="F370" s="2" t="str">
        <x:v>Bluetooth speaker</x:v>
      </x:c>
      <x:c r="G370" s="2" t="str">
        <x:v>Online</x:v>
      </x:c>
      <x:c r="H370" s="2" t="n">
        <x:v>3</x:v>
      </x:c>
      <x:c r="I370" s="2" t="n">
        <x:v>26000</x:v>
      </x:c>
      <x:c r="J370" s="2" t="n">
        <x:v>17000</x:v>
      </x:c>
      <x:c r="K370" s="2" t="n">
        <x:v>0</x:v>
      </x:c>
      <x:c r="L370" s="2" t="str">
        <x:v>Returned</x:v>
      </x:c>
    </x:row>
    <x:row r="371" ht="21" customHeight="1">
      <x:c r="A371" s="2" t="n">
        <x:v>366</x:v>
      </x:c>
      <x:c r="B371" s="2" t="str">
        <x:v>TXN-00366</x:v>
      </x:c>
      <x:c r="C371" s="2" t="str">
        <x:v>2025-04-17</x:v>
      </x:c>
      <x:c r="D371" s="2" t="str">
        <x:v>Port Harcourt</x:v>
      </x:c>
      <x:c r="E371" s="2" t="str">
        <x:v>Electronics</x:v>
      </x:c>
      <x:c r="F371" s="2" t="str">
        <x:v>Power bank</x:v>
      </x:c>
      <x:c r="G371" s="2" t="str">
        <x:v>In-store</x:v>
      </x:c>
      <x:c r="H371" s="2" t="n">
        <x:v>1</x:v>
      </x:c>
      <x:c r="I371" s="2" t="n">
        <x:v>15000</x:v>
      </x:c>
      <x:c r="J371" s="2" t="n">
        <x:v>9500</x:v>
      </x:c>
      <x:c r="K371" s="2" t="n">
        <x:v>0.1</x:v>
      </x:c>
      <x:c r="L371" s="2" t="str">
        <x:v>Returned</x:v>
      </x:c>
    </x:row>
    <x:row r="372" ht="21" customHeight="1">
      <x:c r="A372" s="2" t="n">
        <x:v>367</x:v>
      </x:c>
      <x:c r="B372" s="2" t="str">
        <x:v>TXN-00367</x:v>
      </x:c>
      <x:c r="C372" s="2" t="str">
        <x:v>2025-04-15</x:v>
      </x:c>
      <x:c r="D372" s="2" t="str">
        <x:v>Abuja</x:v>
      </x:c>
      <x:c r="E372" s="2" t="str">
        <x:v>Electronics</x:v>
      </x:c>
      <x:c r="F372" s="2" t="str">
        <x:v>Power bank</x:v>
      </x:c>
      <x:c r="G372" s="2" t="str">
        <x:v>In-store</x:v>
      </x:c>
      <x:c r="H372" s="2" t="n">
        <x:v>3</x:v>
      </x:c>
      <x:c r="I372" s="2" t="n">
        <x:v>15000</x:v>
      </x:c>
      <x:c r="J372" s="2" t="n">
        <x:v>9500</x:v>
      </x:c>
      <x:c r="K372" s="2" t="n">
        <x:v>0</x:v>
      </x:c>
      <x:c r="L372" s="2" t="str">
        <x:v>Completed</x:v>
      </x:c>
    </x:row>
    <x:row r="373" ht="21" customHeight="1">
      <x:c r="A373" s="2" t="n">
        <x:v>368</x:v>
      </x:c>
      <x:c r="B373" s="2" t="str">
        <x:v>TXN-00368</x:v>
      </x:c>
      <x:c r="C373" s="2" t="str">
        <x:v>2025-04-09</x:v>
      </x:c>
      <x:c r="D373" s="2" t="str">
        <x:v>Abuja</x:v>
      </x:c>
      <x:c r="E373" s="2" t="str">
        <x:v>Electronics</x:v>
      </x:c>
      <x:c r="F373" s="2" t="str">
        <x:v>Power bank</x:v>
      </x:c>
      <x:c r="G373" s="2" t="str">
        <x:v>Online</x:v>
      </x:c>
      <x:c r="H373" s="2" t="n">
        <x:v>3</x:v>
      </x:c>
      <x:c r="I373" s="2" t="n">
        <x:v>15000</x:v>
      </x:c>
      <x:c r="J373" s="2" t="n">
        <x:v>9500</x:v>
      </x:c>
      <x:c r="K373" s="2" t="n">
        <x:v>0.05</x:v>
      </x:c>
      <x:c r="L373" s="2" t="str">
        <x:v>Completed</x:v>
      </x:c>
    </x:row>
    <x:row r="374" ht="21" customHeight="1">
      <x:c r="A374" s="2" t="n">
        <x:v>369</x:v>
      </x:c>
      <x:c r="B374" s="2" t="str">
        <x:v>TXN-00369</x:v>
      </x:c>
      <x:c r="C374" s="2" t="str">
        <x:v>2025-04-04</x:v>
      </x:c>
      <x:c r="D374" s="2" t="str">
        <x:v>Kano</x:v>
      </x:c>
      <x:c r="E374" s="2" t="str">
        <x:v>Beauty</x:v>
      </x:c>
      <x:c r="F374" s="2" t="str">
        <x:v>Body wash</x:v>
      </x:c>
      <x:c r="G374" s="2" t="str">
        <x:v>Online</x:v>
      </x:c>
      <x:c r="H374" s="2" t="n">
        <x:v>1</x:v>
      </x:c>
      <x:c r="I374" s="2" t="n">
        <x:v>4500</x:v>
      </x:c>
      <x:c r="J374" s="2" t="n">
        <x:v>2300</x:v>
      </x:c>
      <x:c r="K374" s="2" t="n">
        <x:v>0</x:v>
      </x:c>
      <x:c r="L374" s="2" t="str">
        <x:v>Completed</x:v>
      </x:c>
    </x:row>
    <x:row r="375" ht="21" customHeight="1">
      <x:c r="A375" s="2" t="n">
        <x:v>370</x:v>
      </x:c>
      <x:c r="B375" s="2" t="str">
        <x:v>TXN-00370</x:v>
      </x:c>
      <x:c r="C375" s="2" t="str">
        <x:v>2025-04-03</x:v>
      </x:c>
      <x:c r="D375" s="2" t="str">
        <x:v>Lagos</x:v>
      </x:c>
      <x:c r="E375" s="2" t="str">
        <x:v>Electronics</x:v>
      </x:c>
      <x:c r="F375" s="2" t="str">
        <x:v>Headphones</x:v>
      </x:c>
      <x:c r="G375" s="2" t="str">
        <x:v>In-store</x:v>
      </x:c>
      <x:c r="H375" s="2" t="n">
        <x:v>1</x:v>
      </x:c>
      <x:c r="I375" s="2" t="n">
        <x:v>18000</x:v>
      </x:c>
      <x:c r="J375" s="2" t="n">
        <x:v>10500</x:v>
      </x:c>
      <x:c r="K375" s="2" t="str"/>
      <x:c r="L375" s="2" t="str">
        <x:v> COMPLETED </x:v>
      </x:c>
    </x:row>
    <x:row r="376" ht="21" customHeight="1">
      <x:c r="A376" s="2" t="n">
        <x:v>371</x:v>
      </x:c>
      <x:c r="B376" s="2" t="str">
        <x:v>TXN-00371</x:v>
      </x:c>
      <x:c r="C376" s="2" t="str">
        <x:v>2025-04-29</x:v>
      </x:c>
      <x:c r="D376" s="2" t="str">
        <x:v>Port Harcourt</x:v>
      </x:c>
      <x:c r="E376" s="2" t="str">
        <x:v>Home</x:v>
      </x:c>
      <x:c r="F376" s="2" t="str">
        <x:v>Bedsheet</x:v>
      </x:c>
      <x:c r="G376" s="2" t="str">
        <x:v>In-store</x:v>
      </x:c>
      <x:c r="H376" s="2" t="n">
        <x:v>1</x:v>
      </x:c>
      <x:c r="I376" s="2" t="n">
        <x:v>14000</x:v>
      </x:c>
      <x:c r="J376" s="2" t="n">
        <x:v>8500</x:v>
      </x:c>
      <x:c r="K376" s="2" t="n">
        <x:v>0</x:v>
      </x:c>
      <x:c r="L376" s="2" t="str">
        <x:v>Completed</x:v>
      </x:c>
    </x:row>
    <x:row r="377" ht="21" customHeight="1">
      <x:c r="A377" s="2" t="n">
        <x:v>372</x:v>
      </x:c>
      <x:c r="B377" s="2" t="str">
        <x:v>TXN-00372</x:v>
      </x:c>
      <x:c r="C377" s="2" t="str">
        <x:v>2025-04-13</x:v>
      </x:c>
      <x:c r="D377" s="2" t="str">
        <x:v> lagos </x:v>
      </x:c>
      <x:c r="E377" s="2" t="str">
        <x:v>Home</x:v>
      </x:c>
      <x:c r="F377" s="2" t="str">
        <x:v>Cookware set</x:v>
      </x:c>
      <x:c r="G377" s="2" t="str">
        <x:v>Online</x:v>
      </x:c>
      <x:c r="H377" s="2" t="n">
        <x:v>2</x:v>
      </x:c>
      <x:c r="I377" s="2" t="n">
        <x:v>35000</x:v>
      </x:c>
      <x:c r="J377" s="2" t="n">
        <x:v>22500</x:v>
      </x:c>
      <x:c r="K377" s="2" t="n">
        <x:v>0</x:v>
      </x:c>
      <x:c r="L377" s="2" t="str">
        <x:v>Completed</x:v>
      </x:c>
    </x:row>
    <x:row r="378" ht="21" customHeight="1">
      <x:c r="A378" s="2" t="n">
        <x:v>373</x:v>
      </x:c>
      <x:c r="B378" s="2" t="str">
        <x:v>TXN-00373</x:v>
      </x:c>
      <x:c r="C378" s="2" t="str">
        <x:v>2025-04-15</x:v>
      </x:c>
      <x:c r="D378" s="2" t="str">
        <x:v>Abuja</x:v>
      </x:c>
      <x:c r="E378" s="2" t="str">
        <x:v>Fashion</x:v>
      </x:c>
      <x:c r="F378" s="2" t="str">
        <x:v>T-shirt</x:v>
      </x:c>
      <x:c r="G378" s="2" t="str">
        <x:v>In-store</x:v>
      </x:c>
      <x:c r="H378" s="2" t="n">
        <x:v>1</x:v>
      </x:c>
      <x:c r="I378" s="2" t="n">
        <x:v>9000</x:v>
      </x:c>
      <x:c r="J378" s="2" t="n">
        <x:v>5000</x:v>
      </x:c>
      <x:c r="K378" s="2" t="n">
        <x:v>0</x:v>
      </x:c>
      <x:c r="L378" s="2" t="str">
        <x:v>Completed</x:v>
      </x:c>
    </x:row>
    <x:row r="379" ht="21" customHeight="1">
      <x:c r="A379" s="2" t="n">
        <x:v>374</x:v>
      </x:c>
      <x:c r="B379" s="2" t="str">
        <x:v>TXN-00374</x:v>
      </x:c>
      <x:c r="C379" s="2" t="str">
        <x:v>2025-04-12</x:v>
      </x:c>
      <x:c r="D379" s="2" t="str">
        <x:v>Kano</x:v>
      </x:c>
      <x:c r="E379" s="2" t="str">
        <x:v>Electronics</x:v>
      </x:c>
      <x:c r="F379" s="2" t="str">
        <x:v>Bluetooth speaker</x:v>
      </x:c>
      <x:c r="G379" s="2" t="str">
        <x:v>In-store</x:v>
      </x:c>
      <x:c r="H379" s="2" t="n">
        <x:v>2</x:v>
      </x:c>
      <x:c r="I379" s="2" t="n">
        <x:v>26000</x:v>
      </x:c>
      <x:c r="J379" s="2" t="n">
        <x:v>17000</x:v>
      </x:c>
      <x:c r="K379" s="2" t="n">
        <x:v>0.05</x:v>
      </x:c>
      <x:c r="L379" s="2" t="str">
        <x:v>Completed</x:v>
      </x:c>
    </x:row>
    <x:row r="380" ht="21" customHeight="1">
      <x:c r="A380" s="2" t="n">
        <x:v>375</x:v>
      </x:c>
      <x:c r="B380" s="2" t="str">
        <x:v>TXN-00375</x:v>
      </x:c>
      <x:c r="C380" s="2" t="str">
        <x:v>2025-04-19</x:v>
      </x:c>
      <x:c r="D380" s="2" t="str">
        <x:v>Port Harcourt</x:v>
      </x:c>
      <x:c r="E380" s="2" t="str">
        <x:v>Electronics</x:v>
      </x:c>
      <x:c r="F380" s="2" t="str">
        <x:v>Headphones</x:v>
      </x:c>
      <x:c r="G380" s="2" t="str">
        <x:v> online </x:v>
      </x:c>
      <x:c r="H380" s="2" t="n">
        <x:v>1</x:v>
      </x:c>
      <x:c r="I380" s="2" t="n">
        <x:v>18000</x:v>
      </x:c>
      <x:c r="J380" s="2" t="n">
        <x:v>10500</x:v>
      </x:c>
      <x:c r="K380" s="2" t="n">
        <x:v>0.1</x:v>
      </x:c>
      <x:c r="L380" s="2" t="str">
        <x:v>Completed</x:v>
      </x:c>
    </x:row>
    <x:row r="381" ht="21" customHeight="1">
      <x:c r="A381" s="2" t="n">
        <x:v>376</x:v>
      </x:c>
      <x:c r="B381" s="2" t="str">
        <x:v>TXN-00376</x:v>
      </x:c>
      <x:c r="C381" s="2" t="str">
        <x:v>2025-04-12</x:v>
      </x:c>
      <x:c r="D381" s="2" t="str">
        <x:v>Lagos</x:v>
      </x:c>
      <x:c r="E381" s="2" t="str">
        <x:v>Home</x:v>
      </x:c>
      <x:c r="F381" s="2" t="str">
        <x:v>Cookware set</x:v>
      </x:c>
      <x:c r="G381" s="2" t="str">
        <x:v>Online</x:v>
      </x:c>
      <x:c r="H381" s="2" t="n">
        <x:v>1</x:v>
      </x:c>
      <x:c r="I381" s="2" t="n">
        <x:v>35000</x:v>
      </x:c>
      <x:c r="J381" s="2" t="n">
        <x:v>22500</x:v>
      </x:c>
      <x:c r="K381" s="2" t="n">
        <x:v>0</x:v>
      </x:c>
      <x:c r="L381" s="2" t="str">
        <x:v>Completed</x:v>
      </x:c>
    </x:row>
    <x:row r="382" ht="21" customHeight="1">
      <x:c r="A382" s="2" t="n">
        <x:v>377</x:v>
      </x:c>
      <x:c r="B382" s="2" t="str">
        <x:v>TXN-00377</x:v>
      </x:c>
      <x:c r="C382" s="2" t="str">
        <x:v>2025-04-19</x:v>
      </x:c>
      <x:c r="D382" s="2" t="str">
        <x:v>Abuja</x:v>
      </x:c>
      <x:c r="E382" s="2" t="str">
        <x:v>Beauty</x:v>
      </x:c>
      <x:c r="F382" s="2" t="str">
        <x:v>Perfume</x:v>
      </x:c>
      <x:c r="G382" s="2" t="str">
        <x:v>Online</x:v>
      </x:c>
      <x:c r="H382" s="2" t="n">
        <x:v>2</x:v>
      </x:c>
      <x:c r="I382" s="2" t="n">
        <x:v>17000</x:v>
      </x:c>
      <x:c r="J382" s="2" t="n">
        <x:v>9000</x:v>
      </x:c>
      <x:c r="K382" s="2" t="n">
        <x:v>0</x:v>
      </x:c>
      <x:c r="L382" s="2" t="str">
        <x:v>Completed</x:v>
      </x:c>
    </x:row>
    <x:row r="383" ht="21" customHeight="1">
      <x:c r="A383" s="2" t="n">
        <x:v>378</x:v>
      </x:c>
      <x:c r="B383" s="2" t="str">
        <x:v>TXN-00378</x:v>
      </x:c>
      <x:c r="C383" s="2" t="str">
        <x:v>2025-04-14</x:v>
      </x:c>
      <x:c r="D383" s="2" t="str">
        <x:v>Port Harcourt</x:v>
      </x:c>
      <x:c r="E383" s="2" t="str">
        <x:v>Fashion</x:v>
      </x:c>
      <x:c r="F383" s="2" t="str">
        <x:v>Handbag</x:v>
      </x:c>
      <x:c r="G383" s="2" t="str">
        <x:v>Online</x:v>
      </x:c>
      <x:c r="H383" s="2" t="n">
        <x:v>3</x:v>
      </x:c>
      <x:c r="I383" s="2" t="n">
        <x:v>22000</x:v>
      </x:c>
      <x:c r="J383" s="2" t="n">
        <x:v>13500</x:v>
      </x:c>
      <x:c r="K383" s="2" t="n">
        <x:v>0</x:v>
      </x:c>
      <x:c r="L383" s="2" t="str">
        <x:v>Completed</x:v>
      </x:c>
    </x:row>
    <x:row r="384" ht="21" customHeight="1">
      <x:c r="A384" s="2" t="n">
        <x:v>379</x:v>
      </x:c>
      <x:c r="B384" s="2" t="str">
        <x:v>TXN-00379</x:v>
      </x:c>
      <x:c r="C384" s="2" t="str">
        <x:v>2025-04-04</x:v>
      </x:c>
      <x:c r="D384" s="2" t="str">
        <x:v> port harcourt </x:v>
      </x:c>
      <x:c r="E384" s="2" t="str">
        <x:v>Beauty</x:v>
      </x:c>
      <x:c r="F384" s="2" t="str">
        <x:v>Moisturizer</x:v>
      </x:c>
      <x:c r="G384" s="2" t="str">
        <x:v>Online</x:v>
      </x:c>
      <x:c r="H384" s="2" t="n">
        <x:v>1</x:v>
      </x:c>
      <x:c r="I384" s="2" t="n">
        <x:v>6500</x:v>
      </x:c>
      <x:c r="J384" s="2" t="n">
        <x:v>3500</x:v>
      </x:c>
      <x:c r="K384" s="2" t="n">
        <x:v>0.15</x:v>
      </x:c>
      <x:c r="L384" s="2" t="str">
        <x:v> COMPLETED </x:v>
      </x:c>
    </x:row>
    <x:row r="385" ht="21" customHeight="1">
      <x:c r="A385" s="2" t="n">
        <x:v>380</x:v>
      </x:c>
      <x:c r="B385" s="2" t="str">
        <x:v>TXN-00380</x:v>
      </x:c>
      <x:c r="C385" s="2" t="str">
        <x:v>2025-04-13</x:v>
      </x:c>
      <x:c r="D385" s="2" t="str">
        <x:v>Port Harcourt</x:v>
      </x:c>
      <x:c r="E385" s="2" t="str">
        <x:v>Electronics</x:v>
      </x:c>
      <x:c r="F385" s="2" t="str">
        <x:v>Power bank</x:v>
      </x:c>
      <x:c r="G385" s="2" t="str">
        <x:v>In-store</x:v>
      </x:c>
      <x:c r="H385" s="2" t="n">
        <x:v>1</x:v>
      </x:c>
      <x:c r="I385" s="2" t="n">
        <x:v>15000</x:v>
      </x:c>
      <x:c r="J385" s="2" t="n">
        <x:v>9500</x:v>
      </x:c>
      <x:c r="K385" s="2" t="n">
        <x:v>0</x:v>
      </x:c>
      <x:c r="L385" s="2" t="str">
        <x:v>Completed</x:v>
      </x:c>
    </x:row>
    <x:row r="386" ht="21" customHeight="1">
      <x:c r="A386" s="2" t="n">
        <x:v>381</x:v>
      </x:c>
      <x:c r="B386" s="2" t="str">
        <x:v>TXN-00381</x:v>
      </x:c>
      <x:c r="C386" s="2" t="str">
        <x:v>2025-04-22</x:v>
      </x:c>
      <x:c r="D386" s="2" t="str">
        <x:v>Lagos</x:v>
      </x:c>
      <x:c r="E386" s="2" t="str">
        <x:v>Home</x:v>
      </x:c>
      <x:c r="F386" s="2" t="str">
        <x:v>Desk lamp</x:v>
      </x:c>
      <x:c r="G386" s="2" t="str">
        <x:v>Online</x:v>
      </x:c>
      <x:c r="H386" s="2" t="n">
        <x:v>1</x:v>
      </x:c>
      <x:c r="I386" s="2" t="n">
        <x:v>12000</x:v>
      </x:c>
      <x:c r="J386" s="2" t="n">
        <x:v>7200</x:v>
      </x:c>
      <x:c r="K386" s="2" t="n">
        <x:v>0</x:v>
      </x:c>
      <x:c r="L386" s="2" t="str">
        <x:v>Completed</x:v>
      </x:c>
    </x:row>
    <x:row r="387" ht="21" customHeight="1">
      <x:c r="A387" s="2" t="n">
        <x:v>382</x:v>
      </x:c>
      <x:c r="B387" s="2" t="str">
        <x:v>TXN-00382</x:v>
      </x:c>
      <x:c r="C387" s="2" t="str">
        <x:v>2025-04-21</x:v>
      </x:c>
      <x:c r="D387" s="2" t="str">
        <x:v>Port Harcourt</x:v>
      </x:c>
      <x:c r="E387" s="2" t="str">
        <x:v>Beauty</x:v>
      </x:c>
      <x:c r="F387" s="2" t="str">
        <x:v>Perfume</x:v>
      </x:c>
      <x:c r="G387" s="2" t="str">
        <x:v>In-store</x:v>
      </x:c>
      <x:c r="H387" s="2" t="n">
        <x:v>1</x:v>
      </x:c>
      <x:c r="I387" s="2" t="n">
        <x:v>17000</x:v>
      </x:c>
      <x:c r="J387" s="2" t="n">
        <x:v>9000</x:v>
      </x:c>
      <x:c r="K387" s="2" t="n">
        <x:v>0.1</x:v>
      </x:c>
      <x:c r="L387" s="2" t="str">
        <x:v>Completed</x:v>
      </x:c>
    </x:row>
    <x:row r="388" ht="21" customHeight="1">
      <x:c r="A388" s="2" t="n">
        <x:v>383</x:v>
      </x:c>
      <x:c r="B388" s="2" t="str">
        <x:v>TXN-00383</x:v>
      </x:c>
      <x:c r="C388" s="2" t="str">
        <x:v>2025-04-20</x:v>
      </x:c>
      <x:c r="D388" s="2" t="str">
        <x:v>Abuja</x:v>
      </x:c>
      <x:c r="E388" s="2" t="str">
        <x:v>Fashion</x:v>
      </x:c>
      <x:c r="F388" s="2" t="str">
        <x:v>Sneakers</x:v>
      </x:c>
      <x:c r="G388" s="2" t="str">
        <x:v>Online</x:v>
      </x:c>
      <x:c r="H388" s="2" t="n">
        <x:v>1</x:v>
      </x:c>
      <x:c r="I388" s="2" t="n">
        <x:v>28000</x:v>
      </x:c>
      <x:c r="J388" s="2" t="n">
        <x:v>17500</x:v>
      </x:c>
      <x:c r="K388" s="2" t="n">
        <x:v>0</x:v>
      </x:c>
      <x:c r="L388" s="2" t="str">
        <x:v>Completed</x:v>
      </x:c>
    </x:row>
    <x:row r="389" ht="21" customHeight="1">
      <x:c r="A389" s="2" t="n">
        <x:v>384</x:v>
      </x:c>
      <x:c r="B389" s="2" t="str">
        <x:v>TXN-00384</x:v>
      </x:c>
      <x:c r="C389" s="2" t="str">
        <x:v>2025-04-07</x:v>
      </x:c>
      <x:c r="D389" s="2" t="str">
        <x:v>Kano</x:v>
      </x:c>
      <x:c r="E389" s="2" t="str">
        <x:v>Electronics</x:v>
      </x:c>
      <x:c r="F389" s="2" t="str">
        <x:v>Bluetooth speaker</x:v>
      </x:c>
      <x:c r="G389" s="2" t="str">
        <x:v>Online</x:v>
      </x:c>
      <x:c r="H389" s="2" t="n">
        <x:v>1</x:v>
      </x:c>
      <x:c r="I389" s="2" t="n">
        <x:v>26000</x:v>
      </x:c>
      <x:c r="J389" s="2" t="n">
        <x:v>17000</x:v>
      </x:c>
      <x:c r="K389" s="2" t="n">
        <x:v>0</x:v>
      </x:c>
      <x:c r="L389" s="2" t="str">
        <x:v>Completed</x:v>
      </x:c>
    </x:row>
    <x:row r="390" ht="21" customHeight="1">
      <x:c r="A390" s="2" t="n">
        <x:v>385</x:v>
      </x:c>
      <x:c r="B390" s="2" t="str">
        <x:v>TXN-00385</x:v>
      </x:c>
      <x:c r="C390" s="2" t="str">
        <x:v>2025-04-19</x:v>
      </x:c>
      <x:c r="D390" s="2" t="str">
        <x:v>Port Harcourt</x:v>
      </x:c>
      <x:c r="E390" s="2" t="str">
        <x:v>Electronics</x:v>
      </x:c>
      <x:c r="F390" s="2" t="str">
        <x:v>Headphones</x:v>
      </x:c>
      <x:c r="G390" s="2" t="str">
        <x:v>Online</x:v>
      </x:c>
      <x:c r="H390" s="2" t="n">
        <x:v>1</x:v>
      </x:c>
      <x:c r="I390" s="2" t="n">
        <x:v>18000</x:v>
      </x:c>
      <x:c r="J390" s="2" t="n">
        <x:v>10500</x:v>
      </x:c>
      <x:c r="K390" s="2" t="n">
        <x:v>0.15</x:v>
      </x:c>
      <x:c r="L390" s="2" t="str">
        <x:v>Completed</x:v>
      </x:c>
    </x:row>
    <x:row r="391" ht="21" customHeight="1">
      <x:c r="A391" s="2" t="n">
        <x:v>386</x:v>
      </x:c>
      <x:c r="B391" s="2" t="str">
        <x:v>TXN-00386</x:v>
      </x:c>
      <x:c r="C391" s="2" t="str">
        <x:v>2025-04-30</x:v>
      </x:c>
      <x:c r="D391" s="2" t="str">
        <x:v> lagos </x:v>
      </x:c>
      <x:c r="E391" s="2" t="str">
        <x:v>Fashion</x:v>
      </x:c>
      <x:c r="F391" s="2" t="str">
        <x:v>Sneakers</x:v>
      </x:c>
      <x:c r="G391" s="2" t="str">
        <x:v> online </x:v>
      </x:c>
      <x:c r="H391" s="2" t="n">
        <x:v>2</x:v>
      </x:c>
      <x:c r="I391" s="2" t="n">
        <x:v>28000</x:v>
      </x:c>
      <x:c r="J391" s="2" t="n">
        <x:v>17500</x:v>
      </x:c>
      <x:c r="K391" s="2" t="n">
        <x:v>0</x:v>
      </x:c>
      <x:c r="L391" s="2" t="str">
        <x:v>Completed</x:v>
      </x:c>
    </x:row>
    <x:row r="392" ht="21" customHeight="1">
      <x:c r="A392" s="2" t="n">
        <x:v>387</x:v>
      </x:c>
      <x:c r="B392" s="2" t="str">
        <x:v>TXN-00387</x:v>
      </x:c>
      <x:c r="C392" s="2" t="str">
        <x:v>2025-04-24</x:v>
      </x:c>
      <x:c r="D392" s="2" t="str">
        <x:v>Lagos</x:v>
      </x:c>
      <x:c r="E392" s="2" t="str">
        <x:v>Fashion</x:v>
      </x:c>
      <x:c r="F392" s="2" t="str">
        <x:v>Sneakers</x:v>
      </x:c>
      <x:c r="G392" s="2" t="str">
        <x:v>Online</x:v>
      </x:c>
      <x:c r="H392" s="2" t="n">
        <x:v>2</x:v>
      </x:c>
      <x:c r="I392" s="2" t="n">
        <x:v>28000</x:v>
      </x:c>
      <x:c r="J392" s="2" t="n">
        <x:v>17500</x:v>
      </x:c>
      <x:c r="K392" s="2" t="n">
        <x:v>0.1</x:v>
      </x:c>
      <x:c r="L392" s="2" t="str">
        <x:v>Completed</x:v>
      </x:c>
    </x:row>
    <x:row r="393" ht="21" customHeight="1">
      <x:c r="A393" s="2" t="n">
        <x:v>388</x:v>
      </x:c>
      <x:c r="B393" s="2" t="str">
        <x:v>TXN-00388</x:v>
      </x:c>
      <x:c r="C393" s="2" t="str">
        <x:v>2025-04-11</x:v>
      </x:c>
      <x:c r="D393" s="2" t="str">
        <x:v>Kano</x:v>
      </x:c>
      <x:c r="E393" s="2" t="str">
        <x:v>Home</x:v>
      </x:c>
      <x:c r="F393" s="2" t="str">
        <x:v>Desk lamp</x:v>
      </x:c>
      <x:c r="G393" s="2" t="str">
        <x:v>In-store</x:v>
      </x:c>
      <x:c r="H393" s="2" t="n">
        <x:v>1</x:v>
      </x:c>
      <x:c r="I393" s="2" t="n">
        <x:v>12000</x:v>
      </x:c>
      <x:c r="J393" s="2" t="n">
        <x:v>7200</x:v>
      </x:c>
      <x:c r="K393" s="2" t="n">
        <x:v>0</x:v>
      </x:c>
      <x:c r="L393" s="2" t="str">
        <x:v> COMPLETED </x:v>
      </x:c>
    </x:row>
    <x:row r="394" ht="21" customHeight="1">
      <x:c r="A394" s="2" t="n">
        <x:v>389</x:v>
      </x:c>
      <x:c r="B394" s="2" t="str">
        <x:v>TXN-00389</x:v>
      </x:c>
      <x:c r="C394" s="2" t="str">
        <x:v>2025-04-23</x:v>
      </x:c>
      <x:c r="D394" s="2" t="str">
        <x:v>Port Harcourt</x:v>
      </x:c>
      <x:c r="E394" s="2" t="str">
        <x:v>Home</x:v>
      </x:c>
      <x:c r="F394" s="2" t="str">
        <x:v>Desk lamp</x:v>
      </x:c>
      <x:c r="G394" s="2" t="str">
        <x:v>Online</x:v>
      </x:c>
      <x:c r="H394" s="2" t="n">
        <x:v>2</x:v>
      </x:c>
      <x:c r="I394" s="2" t="n">
        <x:v>12000</x:v>
      </x:c>
      <x:c r="J394" s="2" t="n">
        <x:v>7200</x:v>
      </x:c>
      <x:c r="K394" s="2" t="n">
        <x:v>0</x:v>
      </x:c>
      <x:c r="L394" s="2" t="str">
        <x:v>Completed</x:v>
      </x:c>
    </x:row>
    <x:row r="395" ht="21" customHeight="1">
      <x:c r="A395" s="2" t="n">
        <x:v>390</x:v>
      </x:c>
      <x:c r="B395" s="2" t="str">
        <x:v>TXN-00390</x:v>
      </x:c>
      <x:c r="C395" s="2" t="str">
        <x:v>2025-04-04</x:v>
      </x:c>
      <x:c r="D395" s="2" t="str">
        <x:v>Lagos</x:v>
      </x:c>
      <x:c r="E395" s="2" t="str">
        <x:v>Beauty</x:v>
      </x:c>
      <x:c r="F395" s="2" t="str">
        <x:v>Body wash</x:v>
      </x:c>
      <x:c r="G395" s="2" t="str">
        <x:v>Online</x:v>
      </x:c>
      <x:c r="H395" s="2" t="n">
        <x:v>3</x:v>
      </x:c>
      <x:c r="I395" s="2" t="n">
        <x:v>4500</x:v>
      </x:c>
      <x:c r="J395" s="2" t="n">
        <x:v>2300</x:v>
      </x:c>
      <x:c r="K395" s="2" t="n">
        <x:v>0.05</x:v>
      </x:c>
      <x:c r="L395" s="2" t="str">
        <x:v>Completed</x:v>
      </x:c>
    </x:row>
    <x:row r="396" ht="21" customHeight="1">
      <x:c r="A396" s="2" t="n">
        <x:v>391</x:v>
      </x:c>
      <x:c r="B396" s="2" t="str">
        <x:v>TXN-00391</x:v>
      </x:c>
      <x:c r="C396" s="2" t="str">
        <x:v>2025-04-23</x:v>
      </x:c>
      <x:c r="D396" s="2" t="str">
        <x:v>Lagos</x:v>
      </x:c>
      <x:c r="E396" s="2" t="str">
        <x:v>Electronics</x:v>
      </x:c>
      <x:c r="F396" s="2" t="str">
        <x:v>Power bank</x:v>
      </x:c>
      <x:c r="G396" s="2" t="str">
        <x:v>Online</x:v>
      </x:c>
      <x:c r="H396" s="2" t="n">
        <x:v>1</x:v>
      </x:c>
      <x:c r="I396" s="2" t="n">
        <x:v>15000</x:v>
      </x:c>
      <x:c r="J396" s="2" t="n">
        <x:v>9500</x:v>
      </x:c>
      <x:c r="K396" s="2" t="n">
        <x:v>0.15</x:v>
      </x:c>
      <x:c r="L396" s="2" t="str">
        <x:v>Completed</x:v>
      </x:c>
    </x:row>
    <x:row r="397" ht="21" customHeight="1">
      <x:c r="A397" s="2" t="n">
        <x:v>392</x:v>
      </x:c>
      <x:c r="B397" s="2" t="str">
        <x:v>TXN-00392</x:v>
      </x:c>
      <x:c r="C397" s="2" t="str">
        <x:v>2025-04-20</x:v>
      </x:c>
      <x:c r="D397" s="2" t="str">
        <x:v>Lagos</x:v>
      </x:c>
      <x:c r="E397" s="2" t="str">
        <x:v>Fashion</x:v>
      </x:c>
      <x:c r="F397" s="2" t="str">
        <x:v>T-shirt</x:v>
      </x:c>
      <x:c r="G397" s="2" t="str">
        <x:v>Online</x:v>
      </x:c>
      <x:c r="H397" s="2" t="n">
        <x:v>1</x:v>
      </x:c>
      <x:c r="I397" s="2" t="n">
        <x:v>9000</x:v>
      </x:c>
      <x:c r="J397" s="2" t="n">
        <x:v>5000</x:v>
      </x:c>
      <x:c r="K397" s="2" t="n">
        <x:v>0</x:v>
      </x:c>
      <x:c r="L397" s="2" t="str">
        <x:v>Completed</x:v>
      </x:c>
    </x:row>
    <x:row r="398" ht="21" customHeight="1">
      <x:c r="A398" s="2" t="n">
        <x:v>393</x:v>
      </x:c>
      <x:c r="B398" s="2" t="str">
        <x:v>TXN-00393</x:v>
      </x:c>
      <x:c r="C398" s="2" t="str">
        <x:v>2025-04-30</x:v>
      </x:c>
      <x:c r="D398" s="2" t="str">
        <x:v> abuja </x:v>
      </x:c>
      <x:c r="E398" s="2" t="str">
        <x:v>Fashion</x:v>
      </x:c>
      <x:c r="F398" s="2" t="str">
        <x:v>T-shirt</x:v>
      </x:c>
      <x:c r="G398" s="2" t="str">
        <x:v>In-store</x:v>
      </x:c>
      <x:c r="H398" s="2" t="n">
        <x:v>2</x:v>
      </x:c>
      <x:c r="I398" s="2" t="n">
        <x:v>9000</x:v>
      </x:c>
      <x:c r="J398" s="2" t="n">
        <x:v>5000</x:v>
      </x:c>
      <x:c r="K398" s="2" t="n">
        <x:v>0.05</x:v>
      </x:c>
      <x:c r="L398" s="2" t="str">
        <x:v>Completed</x:v>
      </x:c>
    </x:row>
    <x:row r="399" ht="21" customHeight="1">
      <x:c r="A399" s="2" t="n">
        <x:v>394</x:v>
      </x:c>
      <x:c r="B399" s="2" t="str">
        <x:v>TXN-00394</x:v>
      </x:c>
      <x:c r="C399" s="2" t="str">
        <x:v>2025-04-28</x:v>
      </x:c>
      <x:c r="D399" s="2" t="str">
        <x:v>Kano</x:v>
      </x:c>
      <x:c r="E399" s="2" t="str">
        <x:v>Electronics</x:v>
      </x:c>
      <x:c r="F399" s="2" t="str">
        <x:v>Bluetooth speaker</x:v>
      </x:c>
      <x:c r="G399" s="2" t="str">
        <x:v>Online</x:v>
      </x:c>
      <x:c r="H399" s="2" t="n">
        <x:v>2</x:v>
      </x:c>
      <x:c r="I399" s="2" t="n">
        <x:v>26000</x:v>
      </x:c>
      <x:c r="J399" s="2" t="n">
        <x:v>17000</x:v>
      </x:c>
      <x:c r="K399" s="2" t="n">
        <x:v>0</x:v>
      </x:c>
      <x:c r="L399" s="2" t="str">
        <x:v>Completed</x:v>
      </x:c>
    </x:row>
    <x:row r="400" ht="21" customHeight="1">
      <x:c r="A400" s="2" t="n">
        <x:v>395</x:v>
      </x:c>
      <x:c r="B400" s="2" t="str">
        <x:v>TXN-00395</x:v>
      </x:c>
      <x:c r="C400" s="2" t="str">
        <x:v>2025-04-27</x:v>
      </x:c>
      <x:c r="D400" s="2" t="str">
        <x:v>Abuja</x:v>
      </x:c>
      <x:c r="E400" s="2" t="str">
        <x:v>Fashion</x:v>
      </x:c>
      <x:c r="F400" s="2" t="str">
        <x:v>T-shirt</x:v>
      </x:c>
      <x:c r="G400" s="2" t="str">
        <x:v>Online</x:v>
      </x:c>
      <x:c r="H400" s="2" t="n">
        <x:v>1</x:v>
      </x:c>
      <x:c r="I400" s="2" t="n">
        <x:v>9000</x:v>
      </x:c>
      <x:c r="J400" s="2" t="n">
        <x:v>5000</x:v>
      </x:c>
      <x:c r="K400" s="2" t="n">
        <x:v>0.05</x:v>
      </x:c>
      <x:c r="L400" s="2" t="str">
        <x:v>Completed</x:v>
      </x:c>
    </x:row>
    <x:row r="401" ht="21" customHeight="1">
      <x:c r="A401" s="2" t="n">
        <x:v>396</x:v>
      </x:c>
      <x:c r="B401" s="2" t="str">
        <x:v>TXN-00396</x:v>
      </x:c>
      <x:c r="C401" s="2" t="str">
        <x:v>2025-04-21</x:v>
      </x:c>
      <x:c r="D401" s="2" t="str">
        <x:v>Kano</x:v>
      </x:c>
      <x:c r="E401" s="2" t="str">
        <x:v>Home</x:v>
      </x:c>
      <x:c r="F401" s="2" t="str">
        <x:v>Cookware set</x:v>
      </x:c>
      <x:c r="G401" s="2" t="str">
        <x:v>In-store</x:v>
      </x:c>
      <x:c r="H401" s="2" t="n">
        <x:v>1</x:v>
      </x:c>
      <x:c r="I401" s="2" t="n">
        <x:v>35000</x:v>
      </x:c>
      <x:c r="J401" s="2" t="n">
        <x:v>22500</x:v>
      </x:c>
      <x:c r="K401" s="2" t="n">
        <x:v>0</x:v>
      </x:c>
      <x:c r="L401" s="2" t="str">
        <x:v>Completed</x:v>
      </x:c>
    </x:row>
    <x:row r="402" ht="21" customHeight="1">
      <x:c r="A402" s="2" t="n">
        <x:v>397</x:v>
      </x:c>
      <x:c r="B402" s="2" t="str">
        <x:v>TXN-00397</x:v>
      </x:c>
      <x:c r="C402" s="2" t="str">
        <x:v>2025-04-06</x:v>
      </x:c>
      <x:c r="D402" s="2" t="str">
        <x:v>Port Harcourt</x:v>
      </x:c>
      <x:c r="E402" s="2" t="str">
        <x:v>Electronics</x:v>
      </x:c>
      <x:c r="F402" s="2" t="str">
        <x:v>Headphones</x:v>
      </x:c>
      <x:c r="G402" s="2" t="str">
        <x:v> in-store </x:v>
      </x:c>
      <x:c r="H402" s="2" t="n">
        <x:v>2</x:v>
      </x:c>
      <x:c r="I402" s="2" t="n">
        <x:v>18000</x:v>
      </x:c>
      <x:c r="J402" s="2" t="n">
        <x:v>10500</x:v>
      </x:c>
      <x:c r="K402" s="2" t="n">
        <x:v>0.05</x:v>
      </x:c>
      <x:c r="L402" s="2" t="str">
        <x:v> COMPLETED </x:v>
      </x:c>
    </x:row>
    <x:row r="403" ht="21" customHeight="1">
      <x:c r="A403" s="2" t="n">
        <x:v>398</x:v>
      </x:c>
      <x:c r="B403" s="2" t="str">
        <x:v>TXN-00398</x:v>
      </x:c>
      <x:c r="C403" s="2" t="str">
        <x:v>2025-04-01</x:v>
      </x:c>
      <x:c r="D403" s="2" t="str">
        <x:v>Kano</x:v>
      </x:c>
      <x:c r="E403" s="2" t="str">
        <x:v>Fashion</x:v>
      </x:c>
      <x:c r="F403" s="2" t="str">
        <x:v>Sneakers</x:v>
      </x:c>
      <x:c r="G403" s="2" t="str">
        <x:v>Online</x:v>
      </x:c>
      <x:c r="H403" s="2" t="n">
        <x:v>2</x:v>
      </x:c>
      <x:c r="I403" s="2" t="n">
        <x:v>28000</x:v>
      </x:c>
      <x:c r="J403" s="2" t="n">
        <x:v>17500</x:v>
      </x:c>
      <x:c r="K403" s="2" t="n">
        <x:v>0.05</x:v>
      </x:c>
      <x:c r="L403" s="2" t="str">
        <x:v>Completed</x:v>
      </x:c>
    </x:row>
    <x:row r="404" ht="21" customHeight="1">
      <x:c r="A404" s="2" t="n">
        <x:v>399</x:v>
      </x:c>
      <x:c r="B404" s="2" t="str">
        <x:v>TXN-00399</x:v>
      </x:c>
      <x:c r="C404" s="2" t="str">
        <x:v>2025-04-01</x:v>
      </x:c>
      <x:c r="D404" s="2" t="str">
        <x:v>Kano</x:v>
      </x:c>
      <x:c r="E404" s="2" t="str">
        <x:v>Electronics</x:v>
      </x:c>
      <x:c r="F404" s="2" t="str">
        <x:v>Headphones</x:v>
      </x:c>
      <x:c r="G404" s="2" t="str">
        <x:v>In-store</x:v>
      </x:c>
      <x:c r="H404" s="2" t="n">
        <x:v>2</x:v>
      </x:c>
      <x:c r="I404" s="2" t="n">
        <x:v>18000</x:v>
      </x:c>
      <x:c r="J404" s="2" t="n">
        <x:v>10500</x:v>
      </x:c>
      <x:c r="K404" s="2" t="n">
        <x:v>0</x:v>
      </x:c>
      <x:c r="L404" s="2" t="str">
        <x:v>Completed</x:v>
      </x:c>
    </x:row>
    <x:row r="405" ht="21" customHeight="1">
      <x:c r="A405" s="2" t="n">
        <x:v>400</x:v>
      </x:c>
      <x:c r="B405" s="2" t="str">
        <x:v>TXN-00400</x:v>
      </x:c>
      <x:c r="C405" s="2" t="str">
        <x:v>2025-04-25</x:v>
      </x:c>
      <x:c r="D405" s="2" t="str">
        <x:v> lagos </x:v>
      </x:c>
      <x:c r="E405" s="2" t="str">
        <x:v>Electronics</x:v>
      </x:c>
      <x:c r="F405" s="2" t="str">
        <x:v>Power bank</x:v>
      </x:c>
      <x:c r="G405" s="2" t="str">
        <x:v>Online</x:v>
      </x:c>
      <x:c r="H405" s="2" t="n">
        <x:v>1</x:v>
      </x:c>
      <x:c r="I405" s="2" t="n">
        <x:v>15000</x:v>
      </x:c>
      <x:c r="J405" s="2" t="n">
        <x:v>9500</x:v>
      </x:c>
      <x:c r="K405" s="2" t="n">
        <x:v>0</x:v>
      </x:c>
      <x:c r="L405" s="2" t="str">
        <x:v>Returned</x:v>
      </x:c>
    </x:row>
    <x:row r="406" ht="21" customHeight="1">
      <x:c r="A406" s="2" t="n">
        <x:v>401</x:v>
      </x:c>
      <x:c r="B406" s="2" t="str">
        <x:v>TXN-00401</x:v>
      </x:c>
      <x:c r="C406" s="2" t="str">
        <x:v>2025-04-07</x:v>
      </x:c>
      <x:c r="D406" s="2" t="str">
        <x:v>Lagos</x:v>
      </x:c>
      <x:c r="E406" s="2" t="str">
        <x:v>Home</x:v>
      </x:c>
      <x:c r="F406" s="2" t="str">
        <x:v>Desk lamp</x:v>
      </x:c>
      <x:c r="G406" s="2" t="str">
        <x:v>Online</x:v>
      </x:c>
      <x:c r="H406" s="2" t="n">
        <x:v>1</x:v>
      </x:c>
      <x:c r="I406" s="2" t="n">
        <x:v>12000</x:v>
      </x:c>
      <x:c r="J406" s="2" t="n">
        <x:v>7200</x:v>
      </x:c>
      <x:c r="K406" s="2" t="n">
        <x:v>0</x:v>
      </x:c>
      <x:c r="L406" s="2" t="str">
        <x:v>Completed</x:v>
      </x:c>
    </x:row>
    <x:row r="407" ht="21" customHeight="1">
      <x:c r="A407" s="2" t="n">
        <x:v>402</x:v>
      </x:c>
      <x:c r="B407" s="2" t="str">
        <x:v>TXN-00402</x:v>
      </x:c>
      <x:c r="C407" s="2" t="str">
        <x:v>2025-04-07</x:v>
      </x:c>
      <x:c r="D407" s="2" t="str">
        <x:v>Kano</x:v>
      </x:c>
      <x:c r="E407" s="2" t="str">
        <x:v>Beauty</x:v>
      </x:c>
      <x:c r="F407" s="2" t="str">
        <x:v>Moisturizer</x:v>
      </x:c>
      <x:c r="G407" s="2" t="str">
        <x:v>Online</x:v>
      </x:c>
      <x:c r="H407" s="2" t="n">
        <x:v>1</x:v>
      </x:c>
      <x:c r="I407" s="2" t="n">
        <x:v>6500</x:v>
      </x:c>
      <x:c r="J407" s="2" t="n">
        <x:v>3500</x:v>
      </x:c>
      <x:c r="K407" s="2" t="n">
        <x:v>0</x:v>
      </x:c>
      <x:c r="L407" s="2" t="str">
        <x:v>Completed</x:v>
      </x:c>
    </x:row>
    <x:row r="408" ht="21" customHeight="1">
      <x:c r="A408" s="2" t="n">
        <x:v>403</x:v>
      </x:c>
      <x:c r="B408" s="2" t="str">
        <x:v>TXN-00403</x:v>
      </x:c>
      <x:c r="C408" s="2" t="str">
        <x:v>2025-04-07</x:v>
      </x:c>
      <x:c r="D408" s="2" t="str">
        <x:v>Lagos</x:v>
      </x:c>
      <x:c r="E408" s="2" t="str">
        <x:v>Electronics</x:v>
      </x:c>
      <x:c r="F408" s="2" t="str">
        <x:v>Bluetooth speaker</x:v>
      </x:c>
      <x:c r="G408" s="2" t="str">
        <x:v>In-store</x:v>
      </x:c>
      <x:c r="H408" s="2" t="n">
        <x:v>1</x:v>
      </x:c>
      <x:c r="I408" s="2" t="n">
        <x:v>26000</x:v>
      </x:c>
      <x:c r="J408" s="2" t="n">
        <x:v>17000</x:v>
      </x:c>
      <x:c r="K408" s="2" t="n">
        <x:v>0</x:v>
      </x:c>
      <x:c r="L408" s="2" t="str">
        <x:v>Completed</x:v>
      </x:c>
    </x:row>
    <x:row r="409" ht="21" customHeight="1">
      <x:c r="A409" s="2" t="n">
        <x:v>404</x:v>
      </x:c>
      <x:c r="B409" s="2" t="str">
        <x:v>TXN-00404</x:v>
      </x:c>
      <x:c r="C409" s="2" t="str">
        <x:v>2025-04-22</x:v>
      </x:c>
      <x:c r="D409" s="2" t="str">
        <x:v>Abuja</x:v>
      </x:c>
      <x:c r="E409" s="2" t="str">
        <x:v>Electronics</x:v>
      </x:c>
      <x:c r="F409" s="2" t="str">
        <x:v>Power bank</x:v>
      </x:c>
      <x:c r="G409" s="2" t="str">
        <x:v>In-store</x:v>
      </x:c>
      <x:c r="H409" s="2" t="n">
        <x:v>1</x:v>
      </x:c>
      <x:c r="I409" s="2" t="n">
        <x:v>15000</x:v>
      </x:c>
      <x:c r="J409" s="2" t="n">
        <x:v>9500</x:v>
      </x:c>
      <x:c r="K409" s="2" t="n">
        <x:v>0.05</x:v>
      </x:c>
      <x:c r="L409" s="2" t="str">
        <x:v>Completed</x:v>
      </x:c>
    </x:row>
    <x:row r="410" ht="21" customHeight="1">
      <x:c r="A410" s="2" t="n">
        <x:v>405</x:v>
      </x:c>
      <x:c r="B410" s="2" t="str">
        <x:v>TXN-00405</x:v>
      </x:c>
      <x:c r="C410" s="2" t="str">
        <x:v>2025-04-22</x:v>
      </x:c>
      <x:c r="D410" s="2" t="str">
        <x:v>Port Harcourt</x:v>
      </x:c>
      <x:c r="E410" s="2" t="str">
        <x:v>Fashion</x:v>
      </x:c>
      <x:c r="F410" s="2" t="str">
        <x:v>Handbag</x:v>
      </x:c>
      <x:c r="G410" s="2" t="str">
        <x:v>Online</x:v>
      </x:c>
      <x:c r="H410" s="2" t="n">
        <x:v>1</x:v>
      </x:c>
      <x:c r="I410" s="2" t="n">
        <x:v>22000</x:v>
      </x:c>
      <x:c r="J410" s="2" t="n">
        <x:v>13500</x:v>
      </x:c>
      <x:c r="K410" s="2" t="n">
        <x:v>0</x:v>
      </x:c>
      <x:c r="L410" s="2" t="str">
        <x:v>Returned</x:v>
      </x:c>
    </x:row>
    <x:row r="411" ht="21" customHeight="1">
      <x:c r="A411" s="2" t="n">
        <x:v>406</x:v>
      </x:c>
      <x:c r="B411" s="2" t="str">
        <x:v>TXN-00406</x:v>
      </x:c>
      <x:c r="C411" s="2" t="str">
        <x:v>2025-04-09</x:v>
      </x:c>
      <x:c r="D411" s="2" t="str">
        <x:v>Kano</x:v>
      </x:c>
      <x:c r="E411" s="2" t="str">
        <x:v>Fashion</x:v>
      </x:c>
      <x:c r="F411" s="2" t="str">
        <x:v>T-shirt</x:v>
      </x:c>
      <x:c r="G411" s="2" t="str">
        <x:v>Online</x:v>
      </x:c>
      <x:c r="H411" s="2" t="n">
        <x:v>1</x:v>
      </x:c>
      <x:c r="I411" s="2" t="n">
        <x:v>9000</x:v>
      </x:c>
      <x:c r="J411" s="2" t="n">
        <x:v>5000</x:v>
      </x:c>
      <x:c r="K411" s="2" t="n">
        <x:v>0</x:v>
      </x:c>
      <x:c r="L411" s="2" t="str">
        <x:v> COMPLETED </x:v>
      </x:c>
    </x:row>
    <x:row r="412" ht="21" customHeight="1">
      <x:c r="A412" s="2" t="n">
        <x:v>407</x:v>
      </x:c>
      <x:c r="B412" s="2" t="str">
        <x:v>TXN-00407</x:v>
      </x:c>
      <x:c r="C412" s="2" t="str">
        <x:v>2025-04-28</x:v>
      </x:c>
      <x:c r="D412" s="2" t="str">
        <x:v> port harcourt </x:v>
      </x:c>
      <x:c r="E412" s="2" t="str">
        <x:v>Home</x:v>
      </x:c>
      <x:c r="F412" s="2" t="str">
        <x:v>Bedsheet</x:v>
      </x:c>
      <x:c r="G412" s="2" t="str">
        <x:v>In-store</x:v>
      </x:c>
      <x:c r="H412" s="2" t="n">
        <x:v>2</x:v>
      </x:c>
      <x:c r="I412" s="2" t="n">
        <x:v>14000</x:v>
      </x:c>
      <x:c r="J412" s="2" t="n">
        <x:v>8500</x:v>
      </x:c>
      <x:c r="K412" s="2" t="n">
        <x:v>0</x:v>
      </x:c>
      <x:c r="L412" s="2" t="str">
        <x:v>Completed</x:v>
      </x:c>
    </x:row>
    <x:row r="413" ht="21" customHeight="1">
      <x:c r="A413" s="2" t="n">
        <x:v>408</x:v>
      </x:c>
      <x:c r="B413" s="2" t="str">
        <x:v>TXN-00408</x:v>
      </x:c>
      <x:c r="C413" s="2" t="str">
        <x:v>2025-04-18</x:v>
      </x:c>
      <x:c r="D413" s="2" t="str">
        <x:v>Lagos</x:v>
      </x:c>
      <x:c r="E413" s="2" t="str">
        <x:v>Fashion</x:v>
      </x:c>
      <x:c r="F413" s="2" t="str">
        <x:v>T-shirt</x:v>
      </x:c>
      <x:c r="G413" s="2" t="str">
        <x:v> online </x:v>
      </x:c>
      <x:c r="H413" s="2" t="n">
        <x:v>1</x:v>
      </x:c>
      <x:c r="I413" s="2" t="n">
        <x:v>9000</x:v>
      </x:c>
      <x:c r="J413" s="2" t="n">
        <x:v>5000</x:v>
      </x:c>
      <x:c r="K413" s="2" t="n">
        <x:v>0</x:v>
      </x:c>
      <x:c r="L413" s="2" t="str">
        <x:v>Completed</x:v>
      </x:c>
    </x:row>
    <x:row r="414" ht="21" customHeight="1">
      <x:c r="A414" s="2" t="n">
        <x:v>409</x:v>
      </x:c>
      <x:c r="B414" s="2" t="str">
        <x:v>TXN-00409</x:v>
      </x:c>
      <x:c r="C414" s="2" t="str">
        <x:v>2025-04-08</x:v>
      </x:c>
      <x:c r="D414" s="2" t="str">
        <x:v>Port Harcourt</x:v>
      </x:c>
      <x:c r="E414" s="2" t="str">
        <x:v>Beauty</x:v>
      </x:c>
      <x:c r="F414" s="2" t="str">
        <x:v>Moisturizer</x:v>
      </x:c>
      <x:c r="G414" s="2" t="str">
        <x:v>Online</x:v>
      </x:c>
      <x:c r="H414" s="2" t="n">
        <x:v>3</x:v>
      </x:c>
      <x:c r="I414" s="2" t="n">
        <x:v>6500</x:v>
      </x:c>
      <x:c r="J414" s="2" t="n">
        <x:v>3500</x:v>
      </x:c>
      <x:c r="K414" s="2" t="n">
        <x:v>0</x:v>
      </x:c>
      <x:c r="L414" s="2" t="str">
        <x:v>Completed</x:v>
      </x:c>
    </x:row>
    <x:row r="415" ht="21" customHeight="1">
      <x:c r="A415" s="2" t="n">
        <x:v>410</x:v>
      </x:c>
      <x:c r="B415" s="2" t="str">
        <x:v>TXN-00410</x:v>
      </x:c>
      <x:c r="C415" s="2" t="str">
        <x:v>2025-04-29</x:v>
      </x:c>
      <x:c r="D415" s="2" t="str"/>
      <x:c r="E415" s="2" t="str">
        <x:v>Electronics</x:v>
      </x:c>
      <x:c r="F415" s="2" t="str">
        <x:v>Power bank</x:v>
      </x:c>
      <x:c r="G415" s="2" t="str">
        <x:v>In-store</x:v>
      </x:c>
      <x:c r="H415" s="2" t="n">
        <x:v>1</x:v>
      </x:c>
      <x:c r="I415" s="2" t="n">
        <x:v>15000</x:v>
      </x:c>
      <x:c r="J415" s="2" t="n">
        <x:v>9500</x:v>
      </x:c>
      <x:c r="K415" s="2" t="n">
        <x:v>0</x:v>
      </x:c>
      <x:c r="L415" s="2" t="str">
        <x:v>Completed</x:v>
      </x:c>
    </x:row>
    <x:row r="416" ht="21" customHeight="1">
      <x:c r="A416" s="2" t="n">
        <x:v>411</x:v>
      </x:c>
      <x:c r="B416" s="2" t="str">
        <x:v>TXN-00411</x:v>
      </x:c>
      <x:c r="C416" s="2" t="str">
        <x:v>2025-04-27</x:v>
      </x:c>
      <x:c r="D416" s="2" t="str">
        <x:v>Lagos</x:v>
      </x:c>
      <x:c r="E416" s="2" t="str">
        <x:v>Home</x:v>
      </x:c>
      <x:c r="F416" s="2" t="str">
        <x:v>Bedsheet</x:v>
      </x:c>
      <x:c r="G416" s="2" t="str">
        <x:v>In-store</x:v>
      </x:c>
      <x:c r="H416" s="2" t="n">
        <x:v>3</x:v>
      </x:c>
      <x:c r="I416" s="2" t="n">
        <x:v>14000</x:v>
      </x:c>
      <x:c r="J416" s="2" t="n">
        <x:v>8500</x:v>
      </x:c>
      <x:c r="K416" s="2" t="n">
        <x:v>0</x:v>
      </x:c>
      <x:c r="L416" s="2" t="str">
        <x:v>Completed</x:v>
      </x:c>
    </x:row>
    <x:row r="417" ht="21" customHeight="1">
      <x:c r="A417" s="2" t="n">
        <x:v>412</x:v>
      </x:c>
      <x:c r="B417" s="2" t="str">
        <x:v>TXN-00412</x:v>
      </x:c>
      <x:c r="C417" s="2" t="str">
        <x:v>2025-04-01</x:v>
      </x:c>
      <x:c r="D417" s="2" t="str">
        <x:v>Lagos</x:v>
      </x:c>
      <x:c r="E417" s="2" t="str">
        <x:v>Electronics</x:v>
      </x:c>
      <x:c r="F417" s="2" t="str">
        <x:v>Bluetooth speaker</x:v>
      </x:c>
      <x:c r="G417" s="2" t="str">
        <x:v>In-store</x:v>
      </x:c>
      <x:c r="H417" s="2" t="n">
        <x:v>2</x:v>
      </x:c>
      <x:c r="I417" s="2" t="n">
        <x:v>26000</x:v>
      </x:c>
      <x:c r="J417" s="2" t="n">
        <x:v>17000</x:v>
      </x:c>
      <x:c r="K417" s="2" t="n">
        <x:v>0</x:v>
      </x:c>
      <x:c r="L417" s="2" t="str">
        <x:v>Completed</x:v>
      </x:c>
    </x:row>
    <x:row r="418" ht="21" customHeight="1">
      <x:c r="A418" s="2" t="n">
        <x:v>413</x:v>
      </x:c>
      <x:c r="B418" s="2" t="str">
        <x:v>TXN-00413</x:v>
      </x:c>
      <x:c r="C418" s="2" t="str">
        <x:v>2025-04-14</x:v>
      </x:c>
      <x:c r="D418" s="2" t="str">
        <x:v>Abuja</x:v>
      </x:c>
      <x:c r="E418" s="2" t="str">
        <x:v>Electronics</x:v>
      </x:c>
      <x:c r="F418" s="2" t="str">
        <x:v>Bluetooth speaker</x:v>
      </x:c>
      <x:c r="G418" s="2" t="str">
        <x:v>In-store</x:v>
      </x:c>
      <x:c r="H418" s="2" t="n">
        <x:v>1</x:v>
      </x:c>
      <x:c r="I418" s="2" t="n">
        <x:v>26000</x:v>
      </x:c>
      <x:c r="J418" s="2" t="n">
        <x:v>17000</x:v>
      </x:c>
      <x:c r="K418" s="2" t="str"/>
      <x:c r="L418" s="2" t="str">
        <x:v>Completed</x:v>
      </x:c>
    </x:row>
    <x:row r="419" ht="21" customHeight="1">
      <x:c r="A419" s="2" t="n">
        <x:v>414</x:v>
      </x:c>
      <x:c r="B419" s="2" t="str">
        <x:v>TXN-00414</x:v>
      </x:c>
      <x:c r="C419" s="2" t="str">
        <x:v>2025-04-27</x:v>
      </x:c>
      <x:c r="D419" s="2" t="str">
        <x:v> port harcourt </x:v>
      </x:c>
      <x:c r="E419" s="2" t="str">
        <x:v>Electronics</x:v>
      </x:c>
      <x:c r="F419" s="2" t="str">
        <x:v>Headphones</x:v>
      </x:c>
      <x:c r="G419" s="2" t="str">
        <x:v>Online</x:v>
      </x:c>
      <x:c r="H419" s="2" t="n">
        <x:v>1</x:v>
      </x:c>
      <x:c r="I419" s="2" t="n">
        <x:v>18000</x:v>
      </x:c>
      <x:c r="J419" s="2" t="n">
        <x:v>10500</x:v>
      </x:c>
      <x:c r="K419" s="2" t="n">
        <x:v>0</x:v>
      </x:c>
      <x:c r="L419" s="2" t="str">
        <x:v>Completed</x:v>
      </x:c>
    </x:row>
    <x:row r="420" ht="21" customHeight="1">
      <x:c r="A420" s="2" t="n">
        <x:v>415</x:v>
      </x:c>
      <x:c r="B420" s="2" t="str">
        <x:v>TXN-00415</x:v>
      </x:c>
      <x:c r="C420" s="2" t="str">
        <x:v>2025-04-04</x:v>
      </x:c>
      <x:c r="D420" s="2" t="str">
        <x:v>Lagos</x:v>
      </x:c>
      <x:c r="E420" s="2" t="str">
        <x:v>Beauty</x:v>
      </x:c>
      <x:c r="F420" s="2" t="str">
        <x:v>Body wash</x:v>
      </x:c>
      <x:c r="G420" s="2" t="str">
        <x:v>In-store</x:v>
      </x:c>
      <x:c r="H420" s="2" t="n">
        <x:v>2</x:v>
      </x:c>
      <x:c r="I420" s="2" t="n">
        <x:v>4500</x:v>
      </x:c>
      <x:c r="J420" s="2" t="n">
        <x:v>2300</x:v>
      </x:c>
      <x:c r="K420" s="2" t="n">
        <x:v>0</x:v>
      </x:c>
      <x:c r="L420" s="2" t="str">
        <x:v> COMPLETED </x:v>
      </x:c>
    </x:row>
    <x:row r="421" ht="21" customHeight="1">
      <x:c r="A421" s="2" t="n">
        <x:v>416</x:v>
      </x:c>
      <x:c r="B421" s="2" t="str">
        <x:v>TXN-00416</x:v>
      </x:c>
      <x:c r="C421" s="2" t="str">
        <x:v>2025-04-30</x:v>
      </x:c>
      <x:c r="D421" s="2" t="str">
        <x:v>Lagos</x:v>
      </x:c>
      <x:c r="E421" s="2" t="str">
        <x:v>Beauty</x:v>
      </x:c>
      <x:c r="F421" s="2" t="str">
        <x:v>Perfume</x:v>
      </x:c>
      <x:c r="G421" s="2" t="str">
        <x:v>Online</x:v>
      </x:c>
      <x:c r="H421" s="2" t="n">
        <x:v>2</x:v>
      </x:c>
      <x:c r="I421" s="2" t="n">
        <x:v>17000</x:v>
      </x:c>
      <x:c r="J421" s="2" t="n">
        <x:v>9000</x:v>
      </x:c>
      <x:c r="K421" s="2" t="n">
        <x:v>0</x:v>
      </x:c>
      <x:c r="L421" s="2" t="str">
        <x:v>Completed</x:v>
      </x:c>
    </x:row>
    <x:row r="422" ht="21" customHeight="1">
      <x:c r="A422" s="2" t="n">
        <x:v>417</x:v>
      </x:c>
      <x:c r="B422" s="2" t="str">
        <x:v>TXN-00417</x:v>
      </x:c>
      <x:c r="C422" s="2" t="str">
        <x:v>2025-04-19</x:v>
      </x:c>
      <x:c r="D422" s="2" t="str">
        <x:v>Lagos</x:v>
      </x:c>
      <x:c r="E422" s="2" t="str">
        <x:v>Electronics</x:v>
      </x:c>
      <x:c r="F422" s="2" t="str">
        <x:v>Headphones</x:v>
      </x:c>
      <x:c r="G422" s="2" t="str">
        <x:v>Online</x:v>
      </x:c>
      <x:c r="H422" s="2" t="n">
        <x:v>1</x:v>
      </x:c>
      <x:c r="I422" s="2" t="n">
        <x:v>18000</x:v>
      </x:c>
      <x:c r="J422" s="2" t="n">
        <x:v>10500</x:v>
      </x:c>
      <x:c r="K422" s="2" t="n">
        <x:v>0</x:v>
      </x:c>
      <x:c r="L422" s="2" t="str">
        <x:v>Completed</x:v>
      </x:c>
    </x:row>
    <x:row r="423" ht="21" customHeight="1">
      <x:c r="A423" s="2" t="n">
        <x:v>418</x:v>
      </x:c>
      <x:c r="B423" s="2" t="str">
        <x:v>TXN-00418</x:v>
      </x:c>
      <x:c r="C423" s="2" t="str">
        <x:v>2025-04-25</x:v>
      </x:c>
      <x:c r="D423" s="2" t="str">
        <x:v>Port Harcourt</x:v>
      </x:c>
      <x:c r="E423" s="2" t="str">
        <x:v>Electronics</x:v>
      </x:c>
      <x:c r="F423" s="2" t="str">
        <x:v>Power bank</x:v>
      </x:c>
      <x:c r="G423" s="2" t="str">
        <x:v>Online</x:v>
      </x:c>
      <x:c r="H423" s="2" t="n">
        <x:v>1</x:v>
      </x:c>
      <x:c r="I423" s="2" t="n">
        <x:v>15000</x:v>
      </x:c>
      <x:c r="J423" s="2" t="n">
        <x:v>9500</x:v>
      </x:c>
      <x:c r="K423" s="2" t="n">
        <x:v>0.1</x:v>
      </x:c>
      <x:c r="L423" s="2" t="str">
        <x:v>Completed</x:v>
      </x:c>
    </x:row>
    <x:row r="424" ht="21" customHeight="1">
      <x:c r="A424" s="2" t="n">
        <x:v>419</x:v>
      </x:c>
      <x:c r="B424" s="2" t="str">
        <x:v>TXN-00419</x:v>
      </x:c>
      <x:c r="C424" s="2" t="str">
        <x:v>2025-04-05</x:v>
      </x:c>
      <x:c r="D424" s="2" t="str">
        <x:v>Kano</x:v>
      </x:c>
      <x:c r="E424" s="2" t="str">
        <x:v>Fashion</x:v>
      </x:c>
      <x:c r="F424" s="2" t="str">
        <x:v>Sneakers</x:v>
      </x:c>
      <x:c r="G424" s="2" t="str">
        <x:v> online </x:v>
      </x:c>
      <x:c r="H424" s="2" t="n">
        <x:v>2</x:v>
      </x:c>
      <x:c r="I424" s="2" t="n">
        <x:v>28000</x:v>
      </x:c>
      <x:c r="J424" s="2" t="n">
        <x:v>17500</x:v>
      </x:c>
      <x:c r="K424" s="2" t="n">
        <x:v>0.05</x:v>
      </x:c>
      <x:c r="L424" s="2" t="str">
        <x:v>Completed</x:v>
      </x:c>
    </x:row>
    <x:row r="425" ht="21" customHeight="1">
      <x:c r="A425" s="2" t="n">
        <x:v>420</x:v>
      </x:c>
      <x:c r="B425" s="2" t="str">
        <x:v>TXN-00420</x:v>
      </x:c>
      <x:c r="C425" s="2" t="str">
        <x:v>2025-05-10</x:v>
      </x:c>
      <x:c r="D425" s="2" t="str">
        <x:v>Lagos</x:v>
      </x:c>
      <x:c r="E425" s="2" t="str">
        <x:v>Electronics</x:v>
      </x:c>
      <x:c r="F425" s="2" t="str">
        <x:v>Headphones</x:v>
      </x:c>
      <x:c r="G425" s="2" t="str">
        <x:v>Online</x:v>
      </x:c>
      <x:c r="H425" s="2" t="n">
        <x:v>3</x:v>
      </x:c>
      <x:c r="I425" s="2" t="n">
        <x:v>18000</x:v>
      </x:c>
      <x:c r="J425" s="2" t="n">
        <x:v>10500</x:v>
      </x:c>
      <x:c r="K425" s="2" t="n">
        <x:v>0.15</x:v>
      </x:c>
      <x:c r="L425" s="2" t="str">
        <x:v>Completed</x:v>
      </x:c>
    </x:row>
    <x:row r="426" ht="21" customHeight="1">
      <x:c r="A426" s="2" t="n">
        <x:v>421</x:v>
      </x:c>
      <x:c r="B426" s="2" t="str">
        <x:v>TXN-00421</x:v>
      </x:c>
      <x:c r="C426" s="2" t="str">
        <x:v>2025-05-26</x:v>
      </x:c>
      <x:c r="D426" s="2" t="str">
        <x:v> lagos </x:v>
      </x:c>
      <x:c r="E426" s="2" t="str">
        <x:v>Beauty</x:v>
      </x:c>
      <x:c r="F426" s="2" t="str">
        <x:v>Moisturizer</x:v>
      </x:c>
      <x:c r="G426" s="2" t="str">
        <x:v>Online</x:v>
      </x:c>
      <x:c r="H426" s="2" t="n">
        <x:v>2</x:v>
      </x:c>
      <x:c r="I426" s="2" t="n">
        <x:v>6500</x:v>
      </x:c>
      <x:c r="J426" s="2" t="n">
        <x:v>3500</x:v>
      </x:c>
      <x:c r="K426" s="2" t="n">
        <x:v>0.1</x:v>
      </x:c>
      <x:c r="L426" s="2" t="str">
        <x:v>Completed</x:v>
      </x:c>
    </x:row>
    <x:row r="427" ht="21" customHeight="1">
      <x:c r="A427" s="2" t="n">
        <x:v>422</x:v>
      </x:c>
      <x:c r="B427" s="2" t="str">
        <x:v>TXN-00422</x:v>
      </x:c>
      <x:c r="C427" s="2" t="str">
        <x:v>2025-05-24</x:v>
      </x:c>
      <x:c r="D427" s="2" t="str">
        <x:v>Port Harcourt</x:v>
      </x:c>
      <x:c r="E427" s="2" t="str">
        <x:v>Fashion</x:v>
      </x:c>
      <x:c r="F427" s="2" t="str">
        <x:v>T-shirt</x:v>
      </x:c>
      <x:c r="G427" s="2" t="str">
        <x:v>Online</x:v>
      </x:c>
      <x:c r="H427" s="2" t="n">
        <x:v>2</x:v>
      </x:c>
      <x:c r="I427" s="2" t="n">
        <x:v>9000</x:v>
      </x:c>
      <x:c r="J427" s="2" t="n">
        <x:v>5000</x:v>
      </x:c>
      <x:c r="K427" s="2" t="str"/>
      <x:c r="L427" s="2" t="str">
        <x:v>Completed</x:v>
      </x:c>
    </x:row>
    <x:row r="428" ht="21" customHeight="1">
      <x:c r="A428" s="2" t="n">
        <x:v>423</x:v>
      </x:c>
      <x:c r="B428" s="2" t="str">
        <x:v>TXN-00423</x:v>
      </x:c>
      <x:c r="C428" s="2" t="str">
        <x:v>2025-05-30</x:v>
      </x:c>
      <x:c r="D428" s="2" t="str">
        <x:v>Lagos</x:v>
      </x:c>
      <x:c r="E428" s="2" t="str">
        <x:v>Beauty</x:v>
      </x:c>
      <x:c r="F428" s="2" t="str">
        <x:v>Perfume</x:v>
      </x:c>
      <x:c r="G428" s="2" t="str">
        <x:v>In-store</x:v>
      </x:c>
      <x:c r="H428" s="2" t="n">
        <x:v>2</x:v>
      </x:c>
      <x:c r="I428" s="2" t="n">
        <x:v>17000</x:v>
      </x:c>
      <x:c r="J428" s="2" t="n">
        <x:v>9000</x:v>
      </x:c>
      <x:c r="K428" s="2" t="n">
        <x:v>0</x:v>
      </x:c>
      <x:c r="L428" s="2" t="str">
        <x:v>Completed</x:v>
      </x:c>
    </x:row>
    <x:row r="429" ht="21" customHeight="1">
      <x:c r="A429" s="2" t="n">
        <x:v>424</x:v>
      </x:c>
      <x:c r="B429" s="2" t="str">
        <x:v>TXN-00424</x:v>
      </x:c>
      <x:c r="C429" s="2" t="str">
        <x:v>2025-05-09</x:v>
      </x:c>
      <x:c r="D429" s="2" t="str">
        <x:v>Port Harcourt</x:v>
      </x:c>
      <x:c r="E429" s="2" t="str">
        <x:v>Home</x:v>
      </x:c>
      <x:c r="F429" s="2" t="str">
        <x:v>Desk lamp</x:v>
      </x:c>
      <x:c r="G429" s="2" t="str">
        <x:v>Online</x:v>
      </x:c>
      <x:c r="H429" s="2" t="n">
        <x:v>2</x:v>
      </x:c>
      <x:c r="I429" s="2" t="n">
        <x:v>12000</x:v>
      </x:c>
      <x:c r="J429" s="2" t="n">
        <x:v>7200</x:v>
      </x:c>
      <x:c r="K429" s="2" t="n">
        <x:v>0</x:v>
      </x:c>
      <x:c r="L429" s="2" t="str">
        <x:v> COMPLETED </x:v>
      </x:c>
    </x:row>
    <x:row r="430" ht="21" customHeight="1">
      <x:c r="A430" s="2" t="n">
        <x:v>425</x:v>
      </x:c>
      <x:c r="B430" s="2" t="str">
        <x:v>TXN-00425</x:v>
      </x:c>
      <x:c r="C430" s="2" t="str">
        <x:v>2025-05-14</x:v>
      </x:c>
      <x:c r="D430" s="2" t="str">
        <x:v>Lagos</x:v>
      </x:c>
      <x:c r="E430" s="2" t="str">
        <x:v>Electronics</x:v>
      </x:c>
      <x:c r="F430" s="2" t="str">
        <x:v>Power bank</x:v>
      </x:c>
      <x:c r="G430" s="2" t="str">
        <x:v>Online</x:v>
      </x:c>
      <x:c r="H430" s="2" t="n">
        <x:v>2</x:v>
      </x:c>
      <x:c r="I430" s="2" t="n">
        <x:v>15000</x:v>
      </x:c>
      <x:c r="J430" s="2" t="n">
        <x:v>9500</x:v>
      </x:c>
      <x:c r="K430" s="2" t="n">
        <x:v>0.05</x:v>
      </x:c>
      <x:c r="L430" s="2" t="str">
        <x:v>Completed</x:v>
      </x:c>
    </x:row>
    <x:row r="431" ht="21" customHeight="1">
      <x:c r="A431" s="2" t="n">
        <x:v>426</x:v>
      </x:c>
      <x:c r="B431" s="2" t="str">
        <x:v>TXN-00426</x:v>
      </x:c>
      <x:c r="C431" s="2" t="str">
        <x:v>2025-05-28</x:v>
      </x:c>
      <x:c r="D431" s="2" t="str">
        <x:v>Lagos</x:v>
      </x:c>
      <x:c r="E431" s="2" t="str">
        <x:v>Home</x:v>
      </x:c>
      <x:c r="F431" s="2" t="str">
        <x:v>Desk lamp</x:v>
      </x:c>
      <x:c r="G431" s="2" t="str">
        <x:v>Online</x:v>
      </x:c>
      <x:c r="H431" s="2" t="n">
        <x:v>2</x:v>
      </x:c>
      <x:c r="I431" s="2" t="n">
        <x:v>12000</x:v>
      </x:c>
      <x:c r="J431" s="2" t="n">
        <x:v>7200</x:v>
      </x:c>
      <x:c r="K431" s="2" t="n">
        <x:v>0</x:v>
      </x:c>
      <x:c r="L431" s="2" t="str">
        <x:v>Completed</x:v>
      </x:c>
    </x:row>
    <x:row r="432" ht="21" customHeight="1">
      <x:c r="A432" s="2" t="n">
        <x:v>427</x:v>
      </x:c>
      <x:c r="B432" s="2" t="str">
        <x:v>TXN-00427</x:v>
      </x:c>
      <x:c r="C432" s="2" t="str">
        <x:v>2025-05-10</x:v>
      </x:c>
      <x:c r="D432" s="2" t="str">
        <x:v>Kano</x:v>
      </x:c>
      <x:c r="E432" s="2" t="str">
        <x:v>Beauty</x:v>
      </x:c>
      <x:c r="F432" s="2" t="str">
        <x:v>Body wash</x:v>
      </x:c>
      <x:c r="G432" s="2" t="str">
        <x:v>Online</x:v>
      </x:c>
      <x:c r="H432" s="2" t="n">
        <x:v>2</x:v>
      </x:c>
      <x:c r="I432" s="2" t="n">
        <x:v>4500</x:v>
      </x:c>
      <x:c r="J432" s="2" t="n">
        <x:v>2300</x:v>
      </x:c>
      <x:c r="K432" s="2" t="n">
        <x:v>0</x:v>
      </x:c>
      <x:c r="L432" s="2" t="str">
        <x:v>Completed</x:v>
      </x:c>
    </x:row>
    <x:row r="433" ht="21" customHeight="1">
      <x:c r="A433" s="2" t="n">
        <x:v>428</x:v>
      </x:c>
      <x:c r="B433" s="2" t="str">
        <x:v>TXN-00428</x:v>
      </x:c>
      <x:c r="C433" s="2" t="str">
        <x:v>2025-05-22</x:v>
      </x:c>
      <x:c r="D433" s="2" t="str">
        <x:v> port harcourt </x:v>
      </x:c>
      <x:c r="E433" s="2" t="str">
        <x:v>Electronics</x:v>
      </x:c>
      <x:c r="F433" s="2" t="str">
        <x:v>Power bank</x:v>
      </x:c>
      <x:c r="G433" s="2" t="str">
        <x:v>In-store</x:v>
      </x:c>
      <x:c r="H433" s="2" t="n">
        <x:v>2</x:v>
      </x:c>
      <x:c r="I433" s="2" t="n">
        <x:v>15000</x:v>
      </x:c>
      <x:c r="J433" s="2" t="n">
        <x:v>9500</x:v>
      </x:c>
      <x:c r="K433" s="2" t="n">
        <x:v>0</x:v>
      </x:c>
      <x:c r="L433" s="2" t="str">
        <x:v>Completed</x:v>
      </x:c>
    </x:row>
    <x:row r="434" ht="21" customHeight="1">
      <x:c r="A434" s="2" t="n">
        <x:v>429</x:v>
      </x:c>
      <x:c r="B434" s="2" t="str">
        <x:v>TXN-00429</x:v>
      </x:c>
      <x:c r="C434" s="2" t="str">
        <x:v>2025-05-26</x:v>
      </x:c>
      <x:c r="D434" s="2" t="str">
        <x:v>Port Harcourt</x:v>
      </x:c>
      <x:c r="E434" s="2" t="str">
        <x:v>Electronics</x:v>
      </x:c>
      <x:c r="F434" s="2" t="str">
        <x:v>Headphones</x:v>
      </x:c>
      <x:c r="G434" s="2" t="str">
        <x:v>Online</x:v>
      </x:c>
      <x:c r="H434" s="2" t="n">
        <x:v>2</x:v>
      </x:c>
      <x:c r="I434" s="2" t="n">
        <x:v>18000</x:v>
      </x:c>
      <x:c r="J434" s="2" t="n">
        <x:v>10500</x:v>
      </x:c>
      <x:c r="K434" s="2" t="n">
        <x:v>0</x:v>
      </x:c>
      <x:c r="L434" s="2" t="str">
        <x:v>Completed</x:v>
      </x:c>
    </x:row>
    <x:row r="435" ht="21" customHeight="1">
      <x:c r="A435" s="2" t="n">
        <x:v>430</x:v>
      </x:c>
      <x:c r="B435" s="2" t="str">
        <x:v>TXN-00430</x:v>
      </x:c>
      <x:c r="C435" s="2" t="str">
        <x:v>2025-05-06</x:v>
      </x:c>
      <x:c r="D435" s="2" t="str">
        <x:v>Lagos</x:v>
      </x:c>
      <x:c r="E435" s="2" t="str">
        <x:v>Fashion</x:v>
      </x:c>
      <x:c r="F435" s="2" t="str">
        <x:v>T-shirt</x:v>
      </x:c>
      <x:c r="G435" s="2" t="str">
        <x:v> in-store </x:v>
      </x:c>
      <x:c r="H435" s="2" t="n">
        <x:v>1</x:v>
      </x:c>
      <x:c r="I435" s="2" t="n">
        <x:v>9000</x:v>
      </x:c>
      <x:c r="J435" s="2" t="n">
        <x:v>5000</x:v>
      </x:c>
      <x:c r="K435" s="2" t="n">
        <x:v>0</x:v>
      </x:c>
      <x:c r="L435" s="2" t="str">
        <x:v>Completed</x:v>
      </x:c>
    </x:row>
    <x:row r="436" ht="21" customHeight="1">
      <x:c r="A436" s="2" t="n">
        <x:v>431</x:v>
      </x:c>
      <x:c r="B436" s="2" t="str">
        <x:v>TXN-00431</x:v>
      </x:c>
      <x:c r="C436" s="2" t="str">
        <x:v>2025-05-16</x:v>
      </x:c>
      <x:c r="D436" s="2" t="str">
        <x:v>Lagos</x:v>
      </x:c>
      <x:c r="E436" s="2" t="str">
        <x:v>Beauty</x:v>
      </x:c>
      <x:c r="F436" s="2" t="str">
        <x:v>Body wash</x:v>
      </x:c>
      <x:c r="G436" s="2" t="str">
        <x:v>Online</x:v>
      </x:c>
      <x:c r="H436" s="2" t="n">
        <x:v>2</x:v>
      </x:c>
      <x:c r="I436" s="2" t="n">
        <x:v>4500</x:v>
      </x:c>
      <x:c r="J436" s="2" t="n">
        <x:v>2300</x:v>
      </x:c>
      <x:c r="K436" s="2" t="n">
        <x:v>0.1</x:v>
      </x:c>
      <x:c r="L436" s="2" t="str">
        <x:v>Completed</x:v>
      </x:c>
    </x:row>
    <x:row r="437" ht="21" customHeight="1">
      <x:c r="A437" s="2" t="n">
        <x:v>432</x:v>
      </x:c>
      <x:c r="B437" s="2" t="str">
        <x:v>TXN-00432</x:v>
      </x:c>
      <x:c r="C437" s="2" t="str">
        <x:v>2025-05-07</x:v>
      </x:c>
      <x:c r="D437" s="2" t="str">
        <x:v>Kano</x:v>
      </x:c>
      <x:c r="E437" s="2" t="str">
        <x:v>Electronics</x:v>
      </x:c>
      <x:c r="F437" s="2" t="str">
        <x:v>Bluetooth speaker</x:v>
      </x:c>
      <x:c r="G437" s="2" t="str">
        <x:v>In-store</x:v>
      </x:c>
      <x:c r="H437" s="2" t="n">
        <x:v>2</x:v>
      </x:c>
      <x:c r="I437" s="2" t="n">
        <x:v>26000</x:v>
      </x:c>
      <x:c r="J437" s="2" t="n">
        <x:v>17000</x:v>
      </x:c>
      <x:c r="K437" s="2" t="n">
        <x:v>0</x:v>
      </x:c>
      <x:c r="L437" s="2" t="str">
        <x:v>Completed</x:v>
      </x:c>
    </x:row>
    <x:row r="438" ht="21" customHeight="1">
      <x:c r="A438" s="2" t="n">
        <x:v>433</x:v>
      </x:c>
      <x:c r="B438" s="2" t="str">
        <x:v>TXN-00433</x:v>
      </x:c>
      <x:c r="C438" s="2" t="str">
        <x:v>2025-05-05</x:v>
      </x:c>
      <x:c r="D438" s="2" t="str">
        <x:v>Lagos</x:v>
      </x:c>
      <x:c r="E438" s="2" t="str">
        <x:v>Beauty</x:v>
      </x:c>
      <x:c r="F438" s="2" t="str">
        <x:v>Body wash</x:v>
      </x:c>
      <x:c r="G438" s="2" t="str">
        <x:v>In-store</x:v>
      </x:c>
      <x:c r="H438" s="2" t="n">
        <x:v>1</x:v>
      </x:c>
      <x:c r="I438" s="2" t="n">
        <x:v>4500</x:v>
      </x:c>
      <x:c r="J438" s="2" t="n">
        <x:v>2300</x:v>
      </x:c>
      <x:c r="K438" s="2" t="n">
        <x:v>0.1</x:v>
      </x:c>
      <x:c r="L438" s="2" t="str">
        <x:v> COMPLETED </x:v>
      </x:c>
    </x:row>
    <x:row r="439" ht="21" customHeight="1">
      <x:c r="A439" s="2" t="n">
        <x:v>434</x:v>
      </x:c>
      <x:c r="B439" s="2" t="str">
        <x:v>TXN-00434</x:v>
      </x:c>
      <x:c r="C439" s="2" t="str">
        <x:v>2025-05-21</x:v>
      </x:c>
      <x:c r="D439" s="2" t="str">
        <x:v>Abuja</x:v>
      </x:c>
      <x:c r="E439" s="2" t="str">
        <x:v>Electronics</x:v>
      </x:c>
      <x:c r="F439" s="2" t="str">
        <x:v>Headphones</x:v>
      </x:c>
      <x:c r="G439" s="2" t="str">
        <x:v>Online</x:v>
      </x:c>
      <x:c r="H439" s="2" t="n">
        <x:v>2</x:v>
      </x:c>
      <x:c r="I439" s="2" t="n">
        <x:v>18000</x:v>
      </x:c>
      <x:c r="J439" s="2" t="n">
        <x:v>10500</x:v>
      </x:c>
      <x:c r="K439" s="2" t="n">
        <x:v>0.05</x:v>
      </x:c>
      <x:c r="L439" s="2" t="str">
        <x:v>Returned</x:v>
      </x:c>
    </x:row>
    <x:row r="440" ht="21" customHeight="1">
      <x:c r="A440" s="2" t="n">
        <x:v>435</x:v>
      </x:c>
      <x:c r="B440" s="2" t="str">
        <x:v>TXN-00435</x:v>
      </x:c>
      <x:c r="C440" s="2" t="str">
        <x:v>2025-05-07</x:v>
      </x:c>
      <x:c r="D440" s="2" t="str">
        <x:v> port harcourt </x:v>
      </x:c>
      <x:c r="E440" s="2" t="str">
        <x:v>Beauty</x:v>
      </x:c>
      <x:c r="F440" s="2" t="str">
        <x:v>Perfume</x:v>
      </x:c>
      <x:c r="G440" s="2" t="str">
        <x:v>Online</x:v>
      </x:c>
      <x:c r="H440" s="2" t="n">
        <x:v>4</x:v>
      </x:c>
      <x:c r="I440" s="2" t="n">
        <x:v>17000</x:v>
      </x:c>
      <x:c r="J440" s="2" t="n">
        <x:v>9000</x:v>
      </x:c>
      <x:c r="K440" s="2" t="n">
        <x:v>0</x:v>
      </x:c>
      <x:c r="L440" s="2" t="str">
        <x:v>Completed</x:v>
      </x:c>
    </x:row>
    <x:row r="441" ht="21" customHeight="1">
      <x:c r="A441" s="2" t="n">
        <x:v>436</x:v>
      </x:c>
      <x:c r="B441" s="2" t="str">
        <x:v>TXN-00436</x:v>
      </x:c>
      <x:c r="C441" s="2" t="str">
        <x:v>2025-05-06</x:v>
      </x:c>
      <x:c r="D441" s="2" t="str">
        <x:v>Port Harcourt</x:v>
      </x:c>
      <x:c r="E441" s="2" t="str">
        <x:v>Electronics</x:v>
      </x:c>
      <x:c r="F441" s="2" t="str">
        <x:v>Bluetooth speaker</x:v>
      </x:c>
      <x:c r="G441" s="2" t="str">
        <x:v>Online</x:v>
      </x:c>
      <x:c r="H441" s="2" t="n">
        <x:v>2</x:v>
      </x:c>
      <x:c r="I441" s="2" t="n">
        <x:v>26000</x:v>
      </x:c>
      <x:c r="J441" s="2" t="n">
        <x:v>17000</x:v>
      </x:c>
      <x:c r="K441" s="2" t="n">
        <x:v>0</x:v>
      </x:c>
      <x:c r="L441" s="2" t="str">
        <x:v>Completed</x:v>
      </x:c>
    </x:row>
    <x:row r="442" ht="21" customHeight="1">
      <x:c r="A442" s="2" t="n">
        <x:v>437</x:v>
      </x:c>
      <x:c r="B442" s="2" t="str">
        <x:v>TXN-00437</x:v>
      </x:c>
      <x:c r="C442" s="2" t="str">
        <x:v>2025-05-01</x:v>
      </x:c>
      <x:c r="D442" s="2" t="str">
        <x:v>Lagos</x:v>
      </x:c>
      <x:c r="E442" s="2" t="str">
        <x:v>Electronics</x:v>
      </x:c>
      <x:c r="F442" s="2" t="str">
        <x:v>Bluetooth speaker</x:v>
      </x:c>
      <x:c r="G442" s="2" t="str">
        <x:v>Online</x:v>
      </x:c>
      <x:c r="H442" s="2" t="n">
        <x:v>1</x:v>
      </x:c>
      <x:c r="I442" s="2" t="n">
        <x:v>26000</x:v>
      </x:c>
      <x:c r="J442" s="2" t="n">
        <x:v>17000</x:v>
      </x:c>
      <x:c r="K442" s="2" t="n">
        <x:v>0</x:v>
      </x:c>
      <x:c r="L442" s="2" t="str">
        <x:v>Completed</x:v>
      </x:c>
    </x:row>
    <x:row r="443" ht="21" customHeight="1">
      <x:c r="A443" s="2" t="n">
        <x:v>438</x:v>
      </x:c>
      <x:c r="B443" s="2" t="str">
        <x:v>TXN-00438</x:v>
      </x:c>
      <x:c r="C443" s="2" t="str">
        <x:v>2025-05-11</x:v>
      </x:c>
      <x:c r="D443" s="2" t="str">
        <x:v>Lagos</x:v>
      </x:c>
      <x:c r="E443" s="2" t="str">
        <x:v>Beauty</x:v>
      </x:c>
      <x:c r="F443" s="2" t="str">
        <x:v>Moisturizer</x:v>
      </x:c>
      <x:c r="G443" s="2" t="str">
        <x:v>Online</x:v>
      </x:c>
      <x:c r="H443" s="2" t="n">
        <x:v>2</x:v>
      </x:c>
      <x:c r="I443" s="2" t="n">
        <x:v>6500</x:v>
      </x:c>
      <x:c r="J443" s="2" t="n">
        <x:v>3500</x:v>
      </x:c>
      <x:c r="K443" s="2" t="n">
        <x:v>0</x:v>
      </x:c>
      <x:c r="L443" s="2" t="str">
        <x:v>Completed</x:v>
      </x:c>
    </x:row>
    <x:row r="444" ht="21" customHeight="1">
      <x:c r="A444" s="2" t="n">
        <x:v>439</x:v>
      </x:c>
      <x:c r="B444" s="2" t="str">
        <x:v>TXN-00439</x:v>
      </x:c>
      <x:c r="C444" s="2" t="str">
        <x:v>2025-05-22</x:v>
      </x:c>
      <x:c r="D444" s="2" t="str">
        <x:v>Lagos</x:v>
      </x:c>
      <x:c r="E444" s="2" t="str">
        <x:v>Beauty</x:v>
      </x:c>
      <x:c r="F444" s="2" t="str">
        <x:v>Body wash</x:v>
      </x:c>
      <x:c r="G444" s="2" t="str">
        <x:v>In-store</x:v>
      </x:c>
      <x:c r="H444" s="2" t="n">
        <x:v>2</x:v>
      </x:c>
      <x:c r="I444" s="2" t="n">
        <x:v>4500</x:v>
      </x:c>
      <x:c r="J444" s="2" t="n">
        <x:v>2300</x:v>
      </x:c>
      <x:c r="K444" s="2" t="n">
        <x:v>0.05</x:v>
      </x:c>
      <x:c r="L444" s="2" t="str">
        <x:v>Completed</x:v>
      </x:c>
    </x:row>
    <x:row r="445" ht="21" customHeight="1">
      <x:c r="A445" s="2" t="n">
        <x:v>440</x:v>
      </x:c>
      <x:c r="B445" s="2" t="str">
        <x:v>TXN-00440</x:v>
      </x:c>
      <x:c r="C445" s="2" t="str">
        <x:v>2025-05-13</x:v>
      </x:c>
      <x:c r="D445" s="2" t="str">
        <x:v>Abuja</x:v>
      </x:c>
      <x:c r="E445" s="2" t="str">
        <x:v>Electronics</x:v>
      </x:c>
      <x:c r="F445" s="2" t="str">
        <x:v>Headphones</x:v>
      </x:c>
      <x:c r="G445" s="2" t="str">
        <x:v>In-store</x:v>
      </x:c>
      <x:c r="H445" s="2" t="n">
        <x:v>2</x:v>
      </x:c>
      <x:c r="I445" s="2" t="n">
        <x:v>18000</x:v>
      </x:c>
      <x:c r="J445" s="2" t="n">
        <x:v>10500</x:v>
      </x:c>
      <x:c r="K445" s="2" t="n">
        <x:v>0</x:v>
      </x:c>
      <x:c r="L445" s="2" t="str">
        <x:v>Completed</x:v>
      </x:c>
    </x:row>
    <x:row r="446" ht="21" customHeight="1">
      <x:c r="A446" s="2" t="n">
        <x:v>441</x:v>
      </x:c>
      <x:c r="B446" s="2" t="str">
        <x:v>TXN-00441</x:v>
      </x:c>
      <x:c r="C446" s="2" t="str">
        <x:v>2025-05-31</x:v>
      </x:c>
      <x:c r="D446" s="2" t="str">
        <x:v>Port Harcourt</x:v>
      </x:c>
      <x:c r="E446" s="2" t="str">
        <x:v>Electronics</x:v>
      </x:c>
      <x:c r="F446" s="2" t="str">
        <x:v>Bluetooth speaker</x:v>
      </x:c>
      <x:c r="G446" s="2" t="str">
        <x:v> online </x:v>
      </x:c>
      <x:c r="H446" s="2" t="n">
        <x:v>4</x:v>
      </x:c>
      <x:c r="I446" s="2" t="n">
        <x:v>26000</x:v>
      </x:c>
      <x:c r="J446" s="2" t="n">
        <x:v>17000</x:v>
      </x:c>
      <x:c r="K446" s="2" t="n">
        <x:v>0</x:v>
      </x:c>
      <x:c r="L446" s="2" t="str">
        <x:v>Completed</x:v>
      </x:c>
    </x:row>
    <x:row r="447" ht="21" customHeight="1">
      <x:c r="A447" s="2" t="n">
        <x:v>442</x:v>
      </x:c>
      <x:c r="B447" s="2" t="str">
        <x:v>TXN-00442</x:v>
      </x:c>
      <x:c r="C447" s="2" t="str">
        <x:v>2025-05-01</x:v>
      </x:c>
      <x:c r="D447" s="2" t="str">
        <x:v> port harcourt </x:v>
      </x:c>
      <x:c r="E447" s="2" t="str">
        <x:v>Electronics</x:v>
      </x:c>
      <x:c r="F447" s="2" t="str">
        <x:v>Headphones</x:v>
      </x:c>
      <x:c r="G447" s="2" t="str">
        <x:v>In-store</x:v>
      </x:c>
      <x:c r="H447" s="2" t="n">
        <x:v>1</x:v>
      </x:c>
      <x:c r="I447" s="2" t="n">
        <x:v>18000</x:v>
      </x:c>
      <x:c r="J447" s="2" t="n">
        <x:v>10500</x:v>
      </x:c>
      <x:c r="K447" s="2" t="n">
        <x:v>0.1</x:v>
      </x:c>
      <x:c r="L447" s="2" t="str">
        <x:v> COMPLETED </x:v>
      </x:c>
    </x:row>
    <x:row r="448" ht="21" customHeight="1">
      <x:c r="A448" s="2" t="n">
        <x:v>443</x:v>
      </x:c>
      <x:c r="B448" s="2" t="str">
        <x:v>TXN-00443</x:v>
      </x:c>
      <x:c r="C448" s="2" t="str">
        <x:v>2025-05-22</x:v>
      </x:c>
      <x:c r="D448" s="2" t="str">
        <x:v>Lagos</x:v>
      </x:c>
      <x:c r="E448" s="2" t="str">
        <x:v>Fashion</x:v>
      </x:c>
      <x:c r="F448" s="2" t="str">
        <x:v>Handbag</x:v>
      </x:c>
      <x:c r="G448" s="2" t="str">
        <x:v>Online</x:v>
      </x:c>
      <x:c r="H448" s="2" t="n">
        <x:v>3</x:v>
      </x:c>
      <x:c r="I448" s="2" t="n">
        <x:v>22000</x:v>
      </x:c>
      <x:c r="J448" s="2" t="n">
        <x:v>13500</x:v>
      </x:c>
      <x:c r="K448" s="2" t="n">
        <x:v>0.05</x:v>
      </x:c>
      <x:c r="L448" s="2" t="str">
        <x:v>Returned</x:v>
      </x:c>
    </x:row>
    <x:row r="449" ht="21" customHeight="1">
      <x:c r="A449" s="2" t="n">
        <x:v>444</x:v>
      </x:c>
      <x:c r="B449" s="2" t="str">
        <x:v>TXN-00444</x:v>
      </x:c>
      <x:c r="C449" s="2" t="str">
        <x:v>2025-05-25</x:v>
      </x:c>
      <x:c r="D449" s="2" t="str">
        <x:v>Abuja</x:v>
      </x:c>
      <x:c r="E449" s="2" t="str">
        <x:v>Beauty</x:v>
      </x:c>
      <x:c r="F449" s="2" t="str">
        <x:v>Moisturizer</x:v>
      </x:c>
      <x:c r="G449" s="2" t="str">
        <x:v>In-store</x:v>
      </x:c>
      <x:c r="H449" s="2" t="n">
        <x:v>3</x:v>
      </x:c>
      <x:c r="I449" s="2" t="n">
        <x:v>6500</x:v>
      </x:c>
      <x:c r="J449" s="2" t="n">
        <x:v>3500</x:v>
      </x:c>
      <x:c r="K449" s="2" t="n">
        <x:v>0</x:v>
      </x:c>
      <x:c r="L449" s="2" t="str">
        <x:v>Completed</x:v>
      </x:c>
    </x:row>
    <x:row r="450" ht="21" customHeight="1">
      <x:c r="A450" s="2" t="n">
        <x:v>445</x:v>
      </x:c>
      <x:c r="B450" s="2" t="str">
        <x:v>TXN-00445</x:v>
      </x:c>
      <x:c r="C450" s="2" t="str">
        <x:v>2025-05-09</x:v>
      </x:c>
      <x:c r="D450" s="2" t="str">
        <x:v>Abuja</x:v>
      </x:c>
      <x:c r="E450" s="2" t="str">
        <x:v>Home</x:v>
      </x:c>
      <x:c r="F450" s="2" t="str">
        <x:v>Cookware set</x:v>
      </x:c>
      <x:c r="G450" s="2" t="str">
        <x:v>Online</x:v>
      </x:c>
      <x:c r="H450" s="2" t="n">
        <x:v>2</x:v>
      </x:c>
      <x:c r="I450" s="2" t="n">
        <x:v>35000</x:v>
      </x:c>
      <x:c r="J450" s="2" t="n">
        <x:v>22500</x:v>
      </x:c>
      <x:c r="K450" s="2" t="n">
        <x:v>0</x:v>
      </x:c>
      <x:c r="L450" s="2" t="str">
        <x:v>Completed</x:v>
      </x:c>
    </x:row>
    <x:row r="451" ht="21" customHeight="1">
      <x:c r="A451" s="2" t="n">
        <x:v>446</x:v>
      </x:c>
      <x:c r="B451" s="2" t="str">
        <x:v>TXN-00446</x:v>
      </x:c>
      <x:c r="C451" s="2" t="str">
        <x:v>2025-05-16</x:v>
      </x:c>
      <x:c r="D451" s="2" t="str">
        <x:v>Port Harcourt</x:v>
      </x:c>
      <x:c r="E451" s="2" t="str">
        <x:v>Beauty</x:v>
      </x:c>
      <x:c r="F451" s="2" t="str">
        <x:v>Body wash</x:v>
      </x:c>
      <x:c r="G451" s="2" t="str">
        <x:v>Online</x:v>
      </x:c>
      <x:c r="H451" s="2" t="n">
        <x:v>1</x:v>
      </x:c>
      <x:c r="I451" s="2" t="n">
        <x:v>4500</x:v>
      </x:c>
      <x:c r="J451" s="2" t="n">
        <x:v>2300</x:v>
      </x:c>
      <x:c r="K451" s="2" t="str"/>
      <x:c r="L451" s="2" t="str">
        <x:v>Completed</x:v>
      </x:c>
    </x:row>
    <x:row r="452" ht="21" customHeight="1">
      <x:c r="A452" s="2" t="n">
        <x:v>447</x:v>
      </x:c>
      <x:c r="B452" s="2" t="str">
        <x:v>TXN-00447</x:v>
      </x:c>
      <x:c r="C452" s="2" t="str">
        <x:v>2025-05-27</x:v>
      </x:c>
      <x:c r="D452" s="2" t="str">
        <x:v>Abuja</x:v>
      </x:c>
      <x:c r="E452" s="2" t="str">
        <x:v>Electronics</x:v>
      </x:c>
      <x:c r="F452" s="2" t="str">
        <x:v>Headphones</x:v>
      </x:c>
      <x:c r="G452" s="2" t="str">
        <x:v>Online</x:v>
      </x:c>
      <x:c r="H452" s="2" t="n">
        <x:v>1</x:v>
      </x:c>
      <x:c r="I452" s="2" t="n">
        <x:v>18000</x:v>
      </x:c>
      <x:c r="J452" s="2" t="n">
        <x:v>10500</x:v>
      </x:c>
      <x:c r="K452" s="2" t="n">
        <x:v>0</x:v>
      </x:c>
      <x:c r="L452" s="2" t="str">
        <x:v>Completed</x:v>
      </x:c>
    </x:row>
    <x:row r="453" ht="21" customHeight="1">
      <x:c r="A453" s="2" t="n">
        <x:v>448</x:v>
      </x:c>
      <x:c r="B453" s="2" t="str">
        <x:v>TXN-00448</x:v>
      </x:c>
      <x:c r="C453" s="2" t="str">
        <x:v>2025-05-13</x:v>
      </x:c>
      <x:c r="D453" s="2" t="str">
        <x:v>Abuja</x:v>
      </x:c>
      <x:c r="E453" s="2" t="str">
        <x:v>Home</x:v>
      </x:c>
      <x:c r="F453" s="2" t="str">
        <x:v>Bedsheet</x:v>
      </x:c>
      <x:c r="G453" s="2" t="str">
        <x:v>Online</x:v>
      </x:c>
      <x:c r="H453" s="2" t="n">
        <x:v>1</x:v>
      </x:c>
      <x:c r="I453" s="2" t="n">
        <x:v>14000</x:v>
      </x:c>
      <x:c r="J453" s="2" t="n">
        <x:v>8500</x:v>
      </x:c>
      <x:c r="K453" s="2" t="n">
        <x:v>0</x:v>
      </x:c>
      <x:c r="L453" s="2" t="str">
        <x:v>Completed</x:v>
      </x:c>
    </x:row>
    <x:row r="454" ht="21" customHeight="1">
      <x:c r="A454" s="2" t="n">
        <x:v>449</x:v>
      </x:c>
      <x:c r="B454" s="2" t="str">
        <x:v>TXN-00449</x:v>
      </x:c>
      <x:c r="C454" s="2" t="str">
        <x:v>2025-05-03</x:v>
      </x:c>
      <x:c r="D454" s="2" t="str">
        <x:v> port harcourt </x:v>
      </x:c>
      <x:c r="E454" s="2" t="str">
        <x:v>Fashion</x:v>
      </x:c>
      <x:c r="F454" s="2" t="str">
        <x:v>Sneakers</x:v>
      </x:c>
      <x:c r="G454" s="2" t="str">
        <x:v>Online</x:v>
      </x:c>
      <x:c r="H454" s="2" t="n">
        <x:v>1</x:v>
      </x:c>
      <x:c r="I454" s="2" t="n">
        <x:v>28000</x:v>
      </x:c>
      <x:c r="J454" s="2" t="n">
        <x:v>17500</x:v>
      </x:c>
      <x:c r="K454" s="2" t="n">
        <x:v>0</x:v>
      </x:c>
      <x:c r="L454" s="2" t="str">
        <x:v>Completed</x:v>
      </x:c>
    </x:row>
    <x:row r="455" ht="21" customHeight="1">
      <x:c r="A455" s="2" t="n">
        <x:v>450</x:v>
      </x:c>
      <x:c r="B455" s="2" t="str">
        <x:v>TXN-00450</x:v>
      </x:c>
      <x:c r="C455" s="2" t="str">
        <x:v>2025-05-27</x:v>
      </x:c>
      <x:c r="D455" s="2" t="str">
        <x:v>Lagos</x:v>
      </x:c>
      <x:c r="E455" s="2" t="str">
        <x:v>Fashion</x:v>
      </x:c>
      <x:c r="F455" s="2" t="str">
        <x:v>Sneakers</x:v>
      </x:c>
      <x:c r="G455" s="2" t="str">
        <x:v>Online</x:v>
      </x:c>
      <x:c r="H455" s="2" t="n">
        <x:v>1</x:v>
      </x:c>
      <x:c r="I455" s="2" t="n">
        <x:v>28000</x:v>
      </x:c>
      <x:c r="J455" s="2" t="n">
        <x:v>17500</x:v>
      </x:c>
      <x:c r="K455" s="2" t="n">
        <x:v>0.05</x:v>
      </x:c>
      <x:c r="L455" s="2" t="str">
        <x:v>Completed</x:v>
      </x:c>
    </x:row>
    <x:row r="456" ht="21" customHeight="1">
      <x:c r="A456" s="2" t="n">
        <x:v>451</x:v>
      </x:c>
      <x:c r="B456" s="2" t="str">
        <x:v>TXN-00451</x:v>
      </x:c>
      <x:c r="C456" s="2" t="str">
        <x:v>2025-05-04</x:v>
      </x:c>
      <x:c r="D456" s="2" t="str"/>
      <x:c r="E456" s="2" t="str">
        <x:v>Electronics</x:v>
      </x:c>
      <x:c r="F456" s="2" t="str">
        <x:v>Headphones</x:v>
      </x:c>
      <x:c r="G456" s="2" t="str">
        <x:v>Online</x:v>
      </x:c>
      <x:c r="H456" s="2" t="n">
        <x:v>4</x:v>
      </x:c>
      <x:c r="I456" s="2" t="n">
        <x:v>18000</x:v>
      </x:c>
      <x:c r="J456" s="2" t="n">
        <x:v>10500</x:v>
      </x:c>
      <x:c r="K456" s="2" t="n">
        <x:v>0.05</x:v>
      </x:c>
      <x:c r="L456" s="2" t="str">
        <x:v> COMPLETED </x:v>
      </x:c>
    </x:row>
    <x:row r="457" ht="21" customHeight="1">
      <x:c r="A457" s="2" t="n">
        <x:v>452</x:v>
      </x:c>
      <x:c r="B457" s="2" t="str">
        <x:v>TXN-00452</x:v>
      </x:c>
      <x:c r="C457" s="2" t="str">
        <x:v>2025-05-19</x:v>
      </x:c>
      <x:c r="D457" s="2" t="str">
        <x:v>Lagos</x:v>
      </x:c>
      <x:c r="E457" s="2" t="str">
        <x:v>Home</x:v>
      </x:c>
      <x:c r="F457" s="2" t="str">
        <x:v>Cookware set</x:v>
      </x:c>
      <x:c r="G457" s="2" t="str">
        <x:v> in-store </x:v>
      </x:c>
      <x:c r="H457" s="2" t="n">
        <x:v>2</x:v>
      </x:c>
      <x:c r="I457" s="2" t="n">
        <x:v>35000</x:v>
      </x:c>
      <x:c r="J457" s="2" t="n">
        <x:v>22500</x:v>
      </x:c>
      <x:c r="K457" s="2" t="n">
        <x:v>0.1</x:v>
      </x:c>
      <x:c r="L457" s="2" t="str">
        <x:v>Completed</x:v>
      </x:c>
    </x:row>
    <x:row r="458" ht="21" customHeight="1">
      <x:c r="A458" s="2" t="n">
        <x:v>453</x:v>
      </x:c>
      <x:c r="B458" s="2" t="str">
        <x:v>TXN-00453</x:v>
      </x:c>
      <x:c r="C458" s="2" t="str">
        <x:v>2025-05-14</x:v>
      </x:c>
      <x:c r="D458" s="2" t="str">
        <x:v>Port Harcourt</x:v>
      </x:c>
      <x:c r="E458" s="2" t="str">
        <x:v>Electronics</x:v>
      </x:c>
      <x:c r="F458" s="2" t="str">
        <x:v>Power bank</x:v>
      </x:c>
      <x:c r="G458" s="2" t="str">
        <x:v>In-store</x:v>
      </x:c>
      <x:c r="H458" s="2" t="n">
        <x:v>1</x:v>
      </x:c>
      <x:c r="I458" s="2" t="n">
        <x:v>15000</x:v>
      </x:c>
      <x:c r="J458" s="2" t="n">
        <x:v>9500</x:v>
      </x:c>
      <x:c r="K458" s="2" t="n">
        <x:v>0.1</x:v>
      </x:c>
      <x:c r="L458" s="2" t="str">
        <x:v>Completed</x:v>
      </x:c>
    </x:row>
    <x:row r="459" ht="21" customHeight="1">
      <x:c r="A459" s="2" t="n">
        <x:v>454</x:v>
      </x:c>
      <x:c r="B459" s="2" t="str">
        <x:v>TXN-00454</x:v>
      </x:c>
      <x:c r="C459" s="2" t="str">
        <x:v>2025-05-08</x:v>
      </x:c>
      <x:c r="D459" s="2" t="str">
        <x:v>Port Harcourt</x:v>
      </x:c>
      <x:c r="E459" s="2" t="str">
        <x:v>Fashion</x:v>
      </x:c>
      <x:c r="F459" s="2" t="str">
        <x:v>Sneakers</x:v>
      </x:c>
      <x:c r="G459" s="2" t="str">
        <x:v>In-store</x:v>
      </x:c>
      <x:c r="H459" s="2" t="n">
        <x:v>1</x:v>
      </x:c>
      <x:c r="I459" s="2" t="n">
        <x:v>28000</x:v>
      </x:c>
      <x:c r="J459" s="2" t="n">
        <x:v>17500</x:v>
      </x:c>
      <x:c r="K459" s="2" t="n">
        <x:v>0.05</x:v>
      </x:c>
      <x:c r="L459" s="2" t="str">
        <x:v>Completed</x:v>
      </x:c>
    </x:row>
    <x:row r="460" ht="21" customHeight="1">
      <x:c r="A460" s="2" t="n">
        <x:v>455</x:v>
      </x:c>
      <x:c r="B460" s="2" t="str">
        <x:v>TXN-00455</x:v>
      </x:c>
      <x:c r="C460" s="2" t="str">
        <x:v>2025-05-26</x:v>
      </x:c>
      <x:c r="D460" s="2" t="str"/>
      <x:c r="E460" s="2" t="str">
        <x:v>Fashion</x:v>
      </x:c>
      <x:c r="F460" s="2" t="str">
        <x:v>Handbag</x:v>
      </x:c>
      <x:c r="G460" s="2" t="str">
        <x:v>In-store</x:v>
      </x:c>
      <x:c r="H460" s="2" t="n">
        <x:v>1</x:v>
      </x:c>
      <x:c r="I460" s="2" t="n">
        <x:v>22000</x:v>
      </x:c>
      <x:c r="J460" s="2" t="n">
        <x:v>13500</x:v>
      </x:c>
      <x:c r="K460" s="2" t="n">
        <x:v>0</x:v>
      </x:c>
      <x:c r="L460" s="2" t="str">
        <x:v>Completed</x:v>
      </x:c>
    </x:row>
    <x:row r="461" ht="21" customHeight="1">
      <x:c r="A461" s="2" t="n">
        <x:v>456</x:v>
      </x:c>
      <x:c r="B461" s="2" t="str">
        <x:v>TXN-00456</x:v>
      </x:c>
      <x:c r="C461" s="2" t="str">
        <x:v>2025-05-30</x:v>
      </x:c>
      <x:c r="D461" s="2" t="str">
        <x:v> lagos </x:v>
      </x:c>
      <x:c r="E461" s="2" t="str">
        <x:v>Beauty</x:v>
      </x:c>
      <x:c r="F461" s="2" t="str">
        <x:v>Body wash</x:v>
      </x:c>
      <x:c r="G461" s="2" t="str">
        <x:v>In-store</x:v>
      </x:c>
      <x:c r="H461" s="2" t="n">
        <x:v>1</x:v>
      </x:c>
      <x:c r="I461" s="2" t="n">
        <x:v>4500</x:v>
      </x:c>
      <x:c r="J461" s="2" t="n">
        <x:v>2300</x:v>
      </x:c>
      <x:c r="K461" s="2" t="n">
        <x:v>0</x:v>
      </x:c>
      <x:c r="L461" s="2" t="str">
        <x:v>Completed</x:v>
      </x:c>
    </x:row>
    <x:row r="462" ht="21" customHeight="1">
      <x:c r="A462" s="2" t="n">
        <x:v>457</x:v>
      </x:c>
      <x:c r="B462" s="2" t="str">
        <x:v>TXN-00457</x:v>
      </x:c>
      <x:c r="C462" s="2" t="str">
        <x:v>2025-05-28</x:v>
      </x:c>
      <x:c r="D462" s="2" t="str">
        <x:v>Lagos</x:v>
      </x:c>
      <x:c r="E462" s="2" t="str">
        <x:v>Home</x:v>
      </x:c>
      <x:c r="F462" s="2" t="str">
        <x:v>Desk lamp</x:v>
      </x:c>
      <x:c r="G462" s="2" t="str">
        <x:v>Online</x:v>
      </x:c>
      <x:c r="H462" s="2" t="n">
        <x:v>1</x:v>
      </x:c>
      <x:c r="I462" s="2" t="n">
        <x:v>12000</x:v>
      </x:c>
      <x:c r="J462" s="2" t="n">
        <x:v>7200</x:v>
      </x:c>
      <x:c r="K462" s="2" t="n">
        <x:v>0</x:v>
      </x:c>
      <x:c r="L462" s="2" t="str">
        <x:v>Completed</x:v>
      </x:c>
    </x:row>
    <x:row r="463" ht="21" customHeight="1">
      <x:c r="A463" s="2" t="n">
        <x:v>458</x:v>
      </x:c>
      <x:c r="B463" s="2" t="str">
        <x:v>TXN-00458</x:v>
      </x:c>
      <x:c r="C463" s="2" t="str">
        <x:v>2025-05-07</x:v>
      </x:c>
      <x:c r="D463" s="2" t="str">
        <x:v>Port Harcourt</x:v>
      </x:c>
      <x:c r="E463" s="2" t="str">
        <x:v>Home</x:v>
      </x:c>
      <x:c r="F463" s="2" t="str">
        <x:v>Cookware set</x:v>
      </x:c>
      <x:c r="G463" s="2" t="str">
        <x:v>Online</x:v>
      </x:c>
      <x:c r="H463" s="2" t="n">
        <x:v>2</x:v>
      </x:c>
      <x:c r="I463" s="2" t="n">
        <x:v>35000</x:v>
      </x:c>
      <x:c r="J463" s="2" t="n">
        <x:v>22500</x:v>
      </x:c>
      <x:c r="K463" s="2" t="n">
        <x:v>0.05</x:v>
      </x:c>
      <x:c r="L463" s="2" t="str">
        <x:v>Completed</x:v>
      </x:c>
    </x:row>
    <x:row r="464" ht="21" customHeight="1">
      <x:c r="A464" s="2" t="n">
        <x:v>459</x:v>
      </x:c>
      <x:c r="B464" s="2" t="str">
        <x:v>TXN-00459</x:v>
      </x:c>
      <x:c r="C464" s="2" t="str">
        <x:v>2025-05-19</x:v>
      </x:c>
      <x:c r="D464" s="2" t="str">
        <x:v>Abuja</x:v>
      </x:c>
      <x:c r="E464" s="2" t="str">
        <x:v>Beauty</x:v>
      </x:c>
      <x:c r="F464" s="2" t="str">
        <x:v>Body wash</x:v>
      </x:c>
      <x:c r="G464" s="2" t="str">
        <x:v>Online</x:v>
      </x:c>
      <x:c r="H464" s="2" t="n">
        <x:v>2</x:v>
      </x:c>
      <x:c r="I464" s="2" t="n">
        <x:v>4500</x:v>
      </x:c>
      <x:c r="J464" s="2" t="n">
        <x:v>2300</x:v>
      </x:c>
      <x:c r="K464" s="2" t="n">
        <x:v>0</x:v>
      </x:c>
      <x:c r="L464" s="2" t="str">
        <x:v>Completed</x:v>
      </x:c>
    </x:row>
    <x:row r="465" ht="21" customHeight="1">
      <x:c r="A465" s="2" t="n">
        <x:v>460</x:v>
      </x:c>
      <x:c r="B465" s="2" t="str">
        <x:v>TXN-00460</x:v>
      </x:c>
      <x:c r="C465" s="2" t="str">
        <x:v>2025-05-18</x:v>
      </x:c>
      <x:c r="D465" s="2" t="str">
        <x:v>Kano</x:v>
      </x:c>
      <x:c r="E465" s="2" t="str">
        <x:v>Home</x:v>
      </x:c>
      <x:c r="F465" s="2" t="str">
        <x:v>Bedsheet</x:v>
      </x:c>
      <x:c r="G465" s="2" t="str">
        <x:v>In-store</x:v>
      </x:c>
      <x:c r="H465" s="2" t="n">
        <x:v>1</x:v>
      </x:c>
      <x:c r="I465" s="2" t="n">
        <x:v>14000</x:v>
      </x:c>
      <x:c r="J465" s="2" t="n">
        <x:v>8500</x:v>
      </x:c>
      <x:c r="K465" s="2" t="n">
        <x:v>0.05</x:v>
      </x:c>
      <x:c r="L465" s="2" t="str">
        <x:v> COMPLETED </x:v>
      </x:c>
    </x:row>
    <x:row r="466" ht="21" customHeight="1">
      <x:c r="A466" s="2" t="n">
        <x:v>461</x:v>
      </x:c>
      <x:c r="B466" s="2" t="str">
        <x:v>TXN-00461</x:v>
      </x:c>
      <x:c r="C466" s="2" t="str">
        <x:v>2025-05-09</x:v>
      </x:c>
      <x:c r="D466" s="2" t="str">
        <x:v>Lagos</x:v>
      </x:c>
      <x:c r="E466" s="2" t="str">
        <x:v>Beauty</x:v>
      </x:c>
      <x:c r="F466" s="2" t="str">
        <x:v>Perfume</x:v>
      </x:c>
      <x:c r="G466" s="2" t="str">
        <x:v>In-store</x:v>
      </x:c>
      <x:c r="H466" s="2" t="n">
        <x:v>2</x:v>
      </x:c>
      <x:c r="I466" s="2" t="n">
        <x:v>17000</x:v>
      </x:c>
      <x:c r="J466" s="2" t="n">
        <x:v>9000</x:v>
      </x:c>
      <x:c r="K466" s="2" t="n">
        <x:v>0</x:v>
      </x:c>
      <x:c r="L466" s="2" t="str">
        <x:v>Completed</x:v>
      </x:c>
    </x:row>
    <x:row r="467" ht="21" customHeight="1">
      <x:c r="A467" s="2" t="n">
        <x:v>462</x:v>
      </x:c>
      <x:c r="B467" s="2" t="str">
        <x:v>TXN-00462</x:v>
      </x:c>
      <x:c r="C467" s="2" t="str">
        <x:v>2025-05-20</x:v>
      </x:c>
      <x:c r="D467" s="2" t="str">
        <x:v>Lagos</x:v>
      </x:c>
      <x:c r="E467" s="2" t="str">
        <x:v>Fashion</x:v>
      </x:c>
      <x:c r="F467" s="2" t="str">
        <x:v>Handbag</x:v>
      </x:c>
      <x:c r="G467" s="2" t="str">
        <x:v>Online</x:v>
      </x:c>
      <x:c r="H467" s="2" t="n">
        <x:v>2</x:v>
      </x:c>
      <x:c r="I467" s="2" t="n">
        <x:v>22000</x:v>
      </x:c>
      <x:c r="J467" s="2" t="n">
        <x:v>13500</x:v>
      </x:c>
      <x:c r="K467" s="2" t="n">
        <x:v>0</x:v>
      </x:c>
      <x:c r="L467" s="2" t="str">
        <x:v>Completed</x:v>
      </x:c>
    </x:row>
    <x:row r="468" ht="21" customHeight="1">
      <x:c r="A468" s="2" t="n">
        <x:v>463</x:v>
      </x:c>
      <x:c r="B468" s="2" t="str">
        <x:v>TXN-00463</x:v>
      </x:c>
      <x:c r="C468" s="2" t="str">
        <x:v>2025-05-22</x:v>
      </x:c>
      <x:c r="D468" s="2" t="str">
        <x:v> lagos </x:v>
      </x:c>
      <x:c r="E468" s="2" t="str">
        <x:v>Home</x:v>
      </x:c>
      <x:c r="F468" s="2" t="str">
        <x:v>Cookware set</x:v>
      </x:c>
      <x:c r="G468" s="2" t="str">
        <x:v> online </x:v>
      </x:c>
      <x:c r="H468" s="2" t="n">
        <x:v>1</x:v>
      </x:c>
      <x:c r="I468" s="2" t="n">
        <x:v>35000</x:v>
      </x:c>
      <x:c r="J468" s="2" t="n">
        <x:v>22500</x:v>
      </x:c>
      <x:c r="K468" s="2" t="n">
        <x:v>0</x:v>
      </x:c>
      <x:c r="L468" s="2" t="str">
        <x:v>Completed</x:v>
      </x:c>
    </x:row>
    <x:row r="469" ht="21" customHeight="1">
      <x:c r="A469" s="2" t="n">
        <x:v>464</x:v>
      </x:c>
      <x:c r="B469" s="2" t="str">
        <x:v>TXN-00464</x:v>
      </x:c>
      <x:c r="C469" s="2" t="str">
        <x:v>2025-05-18</x:v>
      </x:c>
      <x:c r="D469" s="2" t="str">
        <x:v>Lagos</x:v>
      </x:c>
      <x:c r="E469" s="2" t="str">
        <x:v>Electronics</x:v>
      </x:c>
      <x:c r="F469" s="2" t="str">
        <x:v>Power bank</x:v>
      </x:c>
      <x:c r="G469" s="2" t="str">
        <x:v>Online</x:v>
      </x:c>
      <x:c r="H469" s="2" t="n">
        <x:v>1</x:v>
      </x:c>
      <x:c r="I469" s="2" t="n">
        <x:v>15000</x:v>
      </x:c>
      <x:c r="J469" s="2" t="n">
        <x:v>9500</x:v>
      </x:c>
      <x:c r="K469" s="2" t="n">
        <x:v>0.05</x:v>
      </x:c>
      <x:c r="L469" s="2" t="str">
        <x:v>Returned</x:v>
      </x:c>
    </x:row>
    <x:row r="470" ht="21" customHeight="1">
      <x:c r="A470" s="2" t="n">
        <x:v>465</x:v>
      </x:c>
      <x:c r="B470" s="2" t="str">
        <x:v>TXN-00465</x:v>
      </x:c>
      <x:c r="C470" s="2" t="str">
        <x:v>2025-05-09</x:v>
      </x:c>
      <x:c r="D470" s="2" t="str">
        <x:v>Kano</x:v>
      </x:c>
      <x:c r="E470" s="2" t="str">
        <x:v>Beauty</x:v>
      </x:c>
      <x:c r="F470" s="2" t="str">
        <x:v>Perfume</x:v>
      </x:c>
      <x:c r="G470" s="2" t="str">
        <x:v>Online</x:v>
      </x:c>
      <x:c r="H470" s="2" t="n">
        <x:v>1</x:v>
      </x:c>
      <x:c r="I470" s="2" t="n">
        <x:v>17000</x:v>
      </x:c>
      <x:c r="J470" s="2" t="n">
        <x:v>9000</x:v>
      </x:c>
      <x:c r="K470" s="2" t="str"/>
      <x:c r="L470" s="2" t="str">
        <x:v>Completed</x:v>
      </x:c>
    </x:row>
    <x:row r="471" ht="21" customHeight="1">
      <x:c r="A471" s="2" t="n">
        <x:v>466</x:v>
      </x:c>
      <x:c r="B471" s="2" t="str">
        <x:v>TXN-00466</x:v>
      </x:c>
      <x:c r="C471" s="2" t="str">
        <x:v>2025-05-28</x:v>
      </x:c>
      <x:c r="D471" s="2" t="str">
        <x:v>Abuja</x:v>
      </x:c>
      <x:c r="E471" s="2" t="str">
        <x:v>Home</x:v>
      </x:c>
      <x:c r="F471" s="2" t="str">
        <x:v>Cookware set</x:v>
      </x:c>
      <x:c r="G471" s="2" t="str">
        <x:v>Online</x:v>
      </x:c>
      <x:c r="H471" s="2" t="n">
        <x:v>2</x:v>
      </x:c>
      <x:c r="I471" s="2" t="n">
        <x:v>35000</x:v>
      </x:c>
      <x:c r="J471" s="2" t="n">
        <x:v>22500</x:v>
      </x:c>
      <x:c r="K471" s="2" t="n">
        <x:v>0.1</x:v>
      </x:c>
      <x:c r="L471" s="2" t="str">
        <x:v>Completed</x:v>
      </x:c>
    </x:row>
    <x:row r="472" ht="21" customHeight="1">
      <x:c r="A472" s="2" t="n">
        <x:v>467</x:v>
      </x:c>
      <x:c r="B472" s="2" t="str">
        <x:v>TXN-00467</x:v>
      </x:c>
      <x:c r="C472" s="2" t="str">
        <x:v>2025-05-20</x:v>
      </x:c>
      <x:c r="D472" s="2" t="str">
        <x:v>Lagos</x:v>
      </x:c>
      <x:c r="E472" s="2" t="str">
        <x:v>Electronics</x:v>
      </x:c>
      <x:c r="F472" s="2" t="str">
        <x:v>Headphones</x:v>
      </x:c>
      <x:c r="G472" s="2" t="str">
        <x:v>In-store</x:v>
      </x:c>
      <x:c r="H472" s="2" t="n">
        <x:v>1</x:v>
      </x:c>
      <x:c r="I472" s="2" t="n">
        <x:v>18000</x:v>
      </x:c>
      <x:c r="J472" s="2" t="n">
        <x:v>10500</x:v>
      </x:c>
      <x:c r="K472" s="2" t="n">
        <x:v>0.1</x:v>
      </x:c>
      <x:c r="L472" s="2" t="str">
        <x:v>Completed</x:v>
      </x:c>
    </x:row>
    <x:row r="473" ht="21" customHeight="1">
      <x:c r="A473" s="2" t="n">
        <x:v>468</x:v>
      </x:c>
      <x:c r="B473" s="2" t="str">
        <x:v>TXN-00468</x:v>
      </x:c>
      <x:c r="C473" s="2" t="str">
        <x:v>2025-05-12</x:v>
      </x:c>
      <x:c r="D473" s="2" t="str">
        <x:v>Abuja</x:v>
      </x:c>
      <x:c r="E473" s="2" t="str">
        <x:v>Beauty</x:v>
      </x:c>
      <x:c r="F473" s="2" t="str">
        <x:v>Perfume</x:v>
      </x:c>
      <x:c r="G473" s="2" t="str">
        <x:v>Online</x:v>
      </x:c>
      <x:c r="H473" s="2" t="n">
        <x:v>3</x:v>
      </x:c>
      <x:c r="I473" s="2" t="n">
        <x:v>17000</x:v>
      </x:c>
      <x:c r="J473" s="2" t="n">
        <x:v>9000</x:v>
      </x:c>
      <x:c r="K473" s="2" t="n">
        <x:v>0.1</x:v>
      </x:c>
      <x:c r="L473" s="2" t="str">
        <x:v>Completed</x:v>
      </x:c>
    </x:row>
    <x:row r="474" ht="21" customHeight="1">
      <x:c r="A474" s="2" t="n">
        <x:v>469</x:v>
      </x:c>
      <x:c r="B474" s="2" t="str">
        <x:v>TXN-00469</x:v>
      </x:c>
      <x:c r="C474" s="2" t="str">
        <x:v>2025-05-07</x:v>
      </x:c>
      <x:c r="D474" s="2" t="str">
        <x:v>Abuja</x:v>
      </x:c>
      <x:c r="E474" s="2" t="str">
        <x:v>Fashion</x:v>
      </x:c>
      <x:c r="F474" s="2" t="str">
        <x:v>T-shirt</x:v>
      </x:c>
      <x:c r="G474" s="2" t="str">
        <x:v>Online</x:v>
      </x:c>
      <x:c r="H474" s="2" t="n">
        <x:v>2</x:v>
      </x:c>
      <x:c r="I474" s="2" t="n">
        <x:v>9000</x:v>
      </x:c>
      <x:c r="J474" s="2" t="n">
        <x:v>5000</x:v>
      </x:c>
      <x:c r="K474" s="2" t="n">
        <x:v>0.05</x:v>
      </x:c>
      <x:c r="L474" s="2" t="str">
        <x:v> COMPLETED </x:v>
      </x:c>
    </x:row>
    <x:row r="475" ht="21" customHeight="1">
      <x:c r="A475" s="2" t="n">
        <x:v>470</x:v>
      </x:c>
      <x:c r="B475" s="2" t="str">
        <x:v>TXN-00470</x:v>
      </x:c>
      <x:c r="C475" s="2" t="str">
        <x:v>2025-05-30</x:v>
      </x:c>
      <x:c r="D475" s="2" t="str">
        <x:v> port harcourt </x:v>
      </x:c>
      <x:c r="E475" s="2" t="str">
        <x:v>Home</x:v>
      </x:c>
      <x:c r="F475" s="2" t="str">
        <x:v>Desk lamp</x:v>
      </x:c>
      <x:c r="G475" s="2" t="str">
        <x:v>Online</x:v>
      </x:c>
      <x:c r="H475" s="2" t="n">
        <x:v>1</x:v>
      </x:c>
      <x:c r="I475" s="2" t="n">
        <x:v>12000</x:v>
      </x:c>
      <x:c r="J475" s="2" t="n">
        <x:v>7200</x:v>
      </x:c>
      <x:c r="K475" s="2" t="n">
        <x:v>0.1</x:v>
      </x:c>
      <x:c r="L475" s="2" t="str">
        <x:v>Completed</x:v>
      </x:c>
    </x:row>
    <x:row r="476" ht="21" customHeight="1">
      <x:c r="A476" s="2" t="n">
        <x:v>471</x:v>
      </x:c>
      <x:c r="B476" s="2" t="str">
        <x:v>TXN-00471</x:v>
      </x:c>
      <x:c r="C476" s="2" t="str">
        <x:v>2025-05-03</x:v>
      </x:c>
      <x:c r="D476" s="2" t="str">
        <x:v>Port Harcourt</x:v>
      </x:c>
      <x:c r="E476" s="2" t="str">
        <x:v>Electronics</x:v>
      </x:c>
      <x:c r="F476" s="2" t="str">
        <x:v>Bluetooth speaker</x:v>
      </x:c>
      <x:c r="G476" s="2" t="str">
        <x:v>In-store</x:v>
      </x:c>
      <x:c r="H476" s="2" t="n">
        <x:v>1</x:v>
      </x:c>
      <x:c r="I476" s="2" t="n">
        <x:v>26000</x:v>
      </x:c>
      <x:c r="J476" s="2" t="n">
        <x:v>17000</x:v>
      </x:c>
      <x:c r="K476" s="2" t="n">
        <x:v>0</x:v>
      </x:c>
      <x:c r="L476" s="2" t="str">
        <x:v>Completed</x:v>
      </x:c>
    </x:row>
    <x:row r="477" ht="21" customHeight="1">
      <x:c r="A477" s="2" t="n">
        <x:v>472</x:v>
      </x:c>
      <x:c r="B477" s="2" t="str">
        <x:v>TXN-00472</x:v>
      </x:c>
      <x:c r="C477" s="2" t="str">
        <x:v>2025-05-26</x:v>
      </x:c>
      <x:c r="D477" s="2" t="str">
        <x:v>Abuja</x:v>
      </x:c>
      <x:c r="E477" s="2" t="str">
        <x:v>Beauty</x:v>
      </x:c>
      <x:c r="F477" s="2" t="str">
        <x:v>Perfume</x:v>
      </x:c>
      <x:c r="G477" s="2" t="str">
        <x:v>Online</x:v>
      </x:c>
      <x:c r="H477" s="2" t="n">
        <x:v>1</x:v>
      </x:c>
      <x:c r="I477" s="2" t="n">
        <x:v>17000</x:v>
      </x:c>
      <x:c r="J477" s="2" t="n">
        <x:v>9000</x:v>
      </x:c>
      <x:c r="K477" s="2" t="n">
        <x:v>0</x:v>
      </x:c>
      <x:c r="L477" s="2" t="str">
        <x:v>Completed</x:v>
      </x:c>
    </x:row>
    <x:row r="478" ht="21" customHeight="1">
      <x:c r="A478" s="2" t="n">
        <x:v>473</x:v>
      </x:c>
      <x:c r="B478" s="2" t="str">
        <x:v>TXN-00473</x:v>
      </x:c>
      <x:c r="C478" s="2" t="str">
        <x:v>2025-05-31</x:v>
      </x:c>
      <x:c r="D478" s="2" t="str">
        <x:v>Port Harcourt</x:v>
      </x:c>
      <x:c r="E478" s="2" t="str">
        <x:v>Home</x:v>
      </x:c>
      <x:c r="F478" s="2" t="str">
        <x:v>Cookware set</x:v>
      </x:c>
      <x:c r="G478" s="2" t="str">
        <x:v>Online</x:v>
      </x:c>
      <x:c r="H478" s="2" t="n">
        <x:v>1</x:v>
      </x:c>
      <x:c r="I478" s="2" t="n">
        <x:v>35000</x:v>
      </x:c>
      <x:c r="J478" s="2" t="n">
        <x:v>22500</x:v>
      </x:c>
      <x:c r="K478" s="2" t="n">
        <x:v>0.05</x:v>
      </x:c>
      <x:c r="L478" s="2" t="str">
        <x:v>Completed</x:v>
      </x:c>
    </x:row>
    <x:row r="479" ht="21" customHeight="1">
      <x:c r="A479" s="2" t="n">
        <x:v>474</x:v>
      </x:c>
      <x:c r="B479" s="2" t="str">
        <x:v>TXN-00474</x:v>
      </x:c>
      <x:c r="C479" s="2" t="str">
        <x:v>2025-05-02</x:v>
      </x:c>
      <x:c r="D479" s="2" t="str">
        <x:v>Lagos</x:v>
      </x:c>
      <x:c r="E479" s="2" t="str">
        <x:v>Fashion</x:v>
      </x:c>
      <x:c r="F479" s="2" t="str">
        <x:v>T-shirt</x:v>
      </x:c>
      <x:c r="G479" s="2" t="str">
        <x:v> online </x:v>
      </x:c>
      <x:c r="H479" s="2" t="n">
        <x:v>1</x:v>
      </x:c>
      <x:c r="I479" s="2" t="n">
        <x:v>9000</x:v>
      </x:c>
      <x:c r="J479" s="2" t="n">
        <x:v>5000</x:v>
      </x:c>
      <x:c r="K479" s="2" t="n">
        <x:v>0.1</x:v>
      </x:c>
      <x:c r="L479" s="2" t="str">
        <x:v>Completed</x:v>
      </x:c>
    </x:row>
    <x:row r="480" ht="21" customHeight="1">
      <x:c r="A480" s="2" t="n">
        <x:v>475</x:v>
      </x:c>
      <x:c r="B480" s="2" t="str">
        <x:v>TXN-00475</x:v>
      </x:c>
      <x:c r="C480" s="2" t="str">
        <x:v>2025-05-15</x:v>
      </x:c>
      <x:c r="D480" s="2" t="str">
        <x:v>Lagos</x:v>
      </x:c>
      <x:c r="E480" s="2" t="str">
        <x:v>Electronics</x:v>
      </x:c>
      <x:c r="F480" s="2" t="str">
        <x:v>Power bank</x:v>
      </x:c>
      <x:c r="G480" s="2" t="str">
        <x:v>Online</x:v>
      </x:c>
      <x:c r="H480" s="2" t="n">
        <x:v>1</x:v>
      </x:c>
      <x:c r="I480" s="2" t="n">
        <x:v>15000</x:v>
      </x:c>
      <x:c r="J480" s="2" t="n">
        <x:v>9500</x:v>
      </x:c>
      <x:c r="K480" s="2" t="n">
        <x:v>0</x:v>
      </x:c>
      <x:c r="L480" s="2" t="str">
        <x:v>Completed</x:v>
      </x:c>
    </x:row>
    <x:row r="481" ht="21" customHeight="1">
      <x:c r="A481" s="2" t="n">
        <x:v>476</x:v>
      </x:c>
      <x:c r="B481" s="2" t="str">
        <x:v>TXN-00476</x:v>
      </x:c>
      <x:c r="C481" s="2" t="str">
        <x:v>2025-05-19</x:v>
      </x:c>
      <x:c r="D481" s="2" t="str">
        <x:v>Abuja</x:v>
      </x:c>
      <x:c r="E481" s="2" t="str">
        <x:v>Beauty</x:v>
      </x:c>
      <x:c r="F481" s="2" t="str">
        <x:v>Perfume</x:v>
      </x:c>
      <x:c r="G481" s="2" t="str">
        <x:v>In-store</x:v>
      </x:c>
      <x:c r="H481" s="2" t="n">
        <x:v>1</x:v>
      </x:c>
      <x:c r="I481" s="2" t="n">
        <x:v>17000</x:v>
      </x:c>
      <x:c r="J481" s="2" t="n">
        <x:v>9000</x:v>
      </x:c>
      <x:c r="K481" s="2" t="n">
        <x:v>0</x:v>
      </x:c>
      <x:c r="L481" s="2" t="str">
        <x:v>Completed</x:v>
      </x:c>
    </x:row>
    <x:row r="482" ht="21" customHeight="1">
      <x:c r="A482" s="2" t="n">
        <x:v>477</x:v>
      </x:c>
      <x:c r="B482" s="2" t="str">
        <x:v>TXN-00477</x:v>
      </x:c>
      <x:c r="C482" s="2" t="str">
        <x:v>2025-05-20</x:v>
      </x:c>
      <x:c r="D482" s="2" t="str">
        <x:v> lagos </x:v>
      </x:c>
      <x:c r="E482" s="2" t="str">
        <x:v>Beauty</x:v>
      </x:c>
      <x:c r="F482" s="2" t="str">
        <x:v>Moisturizer</x:v>
      </x:c>
      <x:c r="G482" s="2" t="str">
        <x:v>Online</x:v>
      </x:c>
      <x:c r="H482" s="2" t="n">
        <x:v>1</x:v>
      </x:c>
      <x:c r="I482" s="2" t="n">
        <x:v>6500</x:v>
      </x:c>
      <x:c r="J482" s="2" t="n">
        <x:v>3500</x:v>
      </x:c>
      <x:c r="K482" s="2" t="n">
        <x:v>0.05</x:v>
      </x:c>
      <x:c r="L482" s="2" t="str">
        <x:v>Completed</x:v>
      </x:c>
    </x:row>
    <x:row r="483" ht="21" customHeight="1">
      <x:c r="A483" s="2" t="n">
        <x:v>478</x:v>
      </x:c>
      <x:c r="B483" s="2" t="str">
        <x:v>TXN-00478</x:v>
      </x:c>
      <x:c r="C483" s="2" t="str">
        <x:v>2025-05-05</x:v>
      </x:c>
      <x:c r="D483" s="2" t="str">
        <x:v>Port Harcourt</x:v>
      </x:c>
      <x:c r="E483" s="2" t="str">
        <x:v>Fashion</x:v>
      </x:c>
      <x:c r="F483" s="2" t="str">
        <x:v>Handbag</x:v>
      </x:c>
      <x:c r="G483" s="2" t="str">
        <x:v>In-store</x:v>
      </x:c>
      <x:c r="H483" s="2" t="n">
        <x:v>1</x:v>
      </x:c>
      <x:c r="I483" s="2" t="n">
        <x:v>22000</x:v>
      </x:c>
      <x:c r="J483" s="2" t="n">
        <x:v>13500</x:v>
      </x:c>
      <x:c r="K483" s="2" t="n">
        <x:v>0.15</x:v>
      </x:c>
      <x:c r="L483" s="2" t="str">
        <x:v> COMPLETED </x:v>
      </x:c>
    </x:row>
    <x:row r="484" ht="21" customHeight="1">
      <x:c r="A484" s="2" t="n">
        <x:v>479</x:v>
      </x:c>
      <x:c r="B484" s="2" t="str">
        <x:v>TXN-00479</x:v>
      </x:c>
      <x:c r="C484" s="2" t="str">
        <x:v>2025-05-14</x:v>
      </x:c>
      <x:c r="D484" s="2" t="str">
        <x:v>Lagos</x:v>
      </x:c>
      <x:c r="E484" s="2" t="str">
        <x:v>Fashion</x:v>
      </x:c>
      <x:c r="F484" s="2" t="str">
        <x:v>T-shirt</x:v>
      </x:c>
      <x:c r="G484" s="2" t="str">
        <x:v>Online</x:v>
      </x:c>
      <x:c r="H484" s="2" t="n">
        <x:v>4</x:v>
      </x:c>
      <x:c r="I484" s="2" t="n">
        <x:v>9000</x:v>
      </x:c>
      <x:c r="J484" s="2" t="n">
        <x:v>5000</x:v>
      </x:c>
      <x:c r="K484" s="2" t="n">
        <x:v>0</x:v>
      </x:c>
      <x:c r="L484" s="2" t="str">
        <x:v>Completed</x:v>
      </x:c>
    </x:row>
    <x:row r="485" ht="21" customHeight="1">
      <x:c r="A485" s="2" t="n">
        <x:v>480</x:v>
      </x:c>
      <x:c r="B485" s="2" t="str">
        <x:v>TXN-00480</x:v>
      </x:c>
      <x:c r="C485" s="2" t="str">
        <x:v>2025-05-14</x:v>
      </x:c>
      <x:c r="D485" s="2" t="str">
        <x:v>Lagos</x:v>
      </x:c>
      <x:c r="E485" s="2" t="str">
        <x:v>Fashion</x:v>
      </x:c>
      <x:c r="F485" s="2" t="str">
        <x:v>Sneakers</x:v>
      </x:c>
      <x:c r="G485" s="2" t="str">
        <x:v>Online</x:v>
      </x:c>
      <x:c r="H485" s="2" t="n">
        <x:v>1</x:v>
      </x:c>
      <x:c r="I485" s="2" t="n">
        <x:v>28000</x:v>
      </x:c>
      <x:c r="J485" s="2" t="n">
        <x:v>17500</x:v>
      </x:c>
      <x:c r="K485" s="2" t="n">
        <x:v>0</x:v>
      </x:c>
      <x:c r="L485" s="2" t="str">
        <x:v>Completed</x:v>
      </x:c>
    </x:row>
    <x:row r="486" ht="21" customHeight="1">
      <x:c r="A486" s="2" t="n">
        <x:v>481</x:v>
      </x:c>
      <x:c r="B486" s="2" t="str">
        <x:v>TXN-00481</x:v>
      </x:c>
      <x:c r="C486" s="2" t="str">
        <x:v>2025-05-28</x:v>
      </x:c>
      <x:c r="D486" s="2" t="str">
        <x:v>Lagos</x:v>
      </x:c>
      <x:c r="E486" s="2" t="str">
        <x:v>Home</x:v>
      </x:c>
      <x:c r="F486" s="2" t="str">
        <x:v>Desk lamp</x:v>
      </x:c>
      <x:c r="G486" s="2" t="str">
        <x:v>Online</x:v>
      </x:c>
      <x:c r="H486" s="2" t="n">
        <x:v>1</x:v>
      </x:c>
      <x:c r="I486" s="2" t="n">
        <x:v>12000</x:v>
      </x:c>
      <x:c r="J486" s="2" t="n">
        <x:v>7200</x:v>
      </x:c>
      <x:c r="K486" s="2" t="n">
        <x:v>0.05</x:v>
      </x:c>
      <x:c r="L486" s="2" t="str">
        <x:v>Completed</x:v>
      </x:c>
    </x:row>
    <x:row r="487" ht="21" customHeight="1">
      <x:c r="A487" s="2" t="n">
        <x:v>482</x:v>
      </x:c>
      <x:c r="B487" s="2" t="str">
        <x:v>TXN-00482</x:v>
      </x:c>
      <x:c r="C487" s="2" t="str">
        <x:v>2025-05-11</x:v>
      </x:c>
      <x:c r="D487" s="2" t="str">
        <x:v>Lagos</x:v>
      </x:c>
      <x:c r="E487" s="2" t="str">
        <x:v>Electronics</x:v>
      </x:c>
      <x:c r="F487" s="2" t="str">
        <x:v>Bluetooth speaker</x:v>
      </x:c>
      <x:c r="G487" s="2" t="str">
        <x:v>In-store</x:v>
      </x:c>
      <x:c r="H487" s="2" t="n">
        <x:v>3</x:v>
      </x:c>
      <x:c r="I487" s="2" t="n">
        <x:v>26000</x:v>
      </x:c>
      <x:c r="J487" s="2" t="n">
        <x:v>17000</x:v>
      </x:c>
      <x:c r="K487" s="2" t="n">
        <x:v>0</x:v>
      </x:c>
      <x:c r="L487" s="2" t="str">
        <x:v>Completed</x:v>
      </x:c>
    </x:row>
    <x:row r="488" ht="21" customHeight="1">
      <x:c r="A488" s="2" t="n">
        <x:v>483</x:v>
      </x:c>
      <x:c r="B488" s="2" t="str">
        <x:v>TXN-00483</x:v>
      </x:c>
      <x:c r="C488" s="2" t="str">
        <x:v>2025-05-02</x:v>
      </x:c>
      <x:c r="D488" s="2" t="str">
        <x:v>Lagos</x:v>
      </x:c>
      <x:c r="E488" s="2" t="str">
        <x:v>Beauty</x:v>
      </x:c>
      <x:c r="F488" s="2" t="str">
        <x:v>Moisturizer</x:v>
      </x:c>
      <x:c r="G488" s="2" t="str">
        <x:v>In-store</x:v>
      </x:c>
      <x:c r="H488" s="2" t="n">
        <x:v>2</x:v>
      </x:c>
      <x:c r="I488" s="2" t="n">
        <x:v>6500</x:v>
      </x:c>
      <x:c r="J488" s="2" t="n">
        <x:v>3500</x:v>
      </x:c>
      <x:c r="K488" s="2" t="n">
        <x:v>0.1</x:v>
      </x:c>
      <x:c r="L488" s="2" t="str">
        <x:v>Completed</x:v>
      </x:c>
    </x:row>
    <x:row r="489" ht="21" customHeight="1">
      <x:c r="A489" s="2" t="n">
        <x:v>484</x:v>
      </x:c>
      <x:c r="B489" s="2" t="str">
        <x:v>TXN-00484</x:v>
      </x:c>
      <x:c r="C489" s="2" t="str">
        <x:v>2025-05-21</x:v>
      </x:c>
      <x:c r="D489" s="2" t="str">
        <x:v> abuja </x:v>
      </x:c>
      <x:c r="E489" s="2" t="str">
        <x:v>Electronics</x:v>
      </x:c>
      <x:c r="F489" s="2" t="str">
        <x:v>Headphones</x:v>
      </x:c>
      <x:c r="G489" s="2" t="str">
        <x:v>In-store</x:v>
      </x:c>
      <x:c r="H489" s="2" t="n">
        <x:v>2</x:v>
      </x:c>
      <x:c r="I489" s="2" t="n">
        <x:v>18000</x:v>
      </x:c>
      <x:c r="J489" s="2" t="n">
        <x:v>10500</x:v>
      </x:c>
      <x:c r="K489" s="2" t="n">
        <x:v>0.05</x:v>
      </x:c>
      <x:c r="L489" s="2" t="str">
        <x:v>Completed</x:v>
      </x:c>
    </x:row>
    <x:row r="490" ht="21" customHeight="1">
      <x:c r="A490" s="2" t="n">
        <x:v>485</x:v>
      </x:c>
      <x:c r="B490" s="2" t="str">
        <x:v>TXN-00485</x:v>
      </x:c>
      <x:c r="C490" s="2" t="str">
        <x:v>2025-05-27</x:v>
      </x:c>
      <x:c r="D490" s="2" t="str">
        <x:v>Abuja</x:v>
      </x:c>
      <x:c r="E490" s="2" t="str">
        <x:v>Electronics</x:v>
      </x:c>
      <x:c r="F490" s="2" t="str">
        <x:v>Power bank</x:v>
      </x:c>
      <x:c r="G490" s="2" t="str">
        <x:v> in-store </x:v>
      </x:c>
      <x:c r="H490" s="2" t="n">
        <x:v>2</x:v>
      </x:c>
      <x:c r="I490" s="2" t="n">
        <x:v>15000</x:v>
      </x:c>
      <x:c r="J490" s="2" t="n">
        <x:v>9500</x:v>
      </x:c>
      <x:c r="K490" s="2" t="n">
        <x:v>0.1</x:v>
      </x:c>
      <x:c r="L490" s="2" t="str">
        <x:v>Completed</x:v>
      </x:c>
    </x:row>
    <x:row r="491" ht="21" customHeight="1">
      <x:c r="A491" s="2" t="n">
        <x:v>486</x:v>
      </x:c>
      <x:c r="B491" s="2" t="str">
        <x:v>TXN-00486</x:v>
      </x:c>
      <x:c r="C491" s="2" t="str">
        <x:v>2025-05-01</x:v>
      </x:c>
      <x:c r="D491" s="2" t="str">
        <x:v>Abuja</x:v>
      </x:c>
      <x:c r="E491" s="2" t="str">
        <x:v>Beauty</x:v>
      </x:c>
      <x:c r="F491" s="2" t="str">
        <x:v>Body wash</x:v>
      </x:c>
      <x:c r="G491" s="2" t="str">
        <x:v>In-store</x:v>
      </x:c>
      <x:c r="H491" s="2" t="n">
        <x:v>3</x:v>
      </x:c>
      <x:c r="I491" s="2" t="n">
        <x:v>4500</x:v>
      </x:c>
      <x:c r="J491" s="2" t="n">
        <x:v>2300</x:v>
      </x:c>
      <x:c r="K491" s="2" t="n">
        <x:v>0</x:v>
      </x:c>
      <x:c r="L491" s="2" t="str">
        <x:v>Completed</x:v>
      </x:c>
    </x:row>
    <x:row r="492" ht="21" customHeight="1">
      <x:c r="A492" s="2" t="n">
        <x:v>487</x:v>
      </x:c>
      <x:c r="B492" s="2" t="str">
        <x:v>TXN-00487</x:v>
      </x:c>
      <x:c r="C492" s="2" t="str">
        <x:v>2025-05-16</x:v>
      </x:c>
      <x:c r="D492" s="2" t="str">
        <x:v>Port Harcourt</x:v>
      </x:c>
      <x:c r="E492" s="2" t="str">
        <x:v>Beauty</x:v>
      </x:c>
      <x:c r="F492" s="2" t="str">
        <x:v>Body wash</x:v>
      </x:c>
      <x:c r="G492" s="2" t="str">
        <x:v>In-store</x:v>
      </x:c>
      <x:c r="H492" s="2" t="n">
        <x:v>1</x:v>
      </x:c>
      <x:c r="I492" s="2" t="n">
        <x:v>4500</x:v>
      </x:c>
      <x:c r="J492" s="2" t="n">
        <x:v>2300</x:v>
      </x:c>
      <x:c r="K492" s="2" t="n">
        <x:v>0</x:v>
      </x:c>
      <x:c r="L492" s="2" t="str">
        <x:v> COMPLETED </x:v>
      </x:c>
    </x:row>
    <x:row r="493" ht="21" customHeight="1">
      <x:c r="A493" s="2" t="n">
        <x:v>488</x:v>
      </x:c>
      <x:c r="B493" s="2" t="str">
        <x:v>TXN-00488</x:v>
      </x:c>
      <x:c r="C493" s="2" t="str">
        <x:v>2025-05-31</x:v>
      </x:c>
      <x:c r="D493" s="2" t="str">
        <x:v>Lagos</x:v>
      </x:c>
      <x:c r="E493" s="2" t="str">
        <x:v>Home</x:v>
      </x:c>
      <x:c r="F493" s="2" t="str">
        <x:v>Bedsheet</x:v>
      </x:c>
      <x:c r="G493" s="2" t="str">
        <x:v>Online</x:v>
      </x:c>
      <x:c r="H493" s="2" t="n">
        <x:v>1</x:v>
      </x:c>
      <x:c r="I493" s="2" t="n">
        <x:v>14000</x:v>
      </x:c>
      <x:c r="J493" s="2" t="n">
        <x:v>8500</x:v>
      </x:c>
      <x:c r="K493" s="2" t="n">
        <x:v>0.1</x:v>
      </x:c>
      <x:c r="L493" s="2" t="str">
        <x:v>Completed</x:v>
      </x:c>
    </x:row>
    <x:row r="494" ht="21" customHeight="1">
      <x:c r="A494" s="2" t="n">
        <x:v>489</x:v>
      </x:c>
      <x:c r="B494" s="2" t="str">
        <x:v>TXN-00489</x:v>
      </x:c>
      <x:c r="C494" s="2" t="str">
        <x:v>2025-05-15</x:v>
      </x:c>
      <x:c r="D494" s="2" t="str">
        <x:v>Abuja</x:v>
      </x:c>
      <x:c r="E494" s="2" t="str">
        <x:v>Beauty</x:v>
      </x:c>
      <x:c r="F494" s="2" t="str">
        <x:v>Moisturizer</x:v>
      </x:c>
      <x:c r="G494" s="2" t="str">
        <x:v>Online</x:v>
      </x:c>
      <x:c r="H494" s="2" t="n">
        <x:v>1</x:v>
      </x:c>
      <x:c r="I494" s="2" t="n">
        <x:v>6500</x:v>
      </x:c>
      <x:c r="J494" s="2" t="n">
        <x:v>3500</x:v>
      </x:c>
      <x:c r="K494" s="2" t="n">
        <x:v>0</x:v>
      </x:c>
      <x:c r="L494" s="2" t="str">
        <x:v>Completed</x:v>
      </x:c>
    </x:row>
    <x:row r="495" ht="21" customHeight="1">
      <x:c r="A495" s="2" t="n">
        <x:v>490</x:v>
      </x:c>
      <x:c r="B495" s="2" t="str">
        <x:v>TXN-00490</x:v>
      </x:c>
      <x:c r="C495" s="2" t="str">
        <x:v>2025-05-14</x:v>
      </x:c>
      <x:c r="D495" s="2" t="str">
        <x:v>Port Harcourt</x:v>
      </x:c>
      <x:c r="E495" s="2" t="str">
        <x:v>Fashion</x:v>
      </x:c>
      <x:c r="F495" s="2" t="str">
        <x:v>Sneakers</x:v>
      </x:c>
      <x:c r="G495" s="2" t="str">
        <x:v>Online</x:v>
      </x:c>
      <x:c r="H495" s="2" t="n">
        <x:v>1</x:v>
      </x:c>
      <x:c r="I495" s="2" t="n">
        <x:v>28000</x:v>
      </x:c>
      <x:c r="J495" s="2" t="n">
        <x:v>17500</x:v>
      </x:c>
      <x:c r="K495" s="2" t="n">
        <x:v>0.1</x:v>
      </x:c>
      <x:c r="L495" s="2" t="str">
        <x:v>Completed</x:v>
      </x:c>
    </x:row>
    <x:row r="496" ht="21" customHeight="1">
      <x:c r="A496" s="2" t="n">
        <x:v>491</x:v>
      </x:c>
      <x:c r="B496" s="2" t="str">
        <x:v>TXN-00491</x:v>
      </x:c>
      <x:c r="C496" s="2" t="str">
        <x:v>2025-05-04</x:v>
      </x:c>
      <x:c r="D496" s="2" t="str">
        <x:v> lagos </x:v>
      </x:c>
      <x:c r="E496" s="2" t="str">
        <x:v>Home</x:v>
      </x:c>
      <x:c r="F496" s="2" t="str">
        <x:v>Desk lamp</x:v>
      </x:c>
      <x:c r="G496" s="2" t="str">
        <x:v>Online</x:v>
      </x:c>
      <x:c r="H496" s="2" t="n">
        <x:v>2</x:v>
      </x:c>
      <x:c r="I496" s="2" t="n">
        <x:v>12000</x:v>
      </x:c>
      <x:c r="J496" s="2" t="n">
        <x:v>7200</x:v>
      </x:c>
      <x:c r="K496" s="2" t="n">
        <x:v>0</x:v>
      </x:c>
      <x:c r="L496" s="2" t="str">
        <x:v>Completed</x:v>
      </x:c>
    </x:row>
    <x:row r="497" ht="21" customHeight="1">
      <x:c r="A497" s="2" t="n">
        <x:v>492</x:v>
      </x:c>
      <x:c r="B497" s="2" t="str">
        <x:v>TXN-00492</x:v>
      </x:c>
      <x:c r="C497" s="2" t="str">
        <x:v>2025-05-13</x:v>
      </x:c>
      <x:c r="D497" s="2" t="str">
        <x:v>Lagos</x:v>
      </x:c>
      <x:c r="E497" s="2" t="str">
        <x:v>Electronics</x:v>
      </x:c>
      <x:c r="F497" s="2" t="str">
        <x:v>Power bank</x:v>
      </x:c>
      <x:c r="G497" s="2" t="str">
        <x:v>In-store</x:v>
      </x:c>
      <x:c r="H497" s="2" t="n">
        <x:v>2</x:v>
      </x:c>
      <x:c r="I497" s="2" t="n">
        <x:v>15000</x:v>
      </x:c>
      <x:c r="J497" s="2" t="n">
        <x:v>9500</x:v>
      </x:c>
      <x:c r="K497" s="2" t="n">
        <x:v>0.05</x:v>
      </x:c>
      <x:c r="L497" s="2" t="str">
        <x:v>Completed</x:v>
      </x:c>
    </x:row>
    <x:row r="498" ht="21" customHeight="1">
      <x:c r="A498" s="2" t="n">
        <x:v>493</x:v>
      </x:c>
      <x:c r="B498" s="2" t="str">
        <x:v>TXN-00493</x:v>
      </x:c>
      <x:c r="C498" s="2" t="str">
        <x:v>2025-05-04</x:v>
      </x:c>
      <x:c r="D498" s="2" t="str">
        <x:v>Lagos</x:v>
      </x:c>
      <x:c r="E498" s="2" t="str">
        <x:v>Electronics</x:v>
      </x:c>
      <x:c r="F498" s="2" t="str">
        <x:v>Power bank</x:v>
      </x:c>
      <x:c r="G498" s="2" t="str">
        <x:v>Online</x:v>
      </x:c>
      <x:c r="H498" s="2" t="n">
        <x:v>1</x:v>
      </x:c>
      <x:c r="I498" s="2" t="n">
        <x:v>15000</x:v>
      </x:c>
      <x:c r="J498" s="2" t="n">
        <x:v>9500</x:v>
      </x:c>
      <x:c r="K498" s="2" t="n">
        <x:v>0.05</x:v>
      </x:c>
      <x:c r="L498" s="2" t="str">
        <x:v>Completed</x:v>
      </x:c>
    </x:row>
    <x:row r="499" ht="21" customHeight="1">
      <x:c r="A499" s="2" t="n">
        <x:v>494</x:v>
      </x:c>
      <x:c r="B499" s="2" t="str">
        <x:v>TXN-00494</x:v>
      </x:c>
      <x:c r="C499" s="2" t="str">
        <x:v>2025-05-18</x:v>
      </x:c>
      <x:c r="D499" s="2" t="str">
        <x:v>Lagos</x:v>
      </x:c>
      <x:c r="E499" s="2" t="str">
        <x:v>Home</x:v>
      </x:c>
      <x:c r="F499" s="2" t="str">
        <x:v>Bedsheet</x:v>
      </x:c>
      <x:c r="G499" s="2" t="str">
        <x:v>In-store</x:v>
      </x:c>
      <x:c r="H499" s="2" t="n">
        <x:v>1</x:v>
      </x:c>
      <x:c r="I499" s="2" t="n">
        <x:v>14000</x:v>
      </x:c>
      <x:c r="J499" s="2" t="n">
        <x:v>8500</x:v>
      </x:c>
      <x:c r="K499" s="2" t="n">
        <x:v>0</x:v>
      </x:c>
      <x:c r="L499" s="2" t="str">
        <x:v>Returned</x:v>
      </x:c>
    </x:row>
    <x:row r="500" ht="21" customHeight="1">
      <x:c r="A500" s="2" t="n">
        <x:v>495</x:v>
      </x:c>
      <x:c r="B500" s="2" t="str">
        <x:v>TXN-00495</x:v>
      </x:c>
      <x:c r="C500" s="2" t="str">
        <x:v>2025-05-14</x:v>
      </x:c>
      <x:c r="D500" s="2" t="str">
        <x:v>Lagos</x:v>
      </x:c>
      <x:c r="E500" s="2" t="str">
        <x:v>Electronics</x:v>
      </x:c>
      <x:c r="F500" s="2" t="str">
        <x:v>Headphones</x:v>
      </x:c>
      <x:c r="G500" s="2" t="str">
        <x:v>In-store</x:v>
      </x:c>
      <x:c r="H500" s="2" t="n">
        <x:v>2</x:v>
      </x:c>
      <x:c r="I500" s="2" t="n">
        <x:v>18000</x:v>
      </x:c>
      <x:c r="J500" s="2" t="n">
        <x:v>10500</x:v>
      </x:c>
      <x:c r="K500" s="2" t="n">
        <x:v>0</x:v>
      </x:c>
      <x:c r="L500" s="2" t="str">
        <x:v>Completed</x:v>
      </x:c>
    </x:row>
    <x:row r="501" ht="21" customHeight="1">
      <x:c r="A501" s="2" t="n">
        <x:v>496</x:v>
      </x:c>
      <x:c r="B501" s="2" t="str">
        <x:v>TXN-00496</x:v>
      </x:c>
      <x:c r="C501" s="2" t="str">
        <x:v>2025-05-18</x:v>
      </x:c>
      <x:c r="D501" s="2" t="str">
        <x:v>Abuja</x:v>
      </x:c>
      <x:c r="E501" s="2" t="str">
        <x:v>Home</x:v>
      </x:c>
      <x:c r="F501" s="2" t="str">
        <x:v>Bedsheet</x:v>
      </x:c>
      <x:c r="G501" s="2" t="str">
        <x:v> online </x:v>
      </x:c>
      <x:c r="H501" s="2" t="n">
        <x:v>4</x:v>
      </x:c>
      <x:c r="I501" s="2" t="n">
        <x:v>14000</x:v>
      </x:c>
      <x:c r="J501" s="2" t="n">
        <x:v>8500</x:v>
      </x:c>
      <x:c r="K501" s="2" t="n">
        <x:v>0</x:v>
      </x:c>
      <x:c r="L501" s="2" t="str">
        <x:v> COMPLETED </x:v>
      </x:c>
    </x:row>
    <x:row r="502" ht="21" customHeight="1">
      <x:c r="A502" s="2" t="n">
        <x:v>497</x:v>
      </x:c>
      <x:c r="B502" s="2" t="str">
        <x:v>TXN-00497</x:v>
      </x:c>
      <x:c r="C502" s="2" t="str">
        <x:v>2025-05-03</x:v>
      </x:c>
      <x:c r="D502" s="2" t="str">
        <x:v>Port Harcourt</x:v>
      </x:c>
      <x:c r="E502" s="2" t="str">
        <x:v>Fashion</x:v>
      </x:c>
      <x:c r="F502" s="2" t="str">
        <x:v>T-shirt</x:v>
      </x:c>
      <x:c r="G502" s="2" t="str">
        <x:v>Online</x:v>
      </x:c>
      <x:c r="H502" s="2" t="n">
        <x:v>3</x:v>
      </x:c>
      <x:c r="I502" s="2" t="n">
        <x:v>9000</x:v>
      </x:c>
      <x:c r="J502" s="2" t="n">
        <x:v>5000</x:v>
      </x:c>
      <x:c r="K502" s="2" t="n">
        <x:v>0</x:v>
      </x:c>
      <x:c r="L502" s="2" t="str">
        <x:v>Completed</x:v>
      </x:c>
    </x:row>
    <x:row r="503" ht="21" customHeight="1">
      <x:c r="A503" s="2" t="n">
        <x:v>498</x:v>
      </x:c>
      <x:c r="B503" s="2" t="str">
        <x:v>TXN-00498</x:v>
      </x:c>
      <x:c r="C503" s="2" t="str">
        <x:v>2025-05-29</x:v>
      </x:c>
      <x:c r="D503" s="2" t="str">
        <x:v> abuja </x:v>
      </x:c>
      <x:c r="E503" s="2" t="str">
        <x:v>Beauty</x:v>
      </x:c>
      <x:c r="F503" s="2" t="str">
        <x:v>Moisturizer</x:v>
      </x:c>
      <x:c r="G503" s="2" t="str">
        <x:v>Online</x:v>
      </x:c>
      <x:c r="H503" s="2" t="n">
        <x:v>3</x:v>
      </x:c>
      <x:c r="I503" s="2" t="n">
        <x:v>6500</x:v>
      </x:c>
      <x:c r="J503" s="2" t="n">
        <x:v>3500</x:v>
      </x:c>
      <x:c r="K503" s="2" t="n">
        <x:v>0.15</x:v>
      </x:c>
      <x:c r="L503" s="2" t="str">
        <x:v>Completed</x:v>
      </x:c>
    </x:row>
    <x:row r="504" ht="21" customHeight="1">
      <x:c r="A504" s="2" t="n">
        <x:v>499</x:v>
      </x:c>
      <x:c r="B504" s="2" t="str">
        <x:v>TXN-00499</x:v>
      </x:c>
      <x:c r="C504" s="2" t="str">
        <x:v>2025-05-08</x:v>
      </x:c>
      <x:c r="D504" s="2" t="str">
        <x:v>Port Harcourt</x:v>
      </x:c>
      <x:c r="E504" s="2" t="str">
        <x:v>Beauty</x:v>
      </x:c>
      <x:c r="F504" s="2" t="str">
        <x:v>Body wash</x:v>
      </x:c>
      <x:c r="G504" s="2" t="str">
        <x:v>In-store</x:v>
      </x:c>
      <x:c r="H504" s="2" t="n">
        <x:v>3</x:v>
      </x:c>
      <x:c r="I504" s="2" t="n">
        <x:v>4500</x:v>
      </x:c>
      <x:c r="J504" s="2" t="n">
        <x:v>2300</x:v>
      </x:c>
      <x:c r="K504" s="2" t="n">
        <x:v>0.05</x:v>
      </x:c>
      <x:c r="L504" s="2" t="str">
        <x:v>Completed</x:v>
      </x:c>
    </x:row>
    <x:row r="505" ht="21" customHeight="1">
      <x:c r="A505" s="2" t="n">
        <x:v>500</x:v>
      </x:c>
      <x:c r="B505" s="2" t="str">
        <x:v>TXN-00500</x:v>
      </x:c>
      <x:c r="C505" s="2" t="str">
        <x:v>2025-05-24</x:v>
      </x:c>
      <x:c r="D505" s="2" t="str">
        <x:v>Abuja</x:v>
      </x:c>
      <x:c r="E505" s="2" t="str">
        <x:v>Electronics</x:v>
      </x:c>
      <x:c r="F505" s="2" t="str">
        <x:v>Headphones</x:v>
      </x:c>
      <x:c r="G505" s="2" t="str">
        <x:v>Online</x:v>
      </x:c>
      <x:c r="H505" s="2" t="n">
        <x:v>1</x:v>
      </x:c>
      <x:c r="I505" s="2" t="n">
        <x:v>18000</x:v>
      </x:c>
      <x:c r="J505" s="2" t="n">
        <x:v>10500</x:v>
      </x:c>
      <x:c r="K505" s="2" t="n">
        <x:v>0</x:v>
      </x:c>
      <x:c r="L505" s="2" t="str">
        <x:v>Completed</x:v>
      </x:c>
    </x:row>
    <x:row r="506" ht="21" customHeight="1">
      <x:c r="A506" s="2" t="n">
        <x:v>501</x:v>
      </x:c>
      <x:c r="B506" s="2" t="str">
        <x:v>TXN-00501</x:v>
      </x:c>
      <x:c r="C506" s="2" t="str">
        <x:v>2025-05-01</x:v>
      </x:c>
      <x:c r="D506" s="2" t="str">
        <x:v>Port Harcourt</x:v>
      </x:c>
      <x:c r="E506" s="2" t="str">
        <x:v>Home</x:v>
      </x:c>
      <x:c r="F506" s="2" t="str">
        <x:v>Bedsheet</x:v>
      </x:c>
      <x:c r="G506" s="2" t="str">
        <x:v>In-store</x:v>
      </x:c>
      <x:c r="H506" s="2" t="n">
        <x:v>1</x:v>
      </x:c>
      <x:c r="I506" s="2" t="n">
        <x:v>14000</x:v>
      </x:c>
      <x:c r="J506" s="2" t="n">
        <x:v>8500</x:v>
      </x:c>
      <x:c r="K506" s="2" t="n">
        <x:v>0</x:v>
      </x:c>
      <x:c r="L506" s="2" t="str">
        <x:v>Completed</x:v>
      </x:c>
    </x:row>
    <x:row r="507" ht="21" customHeight="1">
      <x:c r="A507" s="2" t="n">
        <x:v>502</x:v>
      </x:c>
      <x:c r="B507" s="2" t="str">
        <x:v>TXN-00502</x:v>
      </x:c>
      <x:c r="C507" s="2" t="str">
        <x:v>2025-05-29</x:v>
      </x:c>
      <x:c r="D507" s="2" t="str">
        <x:v>Abuja</x:v>
      </x:c>
      <x:c r="E507" s="2" t="str">
        <x:v>Fashion</x:v>
      </x:c>
      <x:c r="F507" s="2" t="str">
        <x:v>Handbag</x:v>
      </x:c>
      <x:c r="G507" s="2" t="str">
        <x:v>In-store</x:v>
      </x:c>
      <x:c r="H507" s="2" t="n">
        <x:v>2</x:v>
      </x:c>
      <x:c r="I507" s="2" t="n">
        <x:v>22000</x:v>
      </x:c>
      <x:c r="J507" s="2" t="n">
        <x:v>13500</x:v>
      </x:c>
      <x:c r="K507" s="2" t="n">
        <x:v>0.1</x:v>
      </x:c>
      <x:c r="L507" s="2" t="str">
        <x:v>Completed</x:v>
      </x:c>
    </x:row>
    <x:row r="508" ht="21" customHeight="1">
      <x:c r="A508" s="2" t="n">
        <x:v>503</x:v>
      </x:c>
      <x:c r="B508" s="2" t="str">
        <x:v>TXN-00503</x:v>
      </x:c>
      <x:c r="C508" s="2" t="str">
        <x:v>2025-05-01</x:v>
      </x:c>
      <x:c r="D508" s="2" t="str">
        <x:v>Kano</x:v>
      </x:c>
      <x:c r="E508" s="2" t="str">
        <x:v>Fashion</x:v>
      </x:c>
      <x:c r="F508" s="2" t="str">
        <x:v>Sneakers</x:v>
      </x:c>
      <x:c r="G508" s="2" t="str">
        <x:v>In-store</x:v>
      </x:c>
      <x:c r="H508" s="2" t="n">
        <x:v>1</x:v>
      </x:c>
      <x:c r="I508" s="2" t="n">
        <x:v>28000</x:v>
      </x:c>
      <x:c r="J508" s="2" t="n">
        <x:v>17500</x:v>
      </x:c>
      <x:c r="K508" s="2" t="n">
        <x:v>0</x:v>
      </x:c>
      <x:c r="L508" s="2" t="str">
        <x:v>Completed</x:v>
      </x:c>
    </x:row>
    <x:row r="509" ht="21" customHeight="1">
      <x:c r="A509" s="2" t="n">
        <x:v>504</x:v>
      </x:c>
      <x:c r="B509" s="2" t="str">
        <x:v>TXN-00504</x:v>
      </x:c>
      <x:c r="C509" s="2" t="str">
        <x:v>2025-05-09</x:v>
      </x:c>
      <x:c r="D509" s="2" t="str">
        <x:v>Lagos</x:v>
      </x:c>
      <x:c r="E509" s="2" t="str">
        <x:v>Home</x:v>
      </x:c>
      <x:c r="F509" s="2" t="str">
        <x:v>Cookware set</x:v>
      </x:c>
      <x:c r="G509" s="2" t="str">
        <x:v>In-store</x:v>
      </x:c>
      <x:c r="H509" s="2" t="n">
        <x:v>2</x:v>
      </x:c>
      <x:c r="I509" s="2" t="n">
        <x:v>35000</x:v>
      </x:c>
      <x:c r="J509" s="2" t="n">
        <x:v>22500</x:v>
      </x:c>
      <x:c r="K509" s="2" t="n">
        <x:v>0.05</x:v>
      </x:c>
      <x:c r="L509" s="2" t="str">
        <x:v>Completed</x:v>
      </x:c>
    </x:row>
    <x:row r="510" ht="21" customHeight="1">
      <x:c r="A510" s="2" t="n">
        <x:v>505</x:v>
      </x:c>
      <x:c r="B510" s="2" t="str">
        <x:v>TXN-00505</x:v>
      </x:c>
      <x:c r="C510" s="2" t="str">
        <x:v>2025-05-29</x:v>
      </x:c>
      <x:c r="D510" s="2" t="str">
        <x:v> abuja </x:v>
      </x:c>
      <x:c r="E510" s="2" t="str">
        <x:v>Fashion</x:v>
      </x:c>
      <x:c r="F510" s="2" t="str">
        <x:v>Sneakers</x:v>
      </x:c>
      <x:c r="G510" s="2" t="str">
        <x:v>Online</x:v>
      </x:c>
      <x:c r="H510" s="2" t="n">
        <x:v>1</x:v>
      </x:c>
      <x:c r="I510" s="2" t="n">
        <x:v>28000</x:v>
      </x:c>
      <x:c r="J510" s="2" t="n">
        <x:v>17500</x:v>
      </x:c>
      <x:c r="K510" s="2" t="n">
        <x:v>0</x:v>
      </x:c>
      <x:c r="L510" s="2" t="str">
        <x:v> COMPLETED </x:v>
      </x:c>
    </x:row>
    <x:row r="511" ht="21" customHeight="1">
      <x:c r="A511" s="2" t="n">
        <x:v>506</x:v>
      </x:c>
      <x:c r="B511" s="2" t="str">
        <x:v>TXN-00506</x:v>
      </x:c>
      <x:c r="C511" s="2" t="str">
        <x:v>2025-05-11</x:v>
      </x:c>
      <x:c r="D511" s="2" t="str">
        <x:v>Abuja</x:v>
      </x:c>
      <x:c r="E511" s="2" t="str">
        <x:v>Fashion</x:v>
      </x:c>
      <x:c r="F511" s="2" t="str">
        <x:v>Sneakers</x:v>
      </x:c>
      <x:c r="G511" s="2" t="str">
        <x:v>In-store</x:v>
      </x:c>
      <x:c r="H511" s="2" t="n">
        <x:v>1</x:v>
      </x:c>
      <x:c r="I511" s="2" t="n">
        <x:v>28000</x:v>
      </x:c>
      <x:c r="J511" s="2" t="n">
        <x:v>17500</x:v>
      </x:c>
      <x:c r="K511" s="2" t="n">
        <x:v>0</x:v>
      </x:c>
      <x:c r="L511" s="2" t="str">
        <x:v>Completed</x:v>
      </x:c>
    </x:row>
    <x:row r="512" ht="21" customHeight="1">
      <x:c r="A512" s="2" t="n">
        <x:v>507</x:v>
      </x:c>
      <x:c r="B512" s="2" t="str">
        <x:v>TXN-00507</x:v>
      </x:c>
      <x:c r="C512" s="2" t="str">
        <x:v>2025-05-04</x:v>
      </x:c>
      <x:c r="D512" s="2" t="str">
        <x:v>Lagos</x:v>
      </x:c>
      <x:c r="E512" s="2" t="str">
        <x:v>Electronics</x:v>
      </x:c>
      <x:c r="F512" s="2" t="str">
        <x:v>Bluetooth speaker</x:v>
      </x:c>
      <x:c r="G512" s="2" t="str">
        <x:v> online </x:v>
      </x:c>
      <x:c r="H512" s="2" t="n">
        <x:v>2</x:v>
      </x:c>
      <x:c r="I512" s="2" t="n">
        <x:v>26000</x:v>
      </x:c>
      <x:c r="J512" s="2" t="n">
        <x:v>17000</x:v>
      </x:c>
      <x:c r="K512" s="2" t="n">
        <x:v>0</x:v>
      </x:c>
      <x:c r="L512" s="2" t="str">
        <x:v>Completed</x:v>
      </x:c>
    </x:row>
    <x:row r="513" ht="21" customHeight="1">
      <x:c r="A513" s="2" t="n">
        <x:v>508</x:v>
      </x:c>
      <x:c r="B513" s="2" t="str">
        <x:v>TXN-00508</x:v>
      </x:c>
      <x:c r="C513" s="2" t="str">
        <x:v>2025-05-23</x:v>
      </x:c>
      <x:c r="D513" s="2" t="str">
        <x:v>Lagos</x:v>
      </x:c>
      <x:c r="E513" s="2" t="str">
        <x:v>Fashion</x:v>
      </x:c>
      <x:c r="F513" s="2" t="str">
        <x:v>T-shirt</x:v>
      </x:c>
      <x:c r="G513" s="2" t="str">
        <x:v>In-store</x:v>
      </x:c>
      <x:c r="H513" s="2" t="n">
        <x:v>1</x:v>
      </x:c>
      <x:c r="I513" s="2" t="n">
        <x:v>9000</x:v>
      </x:c>
      <x:c r="J513" s="2" t="n">
        <x:v>5000</x:v>
      </x:c>
      <x:c r="K513" s="2" t="n">
        <x:v>0</x:v>
      </x:c>
      <x:c r="L513" s="2" t="str">
        <x:v>Completed</x:v>
      </x:c>
    </x:row>
    <x:row r="514" ht="21" customHeight="1">
      <x:c r="A514" s="2" t="n">
        <x:v>509</x:v>
      </x:c>
      <x:c r="B514" s="2" t="str">
        <x:v>TXN-00509</x:v>
      </x:c>
      <x:c r="C514" s="2" t="str">
        <x:v>2025-05-15</x:v>
      </x:c>
      <x:c r="D514" s="2" t="str">
        <x:v>Port Harcourt</x:v>
      </x:c>
      <x:c r="E514" s="2" t="str">
        <x:v>Home</x:v>
      </x:c>
      <x:c r="F514" s="2" t="str">
        <x:v>Bedsheet</x:v>
      </x:c>
      <x:c r="G514" s="2" t="str">
        <x:v>In-store</x:v>
      </x:c>
      <x:c r="H514" s="2" t="n">
        <x:v>4</x:v>
      </x:c>
      <x:c r="I514" s="2" t="n">
        <x:v>14000</x:v>
      </x:c>
      <x:c r="J514" s="2" t="n">
        <x:v>8500</x:v>
      </x:c>
      <x:c r="K514" s="2" t="n">
        <x:v>0.05</x:v>
      </x:c>
      <x:c r="L514" s="2" t="str">
        <x:v>Completed</x:v>
      </x:c>
    </x:row>
    <x:row r="515" ht="21" customHeight="1">
      <x:c r="A515" s="2" t="n">
        <x:v>510</x:v>
      </x:c>
      <x:c r="B515" s="2" t="str">
        <x:v>TXN-00510</x:v>
      </x:c>
      <x:c r="C515" s="2" t="str">
        <x:v>2025-05-29</x:v>
      </x:c>
      <x:c r="D515" s="2" t="str">
        <x:v>Lagos</x:v>
      </x:c>
      <x:c r="E515" s="2" t="str">
        <x:v>Fashion</x:v>
      </x:c>
      <x:c r="F515" s="2" t="str">
        <x:v>T-shirt</x:v>
      </x:c>
      <x:c r="G515" s="2" t="str">
        <x:v>Online</x:v>
      </x:c>
      <x:c r="H515" s="2" t="n">
        <x:v>1</x:v>
      </x:c>
      <x:c r="I515" s="2" t="n">
        <x:v>9000</x:v>
      </x:c>
      <x:c r="J515" s="2" t="n">
        <x:v>5000</x:v>
      </x:c>
      <x:c r="K515" s="2" t="n">
        <x:v>0</x:v>
      </x:c>
      <x:c r="L515" s="2" t="str">
        <x:v>Completed</x:v>
      </x:c>
    </x:row>
    <x:row r="516" ht="21" customHeight="1">
      <x:c r="A516" s="2" t="n">
        <x:v>511</x:v>
      </x:c>
      <x:c r="B516" s="2" t="str">
        <x:v>TXN-00511</x:v>
      </x:c>
      <x:c r="C516" s="2" t="str">
        <x:v>2025-05-15</x:v>
      </x:c>
      <x:c r="D516" s="2" t="str">
        <x:v>Port Harcourt</x:v>
      </x:c>
      <x:c r="E516" s="2" t="str">
        <x:v>Fashion</x:v>
      </x:c>
      <x:c r="F516" s="2" t="str">
        <x:v>Handbag</x:v>
      </x:c>
      <x:c r="G516" s="2" t="str">
        <x:v>In-store</x:v>
      </x:c>
      <x:c r="H516" s="2" t="n">
        <x:v>2</x:v>
      </x:c>
      <x:c r="I516" s="2" t="n">
        <x:v>22000</x:v>
      </x:c>
      <x:c r="J516" s="2" t="n">
        <x:v>13500</x:v>
      </x:c>
      <x:c r="K516" s="2" t="n">
        <x:v>0</x:v>
      </x:c>
      <x:c r="L516" s="2" t="str">
        <x:v>Completed</x:v>
      </x:c>
    </x:row>
    <x:row r="517" ht="21" customHeight="1">
      <x:c r="A517" s="2" t="n">
        <x:v>512</x:v>
      </x:c>
      <x:c r="B517" s="2" t="str">
        <x:v>TXN-00512</x:v>
      </x:c>
      <x:c r="C517" s="2" t="str">
        <x:v>2025-05-05</x:v>
      </x:c>
      <x:c r="D517" s="2" t="str">
        <x:v> port harcourt </x:v>
      </x:c>
      <x:c r="E517" s="2" t="str">
        <x:v>Beauty</x:v>
      </x:c>
      <x:c r="F517" s="2" t="str">
        <x:v>Body wash</x:v>
      </x:c>
      <x:c r="G517" s="2" t="str">
        <x:v>In-store</x:v>
      </x:c>
      <x:c r="H517" s="2" t="n">
        <x:v>2</x:v>
      </x:c>
      <x:c r="I517" s="2" t="n">
        <x:v>4500</x:v>
      </x:c>
      <x:c r="J517" s="2" t="n">
        <x:v>2300</x:v>
      </x:c>
      <x:c r="K517" s="2" t="n">
        <x:v>0</x:v>
      </x:c>
      <x:c r="L517" s="2" t="str">
        <x:v>Completed</x:v>
      </x:c>
    </x:row>
    <x:row r="518" ht="21" customHeight="1">
      <x:c r="A518" s="2" t="n">
        <x:v>513</x:v>
      </x:c>
      <x:c r="B518" s="2" t="str">
        <x:v>TXN-00513</x:v>
      </x:c>
      <x:c r="C518" s="2" t="str">
        <x:v>2025-05-06</x:v>
      </x:c>
      <x:c r="D518" s="2" t="str">
        <x:v>Lagos</x:v>
      </x:c>
      <x:c r="E518" s="2" t="str">
        <x:v>Home</x:v>
      </x:c>
      <x:c r="F518" s="2" t="str">
        <x:v>Bedsheet</x:v>
      </x:c>
      <x:c r="G518" s="2" t="str">
        <x:v>Online</x:v>
      </x:c>
      <x:c r="H518" s="2" t="n">
        <x:v>2</x:v>
      </x:c>
      <x:c r="I518" s="2" t="n">
        <x:v>14000</x:v>
      </x:c>
      <x:c r="J518" s="2" t="n">
        <x:v>8500</x:v>
      </x:c>
      <x:c r="K518" s="2" t="n">
        <x:v>0</x:v>
      </x:c>
      <x:c r="L518" s="2" t="str">
        <x:v>Completed</x:v>
      </x:c>
    </x:row>
    <x:row r="519" ht="21" customHeight="1">
      <x:c r="A519" s="2" t="n">
        <x:v>514</x:v>
      </x:c>
      <x:c r="B519" s="2" t="str">
        <x:v>TXN-00514</x:v>
      </x:c>
      <x:c r="C519" s="2" t="str">
        <x:v>2025-05-05</x:v>
      </x:c>
      <x:c r="D519" s="2" t="str">
        <x:v>Lagos</x:v>
      </x:c>
      <x:c r="E519" s="2" t="str">
        <x:v>Fashion</x:v>
      </x:c>
      <x:c r="F519" s="2" t="str">
        <x:v>Handbag</x:v>
      </x:c>
      <x:c r="G519" s="2" t="str">
        <x:v>Online</x:v>
      </x:c>
      <x:c r="H519" s="2" t="n">
        <x:v>1</x:v>
      </x:c>
      <x:c r="I519" s="2" t="n">
        <x:v>22000</x:v>
      </x:c>
      <x:c r="J519" s="2" t="n">
        <x:v>13500</x:v>
      </x:c>
      <x:c r="K519" s="2" t="n">
        <x:v>0</x:v>
      </x:c>
      <x:c r="L519" s="2" t="str">
        <x:v> COMPLETED </x:v>
      </x:c>
    </x:row>
    <x:row r="520" ht="21" customHeight="1">
      <x:c r="A520" s="2" t="n">
        <x:v>515</x:v>
      </x:c>
      <x:c r="B520" s="2" t="str">
        <x:v>TXN-00515</x:v>
      </x:c>
      <x:c r="C520" s="2" t="str">
        <x:v>2025-05-18</x:v>
      </x:c>
      <x:c r="D520" s="2" t="str">
        <x:v>Lagos</x:v>
      </x:c>
      <x:c r="E520" s="2" t="str">
        <x:v>Beauty</x:v>
      </x:c>
      <x:c r="F520" s="2" t="str">
        <x:v>Perfume</x:v>
      </x:c>
      <x:c r="G520" s="2" t="str">
        <x:v>In-store</x:v>
      </x:c>
      <x:c r="H520" s="2" t="n">
        <x:v>1</x:v>
      </x:c>
      <x:c r="I520" s="2" t="n">
        <x:v>17000</x:v>
      </x:c>
      <x:c r="J520" s="2" t="n">
        <x:v>9000</x:v>
      </x:c>
      <x:c r="K520" s="2" t="n">
        <x:v>0.1</x:v>
      </x:c>
      <x:c r="L520" s="2" t="str">
        <x:v>Completed</x:v>
      </x:c>
    </x:row>
    <x:row r="521" ht="21" customHeight="1">
      <x:c r="A521" s="2" t="n">
        <x:v>516</x:v>
      </x:c>
      <x:c r="B521" s="2" t="str">
        <x:v>TXN-00516</x:v>
      </x:c>
      <x:c r="C521" s="2" t="str">
        <x:v>2025-05-28</x:v>
      </x:c>
      <x:c r="D521" s="2" t="str">
        <x:v>Abuja</x:v>
      </x:c>
      <x:c r="E521" s="2" t="str">
        <x:v>Electronics</x:v>
      </x:c>
      <x:c r="F521" s="2" t="str">
        <x:v>Bluetooth speaker</x:v>
      </x:c>
      <x:c r="G521" s="2" t="str">
        <x:v>Online</x:v>
      </x:c>
      <x:c r="H521" s="2" t="n">
        <x:v>2</x:v>
      </x:c>
      <x:c r="I521" s="2" t="n">
        <x:v>26000</x:v>
      </x:c>
      <x:c r="J521" s="2" t="n">
        <x:v>17000</x:v>
      </x:c>
      <x:c r="K521" s="2" t="n">
        <x:v>0</x:v>
      </x:c>
      <x:c r="L521" s="2" t="str">
        <x:v>Completed</x:v>
      </x:c>
    </x:row>
    <x:row r="522" ht="21" customHeight="1">
      <x:c r="A522" s="2" t="n">
        <x:v>517</x:v>
      </x:c>
      <x:c r="B522" s="2" t="str">
        <x:v>TXN-00517</x:v>
      </x:c>
      <x:c r="C522" s="2" t="str">
        <x:v>2025-05-21</x:v>
      </x:c>
      <x:c r="D522" s="2" t="str">
        <x:v>Port Harcourt</x:v>
      </x:c>
      <x:c r="E522" s="2" t="str">
        <x:v>Beauty</x:v>
      </x:c>
      <x:c r="F522" s="2" t="str">
        <x:v>Moisturizer</x:v>
      </x:c>
      <x:c r="G522" s="2" t="str">
        <x:v>Online</x:v>
      </x:c>
      <x:c r="H522" s="2" t="n">
        <x:v>1</x:v>
      </x:c>
      <x:c r="I522" s="2" t="n">
        <x:v>6500</x:v>
      </x:c>
      <x:c r="J522" s="2" t="n">
        <x:v>3500</x:v>
      </x:c>
      <x:c r="K522" s="2" t="n">
        <x:v>0</x:v>
      </x:c>
      <x:c r="L522" s="2" t="str">
        <x:v>Completed</x:v>
      </x:c>
    </x:row>
    <x:row r="523" ht="21" customHeight="1">
      <x:c r="A523" s="2" t="n">
        <x:v>518</x:v>
      </x:c>
      <x:c r="B523" s="2" t="str">
        <x:v>TXN-00518</x:v>
      </x:c>
      <x:c r="C523" s="2" t="str">
        <x:v>2025-05-05</x:v>
      </x:c>
      <x:c r="D523" s="2" t="str">
        <x:v>Kano</x:v>
      </x:c>
      <x:c r="E523" s="2" t="str">
        <x:v>Beauty</x:v>
      </x:c>
      <x:c r="F523" s="2" t="str">
        <x:v>Moisturizer</x:v>
      </x:c>
      <x:c r="G523" s="2" t="str">
        <x:v> in-store </x:v>
      </x:c>
      <x:c r="H523" s="2" t="n">
        <x:v>3</x:v>
      </x:c>
      <x:c r="I523" s="2" t="n">
        <x:v>6500</x:v>
      </x:c>
      <x:c r="J523" s="2" t="n">
        <x:v>3500</x:v>
      </x:c>
      <x:c r="K523" s="2" t="n">
        <x:v>0</x:v>
      </x:c>
      <x:c r="L523" s="2" t="str">
        <x:v>Completed</x:v>
      </x:c>
    </x:row>
    <x:row r="524" ht="21" customHeight="1">
      <x:c r="A524" s="2" t="n">
        <x:v>519</x:v>
      </x:c>
      <x:c r="B524" s="2" t="str">
        <x:v>TXN-00519</x:v>
      </x:c>
      <x:c r="C524" s="2" t="str">
        <x:v>2025-05-26</x:v>
      </x:c>
      <x:c r="D524" s="2" t="str">
        <x:v> abuja </x:v>
      </x:c>
      <x:c r="E524" s="2" t="str">
        <x:v>Electronics</x:v>
      </x:c>
      <x:c r="F524" s="2" t="str">
        <x:v>Power bank</x:v>
      </x:c>
      <x:c r="G524" s="2" t="str">
        <x:v>Online</x:v>
      </x:c>
      <x:c r="H524" s="2" t="n">
        <x:v>2</x:v>
      </x:c>
      <x:c r="I524" s="2" t="n">
        <x:v>15000</x:v>
      </x:c>
      <x:c r="J524" s="2" t="n">
        <x:v>9500</x:v>
      </x:c>
      <x:c r="K524" s="2" t="n">
        <x:v>0.05</x:v>
      </x:c>
      <x:c r="L524" s="2" t="str">
        <x:v>Completed</x:v>
      </x:c>
    </x:row>
    <x:row r="525" ht="21" customHeight="1">
      <x:c r="A525" s="2" t="n">
        <x:v>520</x:v>
      </x:c>
      <x:c r="B525" s="2" t="str">
        <x:v>TXN-00520</x:v>
      </x:c>
      <x:c r="C525" s="2" t="str">
        <x:v>2025-05-29</x:v>
      </x:c>
      <x:c r="D525" s="2" t="str">
        <x:v>Kano</x:v>
      </x:c>
      <x:c r="E525" s="2" t="str">
        <x:v>Electronics</x:v>
      </x:c>
      <x:c r="F525" s="2" t="str">
        <x:v>Headphones</x:v>
      </x:c>
      <x:c r="G525" s="2" t="str">
        <x:v>Online</x:v>
      </x:c>
      <x:c r="H525" s="2" t="n">
        <x:v>1</x:v>
      </x:c>
      <x:c r="I525" s="2" t="n">
        <x:v>18000</x:v>
      </x:c>
      <x:c r="J525" s="2" t="n">
        <x:v>10500</x:v>
      </x:c>
      <x:c r="K525" s="2" t="n">
        <x:v>0</x:v>
      </x:c>
      <x:c r="L525" s="2" t="str">
        <x:v>Completed</x:v>
      </x:c>
    </x:row>
    <x:row r="526" ht="21" customHeight="1">
      <x:c r="A526" s="2" t="n">
        <x:v>521</x:v>
      </x:c>
      <x:c r="B526" s="2" t="str">
        <x:v>TXN-00521</x:v>
      </x:c>
      <x:c r="C526" s="2" t="str">
        <x:v>2025-05-25</x:v>
      </x:c>
      <x:c r="D526" s="2" t="str">
        <x:v>Abuja</x:v>
      </x:c>
      <x:c r="E526" s="2" t="str">
        <x:v>Fashion</x:v>
      </x:c>
      <x:c r="F526" s="2" t="str">
        <x:v>Sneakers</x:v>
      </x:c>
      <x:c r="G526" s="2" t="str">
        <x:v>Online</x:v>
      </x:c>
      <x:c r="H526" s="2" t="n">
        <x:v>1</x:v>
      </x:c>
      <x:c r="I526" s="2" t="n">
        <x:v>28000</x:v>
      </x:c>
      <x:c r="J526" s="2" t="n">
        <x:v>17500</x:v>
      </x:c>
      <x:c r="K526" s="2" t="n">
        <x:v>0</x:v>
      </x:c>
      <x:c r="L526" s="2" t="str">
        <x:v>Completed</x:v>
      </x:c>
    </x:row>
    <x:row r="527" ht="21" customHeight="1">
      <x:c r="A527" s="2" t="n">
        <x:v>522</x:v>
      </x:c>
      <x:c r="B527" s="2" t="str">
        <x:v>TXN-00522</x:v>
      </x:c>
      <x:c r="C527" s="2" t="str">
        <x:v>2025-05-22</x:v>
      </x:c>
      <x:c r="D527" s="2" t="str">
        <x:v>Abuja</x:v>
      </x:c>
      <x:c r="E527" s="2" t="str">
        <x:v>Beauty</x:v>
      </x:c>
      <x:c r="F527" s="2" t="str">
        <x:v>Perfume</x:v>
      </x:c>
      <x:c r="G527" s="2" t="str">
        <x:v>Online</x:v>
      </x:c>
      <x:c r="H527" s="2" t="n">
        <x:v>1</x:v>
      </x:c>
      <x:c r="I527" s="2" t="n">
        <x:v>17000</x:v>
      </x:c>
      <x:c r="J527" s="2" t="n">
        <x:v>9000</x:v>
      </x:c>
      <x:c r="K527" s="2" t="n">
        <x:v>0.1</x:v>
      </x:c>
      <x:c r="L527" s="2" t="str">
        <x:v>Completed</x:v>
      </x:c>
    </x:row>
    <x:row r="528" ht="21" customHeight="1">
      <x:c r="A528" s="2" t="n">
        <x:v>523</x:v>
      </x:c>
      <x:c r="B528" s="2" t="str">
        <x:v>TXN-00523</x:v>
      </x:c>
      <x:c r="C528" s="2" t="str">
        <x:v>2025-05-06</x:v>
      </x:c>
      <x:c r="D528" s="2" t="str">
        <x:v>Abuja</x:v>
      </x:c>
      <x:c r="E528" s="2" t="str">
        <x:v>Fashion</x:v>
      </x:c>
      <x:c r="F528" s="2" t="str">
        <x:v>T-shirt</x:v>
      </x:c>
      <x:c r="G528" s="2" t="str">
        <x:v>Online</x:v>
      </x:c>
      <x:c r="H528" s="2" t="n">
        <x:v>3</x:v>
      </x:c>
      <x:c r="I528" s="2" t="n">
        <x:v>9000</x:v>
      </x:c>
      <x:c r="J528" s="2" t="n">
        <x:v>5000</x:v>
      </x:c>
      <x:c r="K528" s="2" t="n">
        <x:v>0</x:v>
      </x:c>
      <x:c r="L528" s="2" t="str">
        <x:v> COMPLETED </x:v>
      </x:c>
    </x:row>
    <x:row r="529" ht="21" customHeight="1">
      <x:c r="A529" s="2" t="n">
        <x:v>524</x:v>
      </x:c>
      <x:c r="B529" s="2" t="str">
        <x:v>TXN-00524</x:v>
      </x:c>
      <x:c r="C529" s="2" t="str">
        <x:v>2025-05-01</x:v>
      </x:c>
      <x:c r="D529" s="2" t="str">
        <x:v>Abuja</x:v>
      </x:c>
      <x:c r="E529" s="2" t="str">
        <x:v>Beauty</x:v>
      </x:c>
      <x:c r="F529" s="2" t="str">
        <x:v>Moisturizer</x:v>
      </x:c>
      <x:c r="G529" s="2" t="str">
        <x:v>Online</x:v>
      </x:c>
      <x:c r="H529" s="2" t="n">
        <x:v>3</x:v>
      </x:c>
      <x:c r="I529" s="2" t="n">
        <x:v>6500</x:v>
      </x:c>
      <x:c r="J529" s="2" t="n">
        <x:v>3500</x:v>
      </x:c>
      <x:c r="K529" s="2" t="n">
        <x:v>0</x:v>
      </x:c>
      <x:c r="L529" s="2" t="str">
        <x:v>Completed</x:v>
      </x:c>
    </x:row>
    <x:row r="530" ht="21" customHeight="1">
      <x:c r="A530" s="2" t="n">
        <x:v>525</x:v>
      </x:c>
      <x:c r="B530" s="2" t="str">
        <x:v>TXN-00525</x:v>
      </x:c>
      <x:c r="C530" s="2" t="str">
        <x:v>2025-05-27</x:v>
      </x:c>
      <x:c r="D530" s="2" t="str">
        <x:v>Port Harcourt</x:v>
      </x:c>
      <x:c r="E530" s="2" t="str">
        <x:v>Fashion</x:v>
      </x:c>
      <x:c r="F530" s="2" t="str">
        <x:v>Sneakers</x:v>
      </x:c>
      <x:c r="G530" s="2" t="str">
        <x:v>Online</x:v>
      </x:c>
      <x:c r="H530" s="2" t="n">
        <x:v>2</x:v>
      </x:c>
      <x:c r="I530" s="2" t="n">
        <x:v>28000</x:v>
      </x:c>
      <x:c r="J530" s="2" t="n">
        <x:v>17500</x:v>
      </x:c>
      <x:c r="K530" s="2" t="n">
        <x:v>0.15</x:v>
      </x:c>
      <x:c r="L530" s="2" t="str">
        <x:v>Completed</x:v>
      </x:c>
    </x:row>
    <x:row r="531" ht="21" customHeight="1">
      <x:c r="A531" s="2" t="n">
        <x:v>526</x:v>
      </x:c>
      <x:c r="B531" s="2" t="str">
        <x:v>TXN-00526</x:v>
      </x:c>
      <x:c r="C531" s="2" t="str">
        <x:v>2025-05-04</x:v>
      </x:c>
      <x:c r="D531" s="2" t="str">
        <x:v> kano </x:v>
      </x:c>
      <x:c r="E531" s="2" t="str">
        <x:v>Fashion</x:v>
      </x:c>
      <x:c r="F531" s="2" t="str">
        <x:v>Handbag</x:v>
      </x:c>
      <x:c r="G531" s="2" t="str">
        <x:v>In-store</x:v>
      </x:c>
      <x:c r="H531" s="2" t="n">
        <x:v>1</x:v>
      </x:c>
      <x:c r="I531" s="2" t="n">
        <x:v>22000</x:v>
      </x:c>
      <x:c r="J531" s="2" t="n">
        <x:v>13500</x:v>
      </x:c>
      <x:c r="K531" s="2" t="n">
        <x:v>0</x:v>
      </x:c>
      <x:c r="L531" s="2" t="str">
        <x:v>Completed</x:v>
      </x:c>
    </x:row>
    <x:row r="532" ht="21" customHeight="1">
      <x:c r="A532" s="2" t="n">
        <x:v>527</x:v>
      </x:c>
      <x:c r="B532" s="2" t="str">
        <x:v>TXN-00527</x:v>
      </x:c>
      <x:c r="C532" s="2" t="str">
        <x:v>2025-05-18</x:v>
      </x:c>
      <x:c r="D532" s="2" t="str">
        <x:v>Abuja</x:v>
      </x:c>
      <x:c r="E532" s="2" t="str">
        <x:v>Beauty</x:v>
      </x:c>
      <x:c r="F532" s="2" t="str">
        <x:v>Moisturizer</x:v>
      </x:c>
      <x:c r="G532" s="2" t="str">
        <x:v>Online</x:v>
      </x:c>
      <x:c r="H532" s="2" t="n">
        <x:v>1</x:v>
      </x:c>
      <x:c r="I532" s="2" t="n">
        <x:v>6500</x:v>
      </x:c>
      <x:c r="J532" s="2" t="n">
        <x:v>3500</x:v>
      </x:c>
      <x:c r="K532" s="2" t="n">
        <x:v>0.15</x:v>
      </x:c>
      <x:c r="L532" s="2" t="str">
        <x:v>Completed</x:v>
      </x:c>
    </x:row>
    <x:row r="533" ht="21" customHeight="1">
      <x:c r="A533" s="2" t="n">
        <x:v>528</x:v>
      </x:c>
      <x:c r="B533" s="2" t="str">
        <x:v>TXN-00528</x:v>
      </x:c>
      <x:c r="C533" s="2" t="str">
        <x:v>2025-05-02</x:v>
      </x:c>
      <x:c r="D533" s="2" t="str">
        <x:v>Lagos</x:v>
      </x:c>
      <x:c r="E533" s="2" t="str">
        <x:v>Beauty</x:v>
      </x:c>
      <x:c r="F533" s="2" t="str">
        <x:v>Perfume</x:v>
      </x:c>
      <x:c r="G533" s="2" t="str">
        <x:v>Online</x:v>
      </x:c>
      <x:c r="H533" s="2" t="n">
        <x:v>1</x:v>
      </x:c>
      <x:c r="I533" s="2" t="n">
        <x:v>17000</x:v>
      </x:c>
      <x:c r="J533" s="2" t="n">
        <x:v>9000</x:v>
      </x:c>
      <x:c r="K533" s="2" t="n">
        <x:v>0</x:v>
      </x:c>
      <x:c r="L533" s="2" t="str">
        <x:v>Completed</x:v>
      </x:c>
    </x:row>
    <x:row r="534" ht="21" customHeight="1">
      <x:c r="A534" s="2" t="n">
        <x:v>529</x:v>
      </x:c>
      <x:c r="B534" s="2" t="str">
        <x:v>TXN-00529</x:v>
      </x:c>
      <x:c r="C534" s="2" t="str">
        <x:v>2025-05-08</x:v>
      </x:c>
      <x:c r="D534" s="2" t="str">
        <x:v>Lagos</x:v>
      </x:c>
      <x:c r="E534" s="2" t="str">
        <x:v>Home</x:v>
      </x:c>
      <x:c r="F534" s="2" t="str">
        <x:v>Cookware set</x:v>
      </x:c>
      <x:c r="G534" s="2" t="str">
        <x:v> online </x:v>
      </x:c>
      <x:c r="H534" s="2" t="n">
        <x:v>1</x:v>
      </x:c>
      <x:c r="I534" s="2" t="n">
        <x:v>35000</x:v>
      </x:c>
      <x:c r="J534" s="2" t="n">
        <x:v>22500</x:v>
      </x:c>
      <x:c r="K534" s="2" t="n">
        <x:v>0</x:v>
      </x:c>
      <x:c r="L534" s="2" t="str">
        <x:v>Completed</x:v>
      </x:c>
    </x:row>
    <x:row r="535" ht="21" customHeight="1">
      <x:c r="A535" s="2" t="n">
        <x:v>530</x:v>
      </x:c>
      <x:c r="B535" s="2" t="str">
        <x:v>TXN-00530</x:v>
      </x:c>
      <x:c r="C535" s="2" t="str">
        <x:v>2025-05-22</x:v>
      </x:c>
      <x:c r="D535" s="2" t="str">
        <x:v>Lagos</x:v>
      </x:c>
      <x:c r="E535" s="2" t="str">
        <x:v>Beauty</x:v>
      </x:c>
      <x:c r="F535" s="2" t="str">
        <x:v>Body wash</x:v>
      </x:c>
      <x:c r="G535" s="2" t="str">
        <x:v>In-store</x:v>
      </x:c>
      <x:c r="H535" s="2" t="n">
        <x:v>3</x:v>
      </x:c>
      <x:c r="I535" s="2" t="n">
        <x:v>4500</x:v>
      </x:c>
      <x:c r="J535" s="2" t="n">
        <x:v>2300</x:v>
      </x:c>
      <x:c r="K535" s="2" t="n">
        <x:v>0</x:v>
      </x:c>
      <x:c r="L535" s="2" t="str">
        <x:v>Completed</x:v>
      </x:c>
    </x:row>
    <x:row r="536" ht="21" customHeight="1">
      <x:c r="A536" s="2" t="n">
        <x:v>531</x:v>
      </x:c>
      <x:c r="B536" s="2" t="str">
        <x:v>TXN-00531</x:v>
      </x:c>
      <x:c r="C536" s="2" t="str">
        <x:v>2025-05-21</x:v>
      </x:c>
      <x:c r="D536" s="2" t="str">
        <x:v>Lagos</x:v>
      </x:c>
      <x:c r="E536" s="2" t="str">
        <x:v>Electronics</x:v>
      </x:c>
      <x:c r="F536" s="2" t="str">
        <x:v>Power bank</x:v>
      </x:c>
      <x:c r="G536" s="2" t="str">
        <x:v>In-store</x:v>
      </x:c>
      <x:c r="H536" s="2" t="n">
        <x:v>3</x:v>
      </x:c>
      <x:c r="I536" s="2" t="n">
        <x:v>15000</x:v>
      </x:c>
      <x:c r="J536" s="2" t="n">
        <x:v>9500</x:v>
      </x:c>
      <x:c r="K536" s="2" t="n">
        <x:v>0</x:v>
      </x:c>
      <x:c r="L536" s="2" t="str">
        <x:v>Completed</x:v>
      </x:c>
    </x:row>
    <x:row r="537" ht="21" customHeight="1">
      <x:c r="A537" s="2" t="n">
        <x:v>532</x:v>
      </x:c>
      <x:c r="B537" s="2" t="str">
        <x:v>TXN-00532</x:v>
      </x:c>
      <x:c r="C537" s="2" t="str">
        <x:v>2025-05-09</x:v>
      </x:c>
      <x:c r="D537" s="2" t="str">
        <x:v>Lagos</x:v>
      </x:c>
      <x:c r="E537" s="2" t="str">
        <x:v>Fashion</x:v>
      </x:c>
      <x:c r="F537" s="2" t="str">
        <x:v>T-shirt</x:v>
      </x:c>
      <x:c r="G537" s="2" t="str">
        <x:v>In-store</x:v>
      </x:c>
      <x:c r="H537" s="2" t="n">
        <x:v>2</x:v>
      </x:c>
      <x:c r="I537" s="2" t="n">
        <x:v>9000</x:v>
      </x:c>
      <x:c r="J537" s="2" t="n">
        <x:v>5000</x:v>
      </x:c>
      <x:c r="K537" s="2" t="n">
        <x:v>0</x:v>
      </x:c>
      <x:c r="L537" s="2" t="str">
        <x:v> RETURNED </x:v>
      </x:c>
    </x:row>
    <x:row r="538" ht="21" customHeight="1">
      <x:c r="A538" s="2" t="n">
        <x:v>533</x:v>
      </x:c>
      <x:c r="B538" s="2" t="str">
        <x:v>TXN-00533</x:v>
      </x:c>
      <x:c r="C538" s="2" t="str">
        <x:v>2025-05-04</x:v>
      </x:c>
      <x:c r="D538" s="2" t="str">
        <x:v> port harcourt </x:v>
      </x:c>
      <x:c r="E538" s="2" t="str">
        <x:v>Electronics</x:v>
      </x:c>
      <x:c r="F538" s="2" t="str">
        <x:v>Power bank</x:v>
      </x:c>
      <x:c r="G538" s="2" t="str">
        <x:v>Online</x:v>
      </x:c>
      <x:c r="H538" s="2" t="n">
        <x:v>2</x:v>
      </x:c>
      <x:c r="I538" s="2" t="n">
        <x:v>15000</x:v>
      </x:c>
      <x:c r="J538" s="2" t="n">
        <x:v>9500</x:v>
      </x:c>
      <x:c r="K538" s="2" t="n">
        <x:v>0</x:v>
      </x:c>
      <x:c r="L538" s="2" t="str">
        <x:v>Completed</x:v>
      </x:c>
    </x:row>
    <x:row r="539" ht="21" customHeight="1">
      <x:c r="A539" s="2" t="n">
        <x:v>534</x:v>
      </x:c>
      <x:c r="B539" s="2" t="str">
        <x:v>TXN-00534</x:v>
      </x:c>
      <x:c r="C539" s="2" t="str">
        <x:v>2025-05-07</x:v>
      </x:c>
      <x:c r="D539" s="2" t="str">
        <x:v>Port Harcourt</x:v>
      </x:c>
      <x:c r="E539" s="2" t="str">
        <x:v>Fashion</x:v>
      </x:c>
      <x:c r="F539" s="2" t="str">
        <x:v>Handbag</x:v>
      </x:c>
      <x:c r="G539" s="2" t="str">
        <x:v>In-store</x:v>
      </x:c>
      <x:c r="H539" s="2" t="n">
        <x:v>2</x:v>
      </x:c>
      <x:c r="I539" s="2" t="n">
        <x:v>22000</x:v>
      </x:c>
      <x:c r="J539" s="2" t="n">
        <x:v>13500</x:v>
      </x:c>
      <x:c r="K539" s="2" t="n">
        <x:v>0</x:v>
      </x:c>
      <x:c r="L539" s="2" t="str">
        <x:v>Completed</x:v>
      </x:c>
    </x:row>
    <x:row r="540" ht="21" customHeight="1">
      <x:c r="A540" s="2" t="n">
        <x:v>535</x:v>
      </x:c>
      <x:c r="B540" s="2" t="str">
        <x:v>TXN-00535</x:v>
      </x:c>
      <x:c r="C540" s="2" t="str">
        <x:v>2025-05-07</x:v>
      </x:c>
      <x:c r="D540" s="2" t="str">
        <x:v>Kano</x:v>
      </x:c>
      <x:c r="E540" s="2" t="str">
        <x:v>Beauty</x:v>
      </x:c>
      <x:c r="F540" s="2" t="str">
        <x:v>Perfume</x:v>
      </x:c>
      <x:c r="G540" s="2" t="str">
        <x:v>Online</x:v>
      </x:c>
      <x:c r="H540" s="2" t="n">
        <x:v>1</x:v>
      </x:c>
      <x:c r="I540" s="2" t="n">
        <x:v>17000</x:v>
      </x:c>
      <x:c r="J540" s="2" t="n">
        <x:v>9000</x:v>
      </x:c>
      <x:c r="K540" s="2" t="n">
        <x:v>0</x:v>
      </x:c>
      <x:c r="L540" s="2" t="str">
        <x:v>Completed</x:v>
      </x:c>
    </x:row>
    <x:row r="541" ht="21" customHeight="1">
      <x:c r="A541" s="2" t="n">
        <x:v>536</x:v>
      </x:c>
      <x:c r="B541" s="2" t="str">
        <x:v>TXN-00536</x:v>
      </x:c>
      <x:c r="C541" s="2" t="str">
        <x:v>2025-05-08</x:v>
      </x:c>
      <x:c r="D541" s="2" t="str">
        <x:v>Abuja</x:v>
      </x:c>
      <x:c r="E541" s="2" t="str">
        <x:v>Fashion</x:v>
      </x:c>
      <x:c r="F541" s="2" t="str">
        <x:v>Sneakers</x:v>
      </x:c>
      <x:c r="G541" s="2" t="str">
        <x:v>Online</x:v>
      </x:c>
      <x:c r="H541" s="2" t="n">
        <x:v>1</x:v>
      </x:c>
      <x:c r="I541" s="2" t="n">
        <x:v>28000</x:v>
      </x:c>
      <x:c r="J541" s="2" t="n">
        <x:v>17500</x:v>
      </x:c>
      <x:c r="K541" s="2" t="str"/>
      <x:c r="L541" s="2" t="str">
        <x:v>Completed</x:v>
      </x:c>
    </x:row>
    <x:row r="542" ht="21" customHeight="1">
      <x:c r="A542" s="2" t="n">
        <x:v>537</x:v>
      </x:c>
      <x:c r="B542" s="2" t="str">
        <x:v>TXN-00537</x:v>
      </x:c>
      <x:c r="C542" s="2" t="str">
        <x:v>2025-05-27</x:v>
      </x:c>
      <x:c r="D542" s="2" t="str">
        <x:v>Abuja</x:v>
      </x:c>
      <x:c r="E542" s="2" t="str">
        <x:v>Electronics</x:v>
      </x:c>
      <x:c r="F542" s="2" t="str">
        <x:v>Bluetooth speaker</x:v>
      </x:c>
      <x:c r="G542" s="2" t="str">
        <x:v>Online</x:v>
      </x:c>
      <x:c r="H542" s="2" t="n">
        <x:v>1</x:v>
      </x:c>
      <x:c r="I542" s="2" t="n">
        <x:v>26000</x:v>
      </x:c>
      <x:c r="J542" s="2" t="n">
        <x:v>17000</x:v>
      </x:c>
      <x:c r="K542" s="2" t="n">
        <x:v>0</x:v>
      </x:c>
      <x:c r="L542" s="2" t="str">
        <x:v>Completed</x:v>
      </x:c>
    </x:row>
    <x:row r="543" ht="21" customHeight="1">
      <x:c r="A543" s="2" t="n">
        <x:v>538</x:v>
      </x:c>
      <x:c r="B543" s="2" t="str">
        <x:v>TXN-00538</x:v>
      </x:c>
      <x:c r="C543" s="2" t="str">
        <x:v>2025-06-06</x:v>
      </x:c>
      <x:c r="D543" s="2" t="str">
        <x:v>Kano</x:v>
      </x:c>
      <x:c r="E543" s="2" t="str">
        <x:v>Home</x:v>
      </x:c>
      <x:c r="F543" s="2" t="str">
        <x:v>Cookware set</x:v>
      </x:c>
      <x:c r="G543" s="2" t="str">
        <x:v>Online</x:v>
      </x:c>
      <x:c r="H543" s="2" t="n">
        <x:v>1</x:v>
      </x:c>
      <x:c r="I543" s="2" t="n">
        <x:v>35000</x:v>
      </x:c>
      <x:c r="J543" s="2" t="n">
        <x:v>22500</x:v>
      </x:c>
      <x:c r="K543" s="2" t="n">
        <x:v>0.05</x:v>
      </x:c>
      <x:c r="L543" s="2" t="str">
        <x:v>Completed</x:v>
      </x:c>
    </x:row>
    <x:row r="544" ht="21" customHeight="1">
      <x:c r="A544" s="2" t="n">
        <x:v>539</x:v>
      </x:c>
      <x:c r="B544" s="2" t="str">
        <x:v>TXN-00539</x:v>
      </x:c>
      <x:c r="C544" s="2" t="str">
        <x:v>2025-06-21</x:v>
      </x:c>
      <x:c r="D544" s="2" t="str">
        <x:v>Kano</x:v>
      </x:c>
      <x:c r="E544" s="2" t="str">
        <x:v>Beauty</x:v>
      </x:c>
      <x:c r="F544" s="2" t="str">
        <x:v>Moisturizer</x:v>
      </x:c>
      <x:c r="G544" s="2" t="str">
        <x:v>Online</x:v>
      </x:c>
      <x:c r="H544" s="2" t="n">
        <x:v>1</x:v>
      </x:c>
      <x:c r="I544" s="2" t="n">
        <x:v>6500</x:v>
      </x:c>
      <x:c r="J544" s="2" t="n">
        <x:v>3500</x:v>
      </x:c>
      <x:c r="K544" s="2" t="n">
        <x:v>0</x:v>
      </x:c>
      <x:c r="L544" s="2" t="str">
        <x:v>Completed</x:v>
      </x:c>
    </x:row>
    <x:row r="545" ht="21" customHeight="1">
      <x:c r="A545" s="2" t="n">
        <x:v>540</x:v>
      </x:c>
      <x:c r="B545" s="2" t="str">
        <x:v>TXN-00540</x:v>
      </x:c>
      <x:c r="C545" s="2" t="str">
        <x:v>2025-06-13</x:v>
      </x:c>
      <x:c r="D545" s="2" t="str">
        <x:v> port harcourt </x:v>
      </x:c>
      <x:c r="E545" s="2" t="str">
        <x:v>Home</x:v>
      </x:c>
      <x:c r="F545" s="2" t="str">
        <x:v>Desk lamp</x:v>
      </x:c>
      <x:c r="G545" s="2" t="str">
        <x:v> in-store </x:v>
      </x:c>
      <x:c r="H545" s="2" t="n">
        <x:v>1</x:v>
      </x:c>
      <x:c r="I545" s="2" t="n">
        <x:v>12000</x:v>
      </x:c>
      <x:c r="J545" s="2" t="n">
        <x:v>7200</x:v>
      </x:c>
      <x:c r="K545" s="2" t="n">
        <x:v>0</x:v>
      </x:c>
      <x:c r="L545" s="2" t="str">
        <x:v>Completed</x:v>
      </x:c>
    </x:row>
    <x:row r="546" ht="21" customHeight="1">
      <x:c r="A546" s="2" t="n">
        <x:v>541</x:v>
      </x:c>
      <x:c r="B546" s="2" t="str">
        <x:v>TXN-00541</x:v>
      </x:c>
      <x:c r="C546" s="2" t="str">
        <x:v>2025-06-05</x:v>
      </x:c>
      <x:c r="D546" s="2" t="str">
        <x:v>Port Harcourt</x:v>
      </x:c>
      <x:c r="E546" s="2" t="str">
        <x:v>Fashion</x:v>
      </x:c>
      <x:c r="F546" s="2" t="str">
        <x:v>Handbag</x:v>
      </x:c>
      <x:c r="G546" s="2" t="str">
        <x:v>Online</x:v>
      </x:c>
      <x:c r="H546" s="2" t="n">
        <x:v>2</x:v>
      </x:c>
      <x:c r="I546" s="2" t="n">
        <x:v>22000</x:v>
      </x:c>
      <x:c r="J546" s="2" t="n">
        <x:v>13500</x:v>
      </x:c>
      <x:c r="K546" s="2" t="n">
        <x:v>0.05</x:v>
      </x:c>
      <x:c r="L546" s="2" t="str">
        <x:v> COMPLETED </x:v>
      </x:c>
    </x:row>
    <x:row r="547" ht="21" customHeight="1">
      <x:c r="A547" s="2" t="n">
        <x:v>542</x:v>
      </x:c>
      <x:c r="B547" s="2" t="str">
        <x:v>TXN-00542</x:v>
      </x:c>
      <x:c r="C547" s="2" t="str">
        <x:v>2025-06-13</x:v>
      </x:c>
      <x:c r="D547" s="2" t="str">
        <x:v>Lagos</x:v>
      </x:c>
      <x:c r="E547" s="2" t="str">
        <x:v>Fashion</x:v>
      </x:c>
      <x:c r="F547" s="2" t="str">
        <x:v>Handbag</x:v>
      </x:c>
      <x:c r="G547" s="2" t="str">
        <x:v>Online</x:v>
      </x:c>
      <x:c r="H547" s="2" t="n">
        <x:v>3</x:v>
      </x:c>
      <x:c r="I547" s="2" t="n">
        <x:v>22000</x:v>
      </x:c>
      <x:c r="J547" s="2" t="n">
        <x:v>13500</x:v>
      </x:c>
      <x:c r="K547" s="2" t="n">
        <x:v>0</x:v>
      </x:c>
      <x:c r="L547" s="2" t="str">
        <x:v>Completed</x:v>
      </x:c>
    </x:row>
    <x:row r="548" ht="21" customHeight="1">
      <x:c r="A548" s="2" t="n">
        <x:v>543</x:v>
      </x:c>
      <x:c r="B548" s="2" t="str">
        <x:v>TXN-00543</x:v>
      </x:c>
      <x:c r="C548" s="2" t="str">
        <x:v>2025-06-13</x:v>
      </x:c>
      <x:c r="D548" s="2" t="str">
        <x:v>Abuja</x:v>
      </x:c>
      <x:c r="E548" s="2" t="str">
        <x:v>Electronics</x:v>
      </x:c>
      <x:c r="F548" s="2" t="str">
        <x:v>Power bank</x:v>
      </x:c>
      <x:c r="G548" s="2" t="str">
        <x:v>Online</x:v>
      </x:c>
      <x:c r="H548" s="2" t="n">
        <x:v>1</x:v>
      </x:c>
      <x:c r="I548" s="2" t="n">
        <x:v>15000</x:v>
      </x:c>
      <x:c r="J548" s="2" t="n">
        <x:v>9500</x:v>
      </x:c>
      <x:c r="K548" s="2" t="n">
        <x:v>0</x:v>
      </x:c>
      <x:c r="L548" s="2" t="str">
        <x:v>Completed</x:v>
      </x:c>
    </x:row>
    <x:row r="549" ht="21" customHeight="1">
      <x:c r="A549" s="2" t="n">
        <x:v>544</x:v>
      </x:c>
      <x:c r="B549" s="2" t="str">
        <x:v>TXN-00544</x:v>
      </x:c>
      <x:c r="C549" s="2" t="str">
        <x:v>2025-06-17</x:v>
      </x:c>
      <x:c r="D549" s="2" t="str">
        <x:v>Abuja</x:v>
      </x:c>
      <x:c r="E549" s="2" t="str">
        <x:v>Beauty</x:v>
      </x:c>
      <x:c r="F549" s="2" t="str">
        <x:v>Body wash</x:v>
      </x:c>
      <x:c r="G549" s="2" t="str">
        <x:v>In-store</x:v>
      </x:c>
      <x:c r="H549" s="2" t="n">
        <x:v>2</x:v>
      </x:c>
      <x:c r="I549" s="2" t="n">
        <x:v>4500</x:v>
      </x:c>
      <x:c r="J549" s="2" t="n">
        <x:v>2300</x:v>
      </x:c>
      <x:c r="K549" s="2" t="n">
        <x:v>0</x:v>
      </x:c>
      <x:c r="L549" s="2" t="str">
        <x:v>Completed</x:v>
      </x:c>
    </x:row>
    <x:row r="550" ht="21" customHeight="1">
      <x:c r="A550" s="2" t="n">
        <x:v>545</x:v>
      </x:c>
      <x:c r="B550" s="2" t="str">
        <x:v>TXN-00545</x:v>
      </x:c>
      <x:c r="C550" s="2" t="str">
        <x:v>2025-06-03</x:v>
      </x:c>
      <x:c r="D550" s="2" t="str">
        <x:v>Lagos</x:v>
      </x:c>
      <x:c r="E550" s="2" t="str">
        <x:v>Fashion</x:v>
      </x:c>
      <x:c r="F550" s="2" t="str">
        <x:v>Handbag</x:v>
      </x:c>
      <x:c r="G550" s="2" t="str">
        <x:v>In-store</x:v>
      </x:c>
      <x:c r="H550" s="2" t="n">
        <x:v>1</x:v>
      </x:c>
      <x:c r="I550" s="2" t="n">
        <x:v>22000</x:v>
      </x:c>
      <x:c r="J550" s="2" t="n">
        <x:v>13500</x:v>
      </x:c>
      <x:c r="K550" s="2" t="n">
        <x:v>0</x:v>
      </x:c>
      <x:c r="L550" s="2" t="str">
        <x:v>Completed</x:v>
      </x:c>
    </x:row>
    <x:row r="551" ht="21" customHeight="1">
      <x:c r="A551" s="2" t="n">
        <x:v>546</x:v>
      </x:c>
      <x:c r="B551" s="2" t="str">
        <x:v>TXN-00546</x:v>
      </x:c>
      <x:c r="C551" s="2" t="str">
        <x:v>2025-06-04</x:v>
      </x:c>
      <x:c r="D551" s="2" t="str">
        <x:v>Port Harcourt</x:v>
      </x:c>
      <x:c r="E551" s="2" t="str">
        <x:v>Fashion</x:v>
      </x:c>
      <x:c r="F551" s="2" t="str">
        <x:v>T-shirt</x:v>
      </x:c>
      <x:c r="G551" s="2" t="str">
        <x:v>Online</x:v>
      </x:c>
      <x:c r="H551" s="2" t="n">
        <x:v>1</x:v>
      </x:c>
      <x:c r="I551" s="2" t="n">
        <x:v>9000</x:v>
      </x:c>
      <x:c r="J551" s="2" t="n">
        <x:v>5000</x:v>
      </x:c>
      <x:c r="K551" s="2" t="n">
        <x:v>0</x:v>
      </x:c>
      <x:c r="L551" s="2" t="str">
        <x:v>Completed</x:v>
      </x:c>
    </x:row>
    <x:row r="552" ht="21" customHeight="1">
      <x:c r="A552" s="2" t="n">
        <x:v>547</x:v>
      </x:c>
      <x:c r="B552" s="2" t="str">
        <x:v>TXN-00547</x:v>
      </x:c>
      <x:c r="C552" s="2" t="str">
        <x:v>2025-06-08</x:v>
      </x:c>
      <x:c r="D552" s="2" t="str">
        <x:v> port harcourt </x:v>
      </x:c>
      <x:c r="E552" s="2" t="str">
        <x:v>Fashion</x:v>
      </x:c>
      <x:c r="F552" s="2" t="str">
        <x:v>Sneakers</x:v>
      </x:c>
      <x:c r="G552" s="2" t="str">
        <x:v>In-store</x:v>
      </x:c>
      <x:c r="H552" s="2" t="n">
        <x:v>1</x:v>
      </x:c>
      <x:c r="I552" s="2" t="n">
        <x:v>28000</x:v>
      </x:c>
      <x:c r="J552" s="2" t="n">
        <x:v>17500</x:v>
      </x:c>
      <x:c r="K552" s="2" t="n">
        <x:v>0.15</x:v>
      </x:c>
      <x:c r="L552" s="2" t="str">
        <x:v>Completed</x:v>
      </x:c>
    </x:row>
    <x:row r="553" ht="21" customHeight="1">
      <x:c r="A553" s="2" t="n">
        <x:v>548</x:v>
      </x:c>
      <x:c r="B553" s="2" t="str">
        <x:v>TXN-00548</x:v>
      </x:c>
      <x:c r="C553" s="2" t="str">
        <x:v>2025-06-12</x:v>
      </x:c>
      <x:c r="D553" s="2" t="str">
        <x:v>Kano</x:v>
      </x:c>
      <x:c r="E553" s="2" t="str">
        <x:v>Fashion</x:v>
      </x:c>
      <x:c r="F553" s="2" t="str">
        <x:v>T-shirt</x:v>
      </x:c>
      <x:c r="G553" s="2" t="str">
        <x:v>Online</x:v>
      </x:c>
      <x:c r="H553" s="2" t="n">
        <x:v>1</x:v>
      </x:c>
      <x:c r="I553" s="2" t="n">
        <x:v>9000</x:v>
      </x:c>
      <x:c r="J553" s="2" t="n">
        <x:v>5000</x:v>
      </x:c>
      <x:c r="K553" s="2" t="n">
        <x:v>0</x:v>
      </x:c>
      <x:c r="L553" s="2" t="str">
        <x:v>Completed</x:v>
      </x:c>
    </x:row>
    <x:row r="554" ht="21" customHeight="1">
      <x:c r="A554" s="2" t="n">
        <x:v>549</x:v>
      </x:c>
      <x:c r="B554" s="2" t="str">
        <x:v>TXN-00549</x:v>
      </x:c>
      <x:c r="C554" s="2" t="str">
        <x:v>2025-06-28</x:v>
      </x:c>
      <x:c r="D554" s="2" t="str">
        <x:v>Abuja</x:v>
      </x:c>
      <x:c r="E554" s="2" t="str">
        <x:v>Beauty</x:v>
      </x:c>
      <x:c r="F554" s="2" t="str">
        <x:v>Perfume</x:v>
      </x:c>
      <x:c r="G554" s="2" t="str">
        <x:v>In-store</x:v>
      </x:c>
      <x:c r="H554" s="2" t="n">
        <x:v>1</x:v>
      </x:c>
      <x:c r="I554" s="2" t="n">
        <x:v>17000</x:v>
      </x:c>
      <x:c r="J554" s="2" t="n">
        <x:v>9000</x:v>
      </x:c>
      <x:c r="K554" s="2" t="n">
        <x:v>0</x:v>
      </x:c>
      <x:c r="L554" s="2" t="str">
        <x:v>Completed</x:v>
      </x:c>
    </x:row>
    <x:row r="555" ht="21" customHeight="1">
      <x:c r="A555" s="2" t="n">
        <x:v>550</x:v>
      </x:c>
      <x:c r="B555" s="2" t="str">
        <x:v>TXN-00550</x:v>
      </x:c>
      <x:c r="C555" s="2" t="str">
        <x:v>2025-06-14</x:v>
      </x:c>
      <x:c r="D555" s="2" t="str">
        <x:v>Lagos</x:v>
      </x:c>
      <x:c r="E555" s="2" t="str">
        <x:v>Fashion</x:v>
      </x:c>
      <x:c r="F555" s="2" t="str">
        <x:v>Handbag</x:v>
      </x:c>
      <x:c r="G555" s="2" t="str">
        <x:v>In-store</x:v>
      </x:c>
      <x:c r="H555" s="2" t="n">
        <x:v>2</x:v>
      </x:c>
      <x:c r="I555" s="2" t="n">
        <x:v>22000</x:v>
      </x:c>
      <x:c r="J555" s="2" t="n">
        <x:v>13500</x:v>
      </x:c>
      <x:c r="K555" s="2" t="n">
        <x:v>0.15</x:v>
      </x:c>
      <x:c r="L555" s="2" t="str">
        <x:v> RETURNED </x:v>
      </x:c>
    </x:row>
    <x:row r="556" ht="21" customHeight="1">
      <x:c r="A556" s="2" t="n">
        <x:v>551</x:v>
      </x:c>
      <x:c r="B556" s="2" t="str">
        <x:v>TXN-00551</x:v>
      </x:c>
      <x:c r="C556" s="2" t="str">
        <x:v>2025-06-26</x:v>
      </x:c>
      <x:c r="D556" s="2" t="str">
        <x:v>Lagos</x:v>
      </x:c>
      <x:c r="E556" s="2" t="str">
        <x:v>Beauty</x:v>
      </x:c>
      <x:c r="F556" s="2" t="str">
        <x:v>Perfume</x:v>
      </x:c>
      <x:c r="G556" s="2" t="str">
        <x:v> in-store </x:v>
      </x:c>
      <x:c r="H556" s="2" t="n">
        <x:v>4</x:v>
      </x:c>
      <x:c r="I556" s="2" t="n">
        <x:v>17000</x:v>
      </x:c>
      <x:c r="J556" s="2" t="n">
        <x:v>9000</x:v>
      </x:c>
      <x:c r="K556" s="2" t="n">
        <x:v>0</x:v>
      </x:c>
      <x:c r="L556" s="2" t="str">
        <x:v>Completed</x:v>
      </x:c>
    </x:row>
    <x:row r="557" ht="21" customHeight="1">
      <x:c r="A557" s="2" t="n">
        <x:v>552</x:v>
      </x:c>
      <x:c r="B557" s="2" t="str">
        <x:v>TXN-00552</x:v>
      </x:c>
      <x:c r="C557" s="2" t="str">
        <x:v>2025-06-27</x:v>
      </x:c>
      <x:c r="D557" s="2" t="str">
        <x:v>Lagos</x:v>
      </x:c>
      <x:c r="E557" s="2" t="str">
        <x:v>Fashion</x:v>
      </x:c>
      <x:c r="F557" s="2" t="str">
        <x:v>Handbag</x:v>
      </x:c>
      <x:c r="G557" s="2" t="str">
        <x:v>Online</x:v>
      </x:c>
      <x:c r="H557" s="2" t="n">
        <x:v>3</x:v>
      </x:c>
      <x:c r="I557" s="2" t="n">
        <x:v>22000</x:v>
      </x:c>
      <x:c r="J557" s="2" t="n">
        <x:v>13500</x:v>
      </x:c>
      <x:c r="K557" s="2" t="n">
        <x:v>0.1</x:v>
      </x:c>
      <x:c r="L557" s="2" t="str">
        <x:v>Completed</x:v>
      </x:c>
    </x:row>
    <x:row r="558" ht="21" customHeight="1">
      <x:c r="A558" s="2" t="n">
        <x:v>553</x:v>
      </x:c>
      <x:c r="B558" s="2" t="str">
        <x:v>TXN-00553</x:v>
      </x:c>
      <x:c r="C558" s="2" t="str">
        <x:v>2025-06-19</x:v>
      </x:c>
      <x:c r="D558" s="2" t="str">
        <x:v>Lagos</x:v>
      </x:c>
      <x:c r="E558" s="2" t="str">
        <x:v>Beauty</x:v>
      </x:c>
      <x:c r="F558" s="2" t="str">
        <x:v>Body wash</x:v>
      </x:c>
      <x:c r="G558" s="2" t="str">
        <x:v>In-store</x:v>
      </x:c>
      <x:c r="H558" s="2" t="n">
        <x:v>1</x:v>
      </x:c>
      <x:c r="I558" s="2" t="n">
        <x:v>4500</x:v>
      </x:c>
      <x:c r="J558" s="2" t="n">
        <x:v>2300</x:v>
      </x:c>
      <x:c r="K558" s="2" t="n">
        <x:v>0.05</x:v>
      </x:c>
      <x:c r="L558" s="2" t="str">
        <x:v>Completed</x:v>
      </x:c>
    </x:row>
    <x:row r="559" ht="21" customHeight="1">
      <x:c r="A559" s="2" t="n">
        <x:v>554</x:v>
      </x:c>
      <x:c r="B559" s="2" t="str">
        <x:v>TXN-00554</x:v>
      </x:c>
      <x:c r="C559" s="2" t="str">
        <x:v>2025-06-01</x:v>
      </x:c>
      <x:c r="D559" s="2" t="str">
        <x:v> port harcourt </x:v>
      </x:c>
      <x:c r="E559" s="2" t="str">
        <x:v>Beauty</x:v>
      </x:c>
      <x:c r="F559" s="2" t="str">
        <x:v>Moisturizer</x:v>
      </x:c>
      <x:c r="G559" s="2" t="str">
        <x:v>Online</x:v>
      </x:c>
      <x:c r="H559" s="2" t="n">
        <x:v>1</x:v>
      </x:c>
      <x:c r="I559" s="2" t="n">
        <x:v>6500</x:v>
      </x:c>
      <x:c r="J559" s="2" t="n">
        <x:v>3500</x:v>
      </x:c>
      <x:c r="K559" s="2" t="n">
        <x:v>0.1</x:v>
      </x:c>
      <x:c r="L559" s="2" t="str">
        <x:v>Completed</x:v>
      </x:c>
    </x:row>
    <x:row r="560" ht="21" customHeight="1">
      <x:c r="A560" s="2" t="n">
        <x:v>555</x:v>
      </x:c>
      <x:c r="B560" s="2" t="str">
        <x:v>TXN-00555</x:v>
      </x:c>
      <x:c r="C560" s="2" t="str">
        <x:v>2025-06-27</x:v>
      </x:c>
      <x:c r="D560" s="2" t="str">
        <x:v>Port Harcourt</x:v>
      </x:c>
      <x:c r="E560" s="2" t="str">
        <x:v>Beauty</x:v>
      </x:c>
      <x:c r="F560" s="2" t="str">
        <x:v>Perfume</x:v>
      </x:c>
      <x:c r="G560" s="2" t="str">
        <x:v>In-store</x:v>
      </x:c>
      <x:c r="H560" s="2" t="n">
        <x:v>4</x:v>
      </x:c>
      <x:c r="I560" s="2" t="n">
        <x:v>17000</x:v>
      </x:c>
      <x:c r="J560" s="2" t="n">
        <x:v>9000</x:v>
      </x:c>
      <x:c r="K560" s="2" t="n">
        <x:v>0.15</x:v>
      </x:c>
      <x:c r="L560" s="2" t="str">
        <x:v>Completed</x:v>
      </x:c>
    </x:row>
    <x:row r="561" ht="21" customHeight="1">
      <x:c r="A561" s="2" t="n">
        <x:v>556</x:v>
      </x:c>
      <x:c r="B561" s="2" t="str">
        <x:v>TXN-00556</x:v>
      </x:c>
      <x:c r="C561" s="2" t="str">
        <x:v>2025-06-30</x:v>
      </x:c>
      <x:c r="D561" s="2" t="str"/>
      <x:c r="E561" s="2" t="str">
        <x:v>Beauty</x:v>
      </x:c>
      <x:c r="F561" s="2" t="str">
        <x:v>Perfume</x:v>
      </x:c>
      <x:c r="G561" s="2" t="str">
        <x:v>In-store</x:v>
      </x:c>
      <x:c r="H561" s="2" t="n">
        <x:v>1</x:v>
      </x:c>
      <x:c r="I561" s="2" t="n">
        <x:v>17000</x:v>
      </x:c>
      <x:c r="J561" s="2" t="n">
        <x:v>9000</x:v>
      </x:c>
      <x:c r="K561" s="2" t="n">
        <x:v>0</x:v>
      </x:c>
      <x:c r="L561" s="2" t="str">
        <x:v>Completed</x:v>
      </x:c>
    </x:row>
    <x:row r="562" ht="21" customHeight="1">
      <x:c r="A562" s="2" t="n">
        <x:v>557</x:v>
      </x:c>
      <x:c r="B562" s="2" t="str">
        <x:v>TXN-00557</x:v>
      </x:c>
      <x:c r="C562" s="2" t="str">
        <x:v>2025-06-02</x:v>
      </x:c>
      <x:c r="D562" s="2" t="str">
        <x:v>Abuja</x:v>
      </x:c>
      <x:c r="E562" s="2" t="str">
        <x:v>Electronics</x:v>
      </x:c>
      <x:c r="F562" s="2" t="str">
        <x:v>Headphones</x:v>
      </x:c>
      <x:c r="G562" s="2" t="str">
        <x:v>Online</x:v>
      </x:c>
      <x:c r="H562" s="2" t="n">
        <x:v>1</x:v>
      </x:c>
      <x:c r="I562" s="2" t="n">
        <x:v>18000</x:v>
      </x:c>
      <x:c r="J562" s="2" t="n">
        <x:v>10500</x:v>
      </x:c>
      <x:c r="K562" s="2" t="n">
        <x:v>0.05</x:v>
      </x:c>
      <x:c r="L562" s="2" t="str">
        <x:v>Completed</x:v>
      </x:c>
    </x:row>
    <x:row r="563" ht="21" customHeight="1">
      <x:c r="A563" s="2" t="n">
        <x:v>558</x:v>
      </x:c>
      <x:c r="B563" s="2" t="str">
        <x:v>TXN-00558</x:v>
      </x:c>
      <x:c r="C563" s="2" t="str">
        <x:v>2025-06-10</x:v>
      </x:c>
      <x:c r="D563" s="2" t="str"/>
      <x:c r="E563" s="2" t="str">
        <x:v>Home</x:v>
      </x:c>
      <x:c r="F563" s="2" t="str">
        <x:v>Desk lamp</x:v>
      </x:c>
      <x:c r="G563" s="2" t="str">
        <x:v>In-store</x:v>
      </x:c>
      <x:c r="H563" s="2" t="n">
        <x:v>1</x:v>
      </x:c>
      <x:c r="I563" s="2" t="n">
        <x:v>12000</x:v>
      </x:c>
      <x:c r="J563" s="2" t="n">
        <x:v>7200</x:v>
      </x:c>
      <x:c r="K563" s="2" t="n">
        <x:v>0</x:v>
      </x:c>
      <x:c r="L563" s="2" t="str">
        <x:v>Completed</x:v>
      </x:c>
    </x:row>
    <x:row r="564" ht="21" customHeight="1">
      <x:c r="A564" s="2" t="n">
        <x:v>559</x:v>
      </x:c>
      <x:c r="B564" s="2" t="str">
        <x:v>TXN-00559</x:v>
      </x:c>
      <x:c r="C564" s="2" t="str">
        <x:v>2025-06-28</x:v>
      </x:c>
      <x:c r="D564" s="2" t="str">
        <x:v>Port Harcourt</x:v>
      </x:c>
      <x:c r="E564" s="2" t="str">
        <x:v>Beauty</x:v>
      </x:c>
      <x:c r="F564" s="2" t="str">
        <x:v>Body wash</x:v>
      </x:c>
      <x:c r="G564" s="2" t="str">
        <x:v>In-store</x:v>
      </x:c>
      <x:c r="H564" s="2" t="n">
        <x:v>2</x:v>
      </x:c>
      <x:c r="I564" s="2" t="n">
        <x:v>4500</x:v>
      </x:c>
      <x:c r="J564" s="2" t="n">
        <x:v>2300</x:v>
      </x:c>
      <x:c r="K564" s="2" t="n">
        <x:v>0</x:v>
      </x:c>
      <x:c r="L564" s="2" t="str">
        <x:v> RETURNED </x:v>
      </x:c>
    </x:row>
    <x:row r="565" ht="21" customHeight="1">
      <x:c r="A565" s="2" t="n">
        <x:v>560</x:v>
      </x:c>
      <x:c r="B565" s="2" t="str">
        <x:v>TXN-00560</x:v>
      </x:c>
      <x:c r="C565" s="2" t="str">
        <x:v>2025-06-08</x:v>
      </x:c>
      <x:c r="D565" s="2" t="str">
        <x:v>Port Harcourt</x:v>
      </x:c>
      <x:c r="E565" s="2" t="str">
        <x:v>Beauty</x:v>
      </x:c>
      <x:c r="F565" s="2" t="str">
        <x:v>Moisturizer</x:v>
      </x:c>
      <x:c r="G565" s="2" t="str">
        <x:v>Online</x:v>
      </x:c>
      <x:c r="H565" s="2" t="n">
        <x:v>2</x:v>
      </x:c>
      <x:c r="I565" s="2" t="n">
        <x:v>6500</x:v>
      </x:c>
      <x:c r="J565" s="2" t="n">
        <x:v>3500</x:v>
      </x:c>
      <x:c r="K565" s="2" t="n">
        <x:v>0.05</x:v>
      </x:c>
      <x:c r="L565" s="2" t="str">
        <x:v>Completed</x:v>
      </x:c>
    </x:row>
    <x:row r="566" ht="21" customHeight="1">
      <x:c r="A566" s="2" t="n">
        <x:v>561</x:v>
      </x:c>
      <x:c r="B566" s="2" t="str">
        <x:v>TXN-00561</x:v>
      </x:c>
      <x:c r="C566" s="2" t="str">
        <x:v>2025-06-21</x:v>
      </x:c>
      <x:c r="D566" s="2" t="str">
        <x:v> lagos </x:v>
      </x:c>
      <x:c r="E566" s="2" t="str">
        <x:v>Home</x:v>
      </x:c>
      <x:c r="F566" s="2" t="str">
        <x:v>Desk lamp</x:v>
      </x:c>
      <x:c r="G566" s="2" t="str">
        <x:v>Online</x:v>
      </x:c>
      <x:c r="H566" s="2" t="n">
        <x:v>1</x:v>
      </x:c>
      <x:c r="I566" s="2" t="n">
        <x:v>12000</x:v>
      </x:c>
      <x:c r="J566" s="2" t="n">
        <x:v>7200</x:v>
      </x:c>
      <x:c r="K566" s="2" t="n">
        <x:v>0</x:v>
      </x:c>
      <x:c r="L566" s="2" t="str">
        <x:v>Completed</x:v>
      </x:c>
    </x:row>
    <x:row r="567" ht="21" customHeight="1">
      <x:c r="A567" s="2" t="n">
        <x:v>562</x:v>
      </x:c>
      <x:c r="B567" s="2" t="str">
        <x:v>TXN-00562</x:v>
      </x:c>
      <x:c r="C567" s="2" t="str">
        <x:v>2025-06-13</x:v>
      </x:c>
      <x:c r="D567" s="2" t="str">
        <x:v>Kano</x:v>
      </x:c>
      <x:c r="E567" s="2" t="str">
        <x:v>Home</x:v>
      </x:c>
      <x:c r="F567" s="2" t="str">
        <x:v>Desk lamp</x:v>
      </x:c>
      <x:c r="G567" s="2" t="str">
        <x:v> online </x:v>
      </x:c>
      <x:c r="H567" s="2" t="n">
        <x:v>1</x:v>
      </x:c>
      <x:c r="I567" s="2" t="n">
        <x:v>12000</x:v>
      </x:c>
      <x:c r="J567" s="2" t="n">
        <x:v>7200</x:v>
      </x:c>
      <x:c r="K567" s="2" t="str"/>
      <x:c r="L567" s="2" t="str">
        <x:v>Completed</x:v>
      </x:c>
    </x:row>
    <x:row r="568" ht="21" customHeight="1">
      <x:c r="A568" s="2" t="n">
        <x:v>563</x:v>
      </x:c>
      <x:c r="B568" s="2" t="str">
        <x:v>TXN-00563</x:v>
      </x:c>
      <x:c r="C568" s="2" t="str">
        <x:v>2025-06-22</x:v>
      </x:c>
      <x:c r="D568" s="2" t="str">
        <x:v>Lagos</x:v>
      </x:c>
      <x:c r="E568" s="2" t="str">
        <x:v>Electronics</x:v>
      </x:c>
      <x:c r="F568" s="2" t="str">
        <x:v>Bluetooth speaker</x:v>
      </x:c>
      <x:c r="G568" s="2" t="str">
        <x:v>In-store</x:v>
      </x:c>
      <x:c r="H568" s="2" t="n">
        <x:v>2</x:v>
      </x:c>
      <x:c r="I568" s="2" t="n">
        <x:v>26000</x:v>
      </x:c>
      <x:c r="J568" s="2" t="n">
        <x:v>17000</x:v>
      </x:c>
      <x:c r="K568" s="2" t="n">
        <x:v>0.1</x:v>
      </x:c>
      <x:c r="L568" s="2" t="str">
        <x:v>Completed</x:v>
      </x:c>
    </x:row>
    <x:row r="569" ht="21" customHeight="1">
      <x:c r="A569" s="2" t="n">
        <x:v>564</x:v>
      </x:c>
      <x:c r="B569" s="2" t="str">
        <x:v>TXN-00564</x:v>
      </x:c>
      <x:c r="C569" s="2" t="str">
        <x:v>2025-06-08</x:v>
      </x:c>
      <x:c r="D569" s="2" t="str">
        <x:v>Port Harcourt</x:v>
      </x:c>
      <x:c r="E569" s="2" t="str">
        <x:v>Beauty</x:v>
      </x:c>
      <x:c r="F569" s="2" t="str">
        <x:v>Perfume</x:v>
      </x:c>
      <x:c r="G569" s="2" t="str">
        <x:v>Online</x:v>
      </x:c>
      <x:c r="H569" s="2" t="n">
        <x:v>2</x:v>
      </x:c>
      <x:c r="I569" s="2" t="n">
        <x:v>17000</x:v>
      </x:c>
      <x:c r="J569" s="2" t="n">
        <x:v>9000</x:v>
      </x:c>
      <x:c r="K569" s="2" t="n">
        <x:v>0.05</x:v>
      </x:c>
      <x:c r="L569" s="2" t="str">
        <x:v>Completed</x:v>
      </x:c>
    </x:row>
    <x:row r="570" ht="21" customHeight="1">
      <x:c r="A570" s="2" t="n">
        <x:v>565</x:v>
      </x:c>
      <x:c r="B570" s="2" t="str">
        <x:v>TXN-00565</x:v>
      </x:c>
      <x:c r="C570" s="2" t="str">
        <x:v>2025-06-17</x:v>
      </x:c>
      <x:c r="D570" s="2" t="str">
        <x:v>Abuja</x:v>
      </x:c>
      <x:c r="E570" s="2" t="str">
        <x:v>Electronics</x:v>
      </x:c>
      <x:c r="F570" s="2" t="str">
        <x:v>Bluetooth speaker</x:v>
      </x:c>
      <x:c r="G570" s="2" t="str">
        <x:v>Online</x:v>
      </x:c>
      <x:c r="H570" s="2" t="n">
        <x:v>1</x:v>
      </x:c>
      <x:c r="I570" s="2" t="n">
        <x:v>26000</x:v>
      </x:c>
      <x:c r="J570" s="2" t="n">
        <x:v>17000</x:v>
      </x:c>
      <x:c r="K570" s="2" t="n">
        <x:v>0.15</x:v>
      </x:c>
      <x:c r="L570" s="2" t="str">
        <x:v>Completed</x:v>
      </x:c>
    </x:row>
    <x:row r="571" ht="21" customHeight="1">
      <x:c r="A571" s="2" t="n">
        <x:v>566</x:v>
      </x:c>
      <x:c r="B571" s="2" t="str">
        <x:v>TXN-00566</x:v>
      </x:c>
      <x:c r="C571" s="2" t="str">
        <x:v>2025-06-29</x:v>
      </x:c>
      <x:c r="D571" s="2" t="str">
        <x:v>Kano</x:v>
      </x:c>
      <x:c r="E571" s="2" t="str">
        <x:v>Home</x:v>
      </x:c>
      <x:c r="F571" s="2" t="str">
        <x:v>Desk lamp</x:v>
      </x:c>
      <x:c r="G571" s="2" t="str">
        <x:v>Online</x:v>
      </x:c>
      <x:c r="H571" s="2" t="n">
        <x:v>1</x:v>
      </x:c>
      <x:c r="I571" s="2" t="n">
        <x:v>12000</x:v>
      </x:c>
      <x:c r="J571" s="2" t="n">
        <x:v>7200</x:v>
      </x:c>
      <x:c r="K571" s="2" t="n">
        <x:v>0</x:v>
      </x:c>
      <x:c r="L571" s="2" t="str">
        <x:v>Completed</x:v>
      </x:c>
    </x:row>
    <x:row r="572" ht="21" customHeight="1">
      <x:c r="A572" s="2" t="n">
        <x:v>567</x:v>
      </x:c>
      <x:c r="B572" s="2" t="str">
        <x:v>TXN-00567</x:v>
      </x:c>
      <x:c r="C572" s="2" t="str">
        <x:v>2025-06-04</x:v>
      </x:c>
      <x:c r="D572" s="2" t="str">
        <x:v>Abuja</x:v>
      </x:c>
      <x:c r="E572" s="2" t="str">
        <x:v>Fashion</x:v>
      </x:c>
      <x:c r="F572" s="2" t="str">
        <x:v>Sneakers</x:v>
      </x:c>
      <x:c r="G572" s="2" t="str">
        <x:v>Online</x:v>
      </x:c>
      <x:c r="H572" s="2" t="n">
        <x:v>3</x:v>
      </x:c>
      <x:c r="I572" s="2" t="n">
        <x:v>28000</x:v>
      </x:c>
      <x:c r="J572" s="2" t="n">
        <x:v>17500</x:v>
      </x:c>
      <x:c r="K572" s="2" t="n">
        <x:v>0.1</x:v>
      </x:c>
      <x:c r="L572" s="2" t="str">
        <x:v>Returned</x:v>
      </x:c>
    </x:row>
    <x:row r="573" ht="21" customHeight="1">
      <x:c r="A573" s="2" t="n">
        <x:v>568</x:v>
      </x:c>
      <x:c r="B573" s="2" t="str">
        <x:v>TXN-00568</x:v>
      </x:c>
      <x:c r="C573" s="2" t="str">
        <x:v>2025-06-12</x:v>
      </x:c>
      <x:c r="D573" s="2" t="str">
        <x:v> port harcourt </x:v>
      </x:c>
      <x:c r="E573" s="2" t="str">
        <x:v>Electronics</x:v>
      </x:c>
      <x:c r="F573" s="2" t="str">
        <x:v>Bluetooth speaker</x:v>
      </x:c>
      <x:c r="G573" s="2" t="str">
        <x:v>Online</x:v>
      </x:c>
      <x:c r="H573" s="2" t="n">
        <x:v>2</x:v>
      </x:c>
      <x:c r="I573" s="2" t="n">
        <x:v>26000</x:v>
      </x:c>
      <x:c r="J573" s="2" t="n">
        <x:v>17000</x:v>
      </x:c>
      <x:c r="K573" s="2" t="n">
        <x:v>0</x:v>
      </x:c>
      <x:c r="L573" s="2" t="str">
        <x:v> RETURNED </x:v>
      </x:c>
    </x:row>
    <x:row r="574" ht="21" customHeight="1">
      <x:c r="A574" s="2" t="n">
        <x:v>569</x:v>
      </x:c>
      <x:c r="B574" s="2" t="str">
        <x:v>TXN-00569</x:v>
      </x:c>
      <x:c r="C574" s="2" t="str">
        <x:v>2025-06-28</x:v>
      </x:c>
      <x:c r="D574" s="2" t="str">
        <x:v>Abuja</x:v>
      </x:c>
      <x:c r="E574" s="2" t="str">
        <x:v>Electronics</x:v>
      </x:c>
      <x:c r="F574" s="2" t="str">
        <x:v>Bluetooth speaker</x:v>
      </x:c>
      <x:c r="G574" s="2" t="str">
        <x:v>In-store</x:v>
      </x:c>
      <x:c r="H574" s="2" t="n">
        <x:v>2</x:v>
      </x:c>
      <x:c r="I574" s="2" t="n">
        <x:v>26000</x:v>
      </x:c>
      <x:c r="J574" s="2" t="n">
        <x:v>17000</x:v>
      </x:c>
      <x:c r="K574" s="2" t="n">
        <x:v>0.05</x:v>
      </x:c>
      <x:c r="L574" s="2" t="str">
        <x:v>Completed</x:v>
      </x:c>
    </x:row>
    <x:row r="575" ht="21" customHeight="1">
      <x:c r="A575" s="2" t="n">
        <x:v>570</x:v>
      </x:c>
      <x:c r="B575" s="2" t="str">
        <x:v>TXN-00570</x:v>
      </x:c>
      <x:c r="C575" s="2" t="str">
        <x:v>2025-06-26</x:v>
      </x:c>
      <x:c r="D575" s="2" t="str">
        <x:v>Lagos</x:v>
      </x:c>
      <x:c r="E575" s="2" t="str">
        <x:v>Fashion</x:v>
      </x:c>
      <x:c r="F575" s="2" t="str">
        <x:v>Sneakers</x:v>
      </x:c>
      <x:c r="G575" s="2" t="str">
        <x:v>In-store</x:v>
      </x:c>
      <x:c r="H575" s="2" t="n">
        <x:v>2</x:v>
      </x:c>
      <x:c r="I575" s="2" t="n">
        <x:v>28000</x:v>
      </x:c>
      <x:c r="J575" s="2" t="n">
        <x:v>17500</x:v>
      </x:c>
      <x:c r="K575" s="2" t="n">
        <x:v>0.1</x:v>
      </x:c>
      <x:c r="L575" s="2" t="str">
        <x:v>Completed</x:v>
      </x:c>
    </x:row>
    <x:row r="576" ht="21" customHeight="1">
      <x:c r="A576" s="2" t="n">
        <x:v>571</x:v>
      </x:c>
      <x:c r="B576" s="2" t="str">
        <x:v>TXN-00571</x:v>
      </x:c>
      <x:c r="C576" s="2" t="str">
        <x:v>2025-06-21</x:v>
      </x:c>
      <x:c r="D576" s="2" t="str">
        <x:v>Lagos</x:v>
      </x:c>
      <x:c r="E576" s="2" t="str">
        <x:v>Electronics</x:v>
      </x:c>
      <x:c r="F576" s="2" t="str">
        <x:v>Power bank</x:v>
      </x:c>
      <x:c r="G576" s="2" t="str">
        <x:v>In-store</x:v>
      </x:c>
      <x:c r="H576" s="2" t="n">
        <x:v>2</x:v>
      </x:c>
      <x:c r="I576" s="2" t="n">
        <x:v>15000</x:v>
      </x:c>
      <x:c r="J576" s="2" t="n">
        <x:v>9500</x:v>
      </x:c>
      <x:c r="K576" s="2" t="n">
        <x:v>0</x:v>
      </x:c>
      <x:c r="L576" s="2" t="str">
        <x:v>Completed</x:v>
      </x:c>
    </x:row>
    <x:row r="577" ht="21" customHeight="1">
      <x:c r="A577" s="2" t="n">
        <x:v>572</x:v>
      </x:c>
      <x:c r="B577" s="2" t="str">
        <x:v>TXN-00572</x:v>
      </x:c>
      <x:c r="C577" s="2" t="str">
        <x:v>2025-06-13</x:v>
      </x:c>
      <x:c r="D577" s="2" t="str">
        <x:v>Port Harcourt</x:v>
      </x:c>
      <x:c r="E577" s="2" t="str">
        <x:v>Beauty</x:v>
      </x:c>
      <x:c r="F577" s="2" t="str">
        <x:v>Body wash</x:v>
      </x:c>
      <x:c r="G577" s="2" t="str">
        <x:v>Online</x:v>
      </x:c>
      <x:c r="H577" s="2" t="n">
        <x:v>1</x:v>
      </x:c>
      <x:c r="I577" s="2" t="n">
        <x:v>4500</x:v>
      </x:c>
      <x:c r="J577" s="2" t="n">
        <x:v>2300</x:v>
      </x:c>
      <x:c r="K577" s="2" t="n">
        <x:v>0.15</x:v>
      </x:c>
      <x:c r="L577" s="2" t="str">
        <x:v>Completed</x:v>
      </x:c>
    </x:row>
    <x:row r="578" ht="21" customHeight="1">
      <x:c r="A578" s="2" t="n">
        <x:v>573</x:v>
      </x:c>
      <x:c r="B578" s="2" t="str">
        <x:v>TXN-00573</x:v>
      </x:c>
      <x:c r="C578" s="2" t="str">
        <x:v>2025-06-29</x:v>
      </x:c>
      <x:c r="D578" s="2" t="str">
        <x:v>Kano</x:v>
      </x:c>
      <x:c r="E578" s="2" t="str">
        <x:v>Beauty</x:v>
      </x:c>
      <x:c r="F578" s="2" t="str">
        <x:v>Perfume</x:v>
      </x:c>
      <x:c r="G578" s="2" t="str">
        <x:v> online </x:v>
      </x:c>
      <x:c r="H578" s="2" t="n">
        <x:v>2</x:v>
      </x:c>
      <x:c r="I578" s="2" t="n">
        <x:v>17000</x:v>
      </x:c>
      <x:c r="J578" s="2" t="n">
        <x:v>9000</x:v>
      </x:c>
      <x:c r="K578" s="2" t="n">
        <x:v>0</x:v>
      </x:c>
      <x:c r="L578" s="2" t="str">
        <x:v>Completed</x:v>
      </x:c>
    </x:row>
    <x:row r="579" ht="21" customHeight="1">
      <x:c r="A579" s="2" t="n">
        <x:v>574</x:v>
      </x:c>
      <x:c r="B579" s="2" t="str">
        <x:v>TXN-00574</x:v>
      </x:c>
      <x:c r="C579" s="2" t="str">
        <x:v>2025-06-29</x:v>
      </x:c>
      <x:c r="D579" s="2" t="str">
        <x:v>Kano</x:v>
      </x:c>
      <x:c r="E579" s="2" t="str">
        <x:v>Electronics</x:v>
      </x:c>
      <x:c r="F579" s="2" t="str">
        <x:v>Headphones</x:v>
      </x:c>
      <x:c r="G579" s="2" t="str">
        <x:v>Online</x:v>
      </x:c>
      <x:c r="H579" s="2" t="n">
        <x:v>1</x:v>
      </x:c>
      <x:c r="I579" s="2" t="n">
        <x:v>18000</x:v>
      </x:c>
      <x:c r="J579" s="2" t="n">
        <x:v>10500</x:v>
      </x:c>
      <x:c r="K579" s="2" t="n">
        <x:v>0</x:v>
      </x:c>
      <x:c r="L579" s="2" t="str">
        <x:v>Completed</x:v>
      </x:c>
    </x:row>
    <x:row r="580" ht="21" customHeight="1">
      <x:c r="A580" s="2" t="n">
        <x:v>575</x:v>
      </x:c>
      <x:c r="B580" s="2" t="str">
        <x:v>TXN-00575</x:v>
      </x:c>
      <x:c r="C580" s="2" t="str">
        <x:v>2025-06-25</x:v>
      </x:c>
      <x:c r="D580" s="2" t="str">
        <x:v> lagos </x:v>
      </x:c>
      <x:c r="E580" s="2" t="str">
        <x:v>Fashion</x:v>
      </x:c>
      <x:c r="F580" s="2" t="str">
        <x:v>Handbag</x:v>
      </x:c>
      <x:c r="G580" s="2" t="str">
        <x:v>In-store</x:v>
      </x:c>
      <x:c r="H580" s="2" t="n">
        <x:v>2</x:v>
      </x:c>
      <x:c r="I580" s="2" t="n">
        <x:v>22000</x:v>
      </x:c>
      <x:c r="J580" s="2" t="n">
        <x:v>13500</x:v>
      </x:c>
      <x:c r="K580" s="2" t="n">
        <x:v>0</x:v>
      </x:c>
      <x:c r="L580" s="2" t="str">
        <x:v>Completed</x:v>
      </x:c>
    </x:row>
    <x:row r="581" ht="21" customHeight="1">
      <x:c r="A581" s="2" t="n">
        <x:v>576</x:v>
      </x:c>
      <x:c r="B581" s="2" t="str">
        <x:v>TXN-00576</x:v>
      </x:c>
      <x:c r="C581" s="2" t="str">
        <x:v>2025-06-19</x:v>
      </x:c>
      <x:c r="D581" s="2" t="str">
        <x:v>Lagos</x:v>
      </x:c>
      <x:c r="E581" s="2" t="str">
        <x:v>Electronics</x:v>
      </x:c>
      <x:c r="F581" s="2" t="str">
        <x:v>Bluetooth speaker</x:v>
      </x:c>
      <x:c r="G581" s="2" t="str">
        <x:v>Online</x:v>
      </x:c>
      <x:c r="H581" s="2" t="n">
        <x:v>1</x:v>
      </x:c>
      <x:c r="I581" s="2" t="n">
        <x:v>26000</x:v>
      </x:c>
      <x:c r="J581" s="2" t="n">
        <x:v>17000</x:v>
      </x:c>
      <x:c r="K581" s="2" t="n">
        <x:v>0</x:v>
      </x:c>
      <x:c r="L581" s="2" t="str">
        <x:v>Completed</x:v>
      </x:c>
    </x:row>
    <x:row r="582" ht="21" customHeight="1">
      <x:c r="A582" s="2" t="n">
        <x:v>577</x:v>
      </x:c>
      <x:c r="B582" s="2" t="str">
        <x:v>TXN-00577</x:v>
      </x:c>
      <x:c r="C582" s="2" t="str">
        <x:v>2025-06-02</x:v>
      </x:c>
      <x:c r="D582" s="2" t="str">
        <x:v>Port Harcourt</x:v>
      </x:c>
      <x:c r="E582" s="2" t="str">
        <x:v>Fashion</x:v>
      </x:c>
      <x:c r="F582" s="2" t="str">
        <x:v>T-shirt</x:v>
      </x:c>
      <x:c r="G582" s="2" t="str">
        <x:v>Online</x:v>
      </x:c>
      <x:c r="H582" s="2" t="n">
        <x:v>1</x:v>
      </x:c>
      <x:c r="I582" s="2" t="n">
        <x:v>9000</x:v>
      </x:c>
      <x:c r="J582" s="2" t="n">
        <x:v>5000</x:v>
      </x:c>
      <x:c r="K582" s="2" t="n">
        <x:v>0.15</x:v>
      </x:c>
      <x:c r="L582" s="2" t="str">
        <x:v> COMPLETED </x:v>
      </x:c>
    </x:row>
    <x:row r="583" ht="21" customHeight="1">
      <x:c r="A583" s="2" t="n">
        <x:v>578</x:v>
      </x:c>
      <x:c r="B583" s="2" t="str">
        <x:v>TXN-00578</x:v>
      </x:c>
      <x:c r="C583" s="2" t="str">
        <x:v>2025-06-18</x:v>
      </x:c>
      <x:c r="D583" s="2" t="str">
        <x:v>Kano</x:v>
      </x:c>
      <x:c r="E583" s="2" t="str">
        <x:v>Fashion</x:v>
      </x:c>
      <x:c r="F583" s="2" t="str">
        <x:v>Handbag</x:v>
      </x:c>
      <x:c r="G583" s="2" t="str">
        <x:v>In-store</x:v>
      </x:c>
      <x:c r="H583" s="2" t="n">
        <x:v>2</x:v>
      </x:c>
      <x:c r="I583" s="2" t="n">
        <x:v>22000</x:v>
      </x:c>
      <x:c r="J583" s="2" t="n">
        <x:v>13500</x:v>
      </x:c>
      <x:c r="K583" s="2" t="n">
        <x:v>0</x:v>
      </x:c>
      <x:c r="L583" s="2" t="str">
        <x:v>Completed</x:v>
      </x:c>
    </x:row>
    <x:row r="584" ht="21" customHeight="1">
      <x:c r="A584" s="2" t="n">
        <x:v>579</x:v>
      </x:c>
      <x:c r="B584" s="2" t="str">
        <x:v>TXN-00579</x:v>
      </x:c>
      <x:c r="C584" s="2" t="str">
        <x:v>2025-06-11</x:v>
      </x:c>
      <x:c r="D584" s="2" t="str">
        <x:v>Kano</x:v>
      </x:c>
      <x:c r="E584" s="2" t="str">
        <x:v>Electronics</x:v>
      </x:c>
      <x:c r="F584" s="2" t="str">
        <x:v>Bluetooth speaker</x:v>
      </x:c>
      <x:c r="G584" s="2" t="str">
        <x:v>Online</x:v>
      </x:c>
      <x:c r="H584" s="2" t="n">
        <x:v>1</x:v>
      </x:c>
      <x:c r="I584" s="2" t="n">
        <x:v>26000</x:v>
      </x:c>
      <x:c r="J584" s="2" t="n">
        <x:v>17000</x:v>
      </x:c>
      <x:c r="K584" s="2" t="n">
        <x:v>0</x:v>
      </x:c>
      <x:c r="L584" s="2" t="str">
        <x:v>Completed</x:v>
      </x:c>
    </x:row>
    <x:row r="585" ht="21" customHeight="1">
      <x:c r="A585" s="2" t="n">
        <x:v>580</x:v>
      </x:c>
      <x:c r="B585" s="2" t="str">
        <x:v>TXN-00580</x:v>
      </x:c>
      <x:c r="C585" s="2" t="str">
        <x:v>2025-06-20</x:v>
      </x:c>
      <x:c r="D585" s="2" t="str">
        <x:v>Abuja</x:v>
      </x:c>
      <x:c r="E585" s="2" t="str">
        <x:v>Electronics</x:v>
      </x:c>
      <x:c r="F585" s="2" t="str">
        <x:v>Headphones</x:v>
      </x:c>
      <x:c r="G585" s="2" t="str">
        <x:v>Online</x:v>
      </x:c>
      <x:c r="H585" s="2" t="n">
        <x:v>2</x:v>
      </x:c>
      <x:c r="I585" s="2" t="n">
        <x:v>18000</x:v>
      </x:c>
      <x:c r="J585" s="2" t="n">
        <x:v>10500</x:v>
      </x:c>
      <x:c r="K585" s="2" t="n">
        <x:v>0</x:v>
      </x:c>
      <x:c r="L585" s="2" t="str">
        <x:v>Completed</x:v>
      </x:c>
    </x:row>
    <x:row r="586" ht="21" customHeight="1">
      <x:c r="A586" s="2" t="n">
        <x:v>581</x:v>
      </x:c>
      <x:c r="B586" s="2" t="str">
        <x:v>TXN-00581</x:v>
      </x:c>
      <x:c r="C586" s="2" t="str">
        <x:v>2025-06-02</x:v>
      </x:c>
      <x:c r="D586" s="2" t="str">
        <x:v>Lagos</x:v>
      </x:c>
      <x:c r="E586" s="2" t="str">
        <x:v>Home</x:v>
      </x:c>
      <x:c r="F586" s="2" t="str">
        <x:v>Desk lamp</x:v>
      </x:c>
      <x:c r="G586" s="2" t="str">
        <x:v>In-store</x:v>
      </x:c>
      <x:c r="H586" s="2" t="n">
        <x:v>1</x:v>
      </x:c>
      <x:c r="I586" s="2" t="n">
        <x:v>12000</x:v>
      </x:c>
      <x:c r="J586" s="2" t="n">
        <x:v>7200</x:v>
      </x:c>
      <x:c r="K586" s="2" t="str"/>
      <x:c r="L586" s="2" t="str">
        <x:v>Completed</x:v>
      </x:c>
    </x:row>
    <x:row r="587" ht="21" customHeight="1">
      <x:c r="A587" s="2" t="n">
        <x:v>582</x:v>
      </x:c>
      <x:c r="B587" s="2" t="str">
        <x:v>TXN-00582</x:v>
      </x:c>
      <x:c r="C587" s="2" t="str">
        <x:v>2025-06-29</x:v>
      </x:c>
      <x:c r="D587" s="2" t="str">
        <x:v> port harcourt </x:v>
      </x:c>
      <x:c r="E587" s="2" t="str">
        <x:v>Home</x:v>
      </x:c>
      <x:c r="F587" s="2" t="str">
        <x:v>Cookware set</x:v>
      </x:c>
      <x:c r="G587" s="2" t="str">
        <x:v>Online</x:v>
      </x:c>
      <x:c r="H587" s="2" t="n">
        <x:v>1</x:v>
      </x:c>
      <x:c r="I587" s="2" t="n">
        <x:v>35000</x:v>
      </x:c>
      <x:c r="J587" s="2" t="n">
        <x:v>22500</x:v>
      </x:c>
      <x:c r="K587" s="2" t="n">
        <x:v>0.05</x:v>
      </x:c>
      <x:c r="L587" s="2" t="str">
        <x:v>Completed</x:v>
      </x:c>
    </x:row>
    <x:row r="588" ht="21" customHeight="1">
      <x:c r="A588" s="2" t="n">
        <x:v>583</x:v>
      </x:c>
      <x:c r="B588" s="2" t="str">
        <x:v>TXN-00583</x:v>
      </x:c>
      <x:c r="C588" s="2" t="str">
        <x:v>2025-06-01</x:v>
      </x:c>
      <x:c r="D588" s="2" t="str">
        <x:v>Port Harcourt</x:v>
      </x:c>
      <x:c r="E588" s="2" t="str">
        <x:v>Electronics</x:v>
      </x:c>
      <x:c r="F588" s="2" t="str">
        <x:v>Headphones</x:v>
      </x:c>
      <x:c r="G588" s="2" t="str">
        <x:v>Online</x:v>
      </x:c>
      <x:c r="H588" s="2" t="n">
        <x:v>1</x:v>
      </x:c>
      <x:c r="I588" s="2" t="n">
        <x:v>18000</x:v>
      </x:c>
      <x:c r="J588" s="2" t="n">
        <x:v>10500</x:v>
      </x:c>
      <x:c r="K588" s="2" t="n">
        <x:v>0.05</x:v>
      </x:c>
      <x:c r="L588" s="2" t="str">
        <x:v>Completed</x:v>
      </x:c>
    </x:row>
    <x:row r="589" ht="21" customHeight="1">
      <x:c r="A589" s="2" t="n">
        <x:v>584</x:v>
      </x:c>
      <x:c r="B589" s="2" t="str">
        <x:v>TXN-00584</x:v>
      </x:c>
      <x:c r="C589" s="2" t="str">
        <x:v>2025-06-03</x:v>
      </x:c>
      <x:c r="D589" s="2" t="str">
        <x:v>Port Harcourt</x:v>
      </x:c>
      <x:c r="E589" s="2" t="str">
        <x:v>Beauty</x:v>
      </x:c>
      <x:c r="F589" s="2" t="str">
        <x:v>Moisturizer</x:v>
      </x:c>
      <x:c r="G589" s="2" t="str">
        <x:v> online </x:v>
      </x:c>
      <x:c r="H589" s="2" t="n">
        <x:v>3</x:v>
      </x:c>
      <x:c r="I589" s="2" t="n">
        <x:v>6500</x:v>
      </x:c>
      <x:c r="J589" s="2" t="n">
        <x:v>3500</x:v>
      </x:c>
      <x:c r="K589" s="2" t="n">
        <x:v>0</x:v>
      </x:c>
      <x:c r="L589" s="2" t="str">
        <x:v>Completed</x:v>
      </x:c>
    </x:row>
    <x:row r="590" ht="21" customHeight="1">
      <x:c r="A590" s="2" t="n">
        <x:v>585</x:v>
      </x:c>
      <x:c r="B590" s="2" t="str">
        <x:v>TXN-00585</x:v>
      </x:c>
      <x:c r="C590" s="2" t="str">
        <x:v>2025-06-16</x:v>
      </x:c>
      <x:c r="D590" s="2" t="str">
        <x:v>Lagos</x:v>
      </x:c>
      <x:c r="E590" s="2" t="str">
        <x:v>Fashion</x:v>
      </x:c>
      <x:c r="F590" s="2" t="str">
        <x:v>Sneakers</x:v>
      </x:c>
      <x:c r="G590" s="2" t="str">
        <x:v>In-store</x:v>
      </x:c>
      <x:c r="H590" s="2" t="n">
        <x:v>1</x:v>
      </x:c>
      <x:c r="I590" s="2" t="n">
        <x:v>28000</x:v>
      </x:c>
      <x:c r="J590" s="2" t="n">
        <x:v>17500</x:v>
      </x:c>
      <x:c r="K590" s="2" t="n">
        <x:v>0.1</x:v>
      </x:c>
      <x:c r="L590" s="2" t="str">
        <x:v>Completed</x:v>
      </x:c>
    </x:row>
    <x:row r="591" ht="21" customHeight="1">
      <x:c r="A591" s="2" t="n">
        <x:v>586</x:v>
      </x:c>
      <x:c r="B591" s="2" t="str">
        <x:v>TXN-00586</x:v>
      </x:c>
      <x:c r="C591" s="2" t="str">
        <x:v>2025-06-05</x:v>
      </x:c>
      <x:c r="D591" s="2" t="str">
        <x:v>Lagos</x:v>
      </x:c>
      <x:c r="E591" s="2" t="str">
        <x:v>Electronics</x:v>
      </x:c>
      <x:c r="F591" s="2" t="str">
        <x:v>Bluetooth speaker</x:v>
      </x:c>
      <x:c r="G591" s="2" t="str">
        <x:v>In-store</x:v>
      </x:c>
      <x:c r="H591" s="2" t="n">
        <x:v>2</x:v>
      </x:c>
      <x:c r="I591" s="2" t="n">
        <x:v>26000</x:v>
      </x:c>
      <x:c r="J591" s="2" t="n">
        <x:v>17000</x:v>
      </x:c>
      <x:c r="K591" s="2" t="n">
        <x:v>0.05</x:v>
      </x:c>
      <x:c r="L591" s="2" t="str">
        <x:v> COMPLETED </x:v>
      </x:c>
    </x:row>
    <x:row r="592" ht="21" customHeight="1">
      <x:c r="A592" s="2" t="n">
        <x:v>587</x:v>
      </x:c>
      <x:c r="B592" s="2" t="str">
        <x:v>TXN-00587</x:v>
      </x:c>
      <x:c r="C592" s="2" t="str">
        <x:v>2025-06-12</x:v>
      </x:c>
      <x:c r="D592" s="2" t="str">
        <x:v>Port Harcourt</x:v>
      </x:c>
      <x:c r="E592" s="2" t="str">
        <x:v>Beauty</x:v>
      </x:c>
      <x:c r="F592" s="2" t="str">
        <x:v>Perfume</x:v>
      </x:c>
      <x:c r="G592" s="2" t="str">
        <x:v>Online</x:v>
      </x:c>
      <x:c r="H592" s="2" t="n">
        <x:v>2</x:v>
      </x:c>
      <x:c r="I592" s="2" t="n">
        <x:v>17000</x:v>
      </x:c>
      <x:c r="J592" s="2" t="n">
        <x:v>9000</x:v>
      </x:c>
      <x:c r="K592" s="2" t="n">
        <x:v>0</x:v>
      </x:c>
      <x:c r="L592" s="2" t="str">
        <x:v>Completed</x:v>
      </x:c>
    </x:row>
    <x:row r="593" ht="21" customHeight="1">
      <x:c r="A593" s="2" t="n">
        <x:v>588</x:v>
      </x:c>
      <x:c r="B593" s="2" t="str">
        <x:v>TXN-00588</x:v>
      </x:c>
      <x:c r="C593" s="2" t="str">
        <x:v>2025-06-29</x:v>
      </x:c>
      <x:c r="D593" s="2" t="str">
        <x:v>Port Harcourt</x:v>
      </x:c>
      <x:c r="E593" s="2" t="str">
        <x:v>Fashion</x:v>
      </x:c>
      <x:c r="F593" s="2" t="str">
        <x:v>Handbag</x:v>
      </x:c>
      <x:c r="G593" s="2" t="str">
        <x:v>In-store</x:v>
      </x:c>
      <x:c r="H593" s="2" t="n">
        <x:v>1</x:v>
      </x:c>
      <x:c r="I593" s="2" t="n">
        <x:v>22000</x:v>
      </x:c>
      <x:c r="J593" s="2" t="n">
        <x:v>13500</x:v>
      </x:c>
      <x:c r="K593" s="2" t="n">
        <x:v>0</x:v>
      </x:c>
      <x:c r="L593" s="2" t="str">
        <x:v>Completed</x:v>
      </x:c>
    </x:row>
    <x:row r="594" ht="21" customHeight="1">
      <x:c r="A594" s="2" t="n">
        <x:v>589</x:v>
      </x:c>
      <x:c r="B594" s="2" t="str">
        <x:v>TXN-00589</x:v>
      </x:c>
      <x:c r="C594" s="2" t="str">
        <x:v>2025-06-28</x:v>
      </x:c>
      <x:c r="D594" s="2" t="str">
        <x:v> abuja </x:v>
      </x:c>
      <x:c r="E594" s="2" t="str">
        <x:v>Beauty</x:v>
      </x:c>
      <x:c r="F594" s="2" t="str">
        <x:v>Body wash</x:v>
      </x:c>
      <x:c r="G594" s="2" t="str">
        <x:v>In-store</x:v>
      </x:c>
      <x:c r="H594" s="2" t="n">
        <x:v>1</x:v>
      </x:c>
      <x:c r="I594" s="2" t="n">
        <x:v>4500</x:v>
      </x:c>
      <x:c r="J594" s="2" t="n">
        <x:v>2300</x:v>
      </x:c>
      <x:c r="K594" s="2" t="n">
        <x:v>0</x:v>
      </x:c>
      <x:c r="L594" s="2" t="str">
        <x:v>Completed</x:v>
      </x:c>
    </x:row>
    <x:row r="595" ht="21" customHeight="1">
      <x:c r="A595" s="2" t="n">
        <x:v>590</x:v>
      </x:c>
      <x:c r="B595" s="2" t="str">
        <x:v>TXN-00590</x:v>
      </x:c>
      <x:c r="C595" s="2" t="str">
        <x:v>2025-06-18</x:v>
      </x:c>
      <x:c r="D595" s="2" t="str">
        <x:v>Kano</x:v>
      </x:c>
      <x:c r="E595" s="2" t="str">
        <x:v>Electronics</x:v>
      </x:c>
      <x:c r="F595" s="2" t="str">
        <x:v>Headphones</x:v>
      </x:c>
      <x:c r="G595" s="2" t="str">
        <x:v>Online</x:v>
      </x:c>
      <x:c r="H595" s="2" t="n">
        <x:v>1</x:v>
      </x:c>
      <x:c r="I595" s="2" t="n">
        <x:v>18000</x:v>
      </x:c>
      <x:c r="J595" s="2" t="n">
        <x:v>10500</x:v>
      </x:c>
      <x:c r="K595" s="2" t="n">
        <x:v>0.1</x:v>
      </x:c>
      <x:c r="L595" s="2" t="str">
        <x:v>Completed</x:v>
      </x:c>
    </x:row>
    <x:row r="596" ht="21" customHeight="1">
      <x:c r="A596" s="2" t="n">
        <x:v>591</x:v>
      </x:c>
      <x:c r="B596" s="2" t="str">
        <x:v>TXN-00591</x:v>
      </x:c>
      <x:c r="C596" s="2" t="str">
        <x:v>2025-06-28</x:v>
      </x:c>
      <x:c r="D596" s="2" t="str">
        <x:v>Port Harcourt</x:v>
      </x:c>
      <x:c r="E596" s="2" t="str">
        <x:v>Electronics</x:v>
      </x:c>
      <x:c r="F596" s="2" t="str">
        <x:v>Bluetooth speaker</x:v>
      </x:c>
      <x:c r="G596" s="2" t="str">
        <x:v>Online</x:v>
      </x:c>
      <x:c r="H596" s="2" t="n">
        <x:v>1</x:v>
      </x:c>
      <x:c r="I596" s="2" t="n">
        <x:v>26000</x:v>
      </x:c>
      <x:c r="J596" s="2" t="n">
        <x:v>17000</x:v>
      </x:c>
      <x:c r="K596" s="2" t="n">
        <x:v>0.05</x:v>
      </x:c>
      <x:c r="L596" s="2" t="str">
        <x:v>Completed</x:v>
      </x:c>
    </x:row>
    <x:row r="597" ht="21" customHeight="1">
      <x:c r="A597" s="2" t="n">
        <x:v>592</x:v>
      </x:c>
      <x:c r="B597" s="2" t="str">
        <x:v>TXN-00592</x:v>
      </x:c>
      <x:c r="C597" s="2" t="str">
        <x:v>2025-06-05</x:v>
      </x:c>
      <x:c r="D597" s="2" t="str">
        <x:v>Lagos</x:v>
      </x:c>
      <x:c r="E597" s="2" t="str">
        <x:v>Electronics</x:v>
      </x:c>
      <x:c r="F597" s="2" t="str">
        <x:v>Headphones</x:v>
      </x:c>
      <x:c r="G597" s="2" t="str">
        <x:v>Online</x:v>
      </x:c>
      <x:c r="H597" s="2" t="n">
        <x:v>1</x:v>
      </x:c>
      <x:c r="I597" s="2" t="n">
        <x:v>18000</x:v>
      </x:c>
      <x:c r="J597" s="2" t="n">
        <x:v>10500</x:v>
      </x:c>
      <x:c r="K597" s="2" t="n">
        <x:v>0</x:v>
      </x:c>
      <x:c r="L597" s="2" t="str">
        <x:v>Completed</x:v>
      </x:c>
    </x:row>
    <x:row r="598" ht="21" customHeight="1">
      <x:c r="A598" s="2" t="n">
        <x:v>593</x:v>
      </x:c>
      <x:c r="B598" s="2" t="str">
        <x:v>TXN-00593</x:v>
      </x:c>
      <x:c r="C598" s="2" t="str">
        <x:v>2025-06-18</x:v>
      </x:c>
      <x:c r="D598" s="2" t="str">
        <x:v>Kano</x:v>
      </x:c>
      <x:c r="E598" s="2" t="str">
        <x:v>Electronics</x:v>
      </x:c>
      <x:c r="F598" s="2" t="str">
        <x:v>Bluetooth speaker</x:v>
      </x:c>
      <x:c r="G598" s="2" t="str">
        <x:v>In-store</x:v>
      </x:c>
      <x:c r="H598" s="2" t="n">
        <x:v>2</x:v>
      </x:c>
      <x:c r="I598" s="2" t="n">
        <x:v>26000</x:v>
      </x:c>
      <x:c r="J598" s="2" t="n">
        <x:v>17000</x:v>
      </x:c>
      <x:c r="K598" s="2" t="n">
        <x:v>0.05</x:v>
      </x:c>
      <x:c r="L598" s="2" t="str">
        <x:v>Completed</x:v>
      </x:c>
    </x:row>
    <x:row r="599" ht="21" customHeight="1">
      <x:c r="A599" s="2" t="n">
        <x:v>594</x:v>
      </x:c>
      <x:c r="B599" s="2" t="str">
        <x:v>TXN-00594</x:v>
      </x:c>
      <x:c r="C599" s="2" t="str">
        <x:v>2025-06-30</x:v>
      </x:c>
      <x:c r="D599" s="2" t="str">
        <x:v>Kano</x:v>
      </x:c>
      <x:c r="E599" s="2" t="str">
        <x:v>Home</x:v>
      </x:c>
      <x:c r="F599" s="2" t="str">
        <x:v>Cookware set</x:v>
      </x:c>
      <x:c r="G599" s="2" t="str">
        <x:v>Online</x:v>
      </x:c>
      <x:c r="H599" s="2" t="n">
        <x:v>3</x:v>
      </x:c>
      <x:c r="I599" s="2" t="n">
        <x:v>35000</x:v>
      </x:c>
      <x:c r="J599" s="2" t="n">
        <x:v>22500</x:v>
      </x:c>
      <x:c r="K599" s="2" t="n">
        <x:v>0</x:v>
      </x:c>
      <x:c r="L599" s="2" t="str">
        <x:v>Completed</x:v>
      </x:c>
    </x:row>
    <x:row r="600" ht="21" customHeight="1">
      <x:c r="A600" s="2" t="n">
        <x:v>595</x:v>
      </x:c>
      <x:c r="B600" s="2" t="str">
        <x:v>TXN-00595</x:v>
      </x:c>
      <x:c r="C600" s="2" t="str">
        <x:v>2025-06-13</x:v>
      </x:c>
      <x:c r="D600" s="2" t="str">
        <x:v>Lagos</x:v>
      </x:c>
      <x:c r="E600" s="2" t="str">
        <x:v>Home</x:v>
      </x:c>
      <x:c r="F600" s="2" t="str">
        <x:v>Bedsheet</x:v>
      </x:c>
      <x:c r="G600" s="2" t="str">
        <x:v> online </x:v>
      </x:c>
      <x:c r="H600" s="2" t="n">
        <x:v>1</x:v>
      </x:c>
      <x:c r="I600" s="2" t="n">
        <x:v>14000</x:v>
      </x:c>
      <x:c r="J600" s="2" t="n">
        <x:v>8500</x:v>
      </x:c>
      <x:c r="K600" s="2" t="n">
        <x:v>0.05</x:v>
      </x:c>
      <x:c r="L600" s="2" t="str">
        <x:v> COMPLETED </x:v>
      </x:c>
    </x:row>
    <x:row r="601" ht="21" customHeight="1">
      <x:c r="A601" s="2" t="n">
        <x:v>596</x:v>
      </x:c>
      <x:c r="B601" s="2" t="str">
        <x:v>TXN-00596</x:v>
      </x:c>
      <x:c r="C601" s="2" t="str">
        <x:v>2025-06-12</x:v>
      </x:c>
      <x:c r="D601" s="2" t="str">
        <x:v> kano </x:v>
      </x:c>
      <x:c r="E601" s="2" t="str">
        <x:v>Home</x:v>
      </x:c>
      <x:c r="F601" s="2" t="str">
        <x:v>Bedsheet</x:v>
      </x:c>
      <x:c r="G601" s="2" t="str">
        <x:v>In-store</x:v>
      </x:c>
      <x:c r="H601" s="2" t="n">
        <x:v>3</x:v>
      </x:c>
      <x:c r="I601" s="2" t="n">
        <x:v>14000</x:v>
      </x:c>
      <x:c r="J601" s="2" t="n">
        <x:v>8500</x:v>
      </x:c>
      <x:c r="K601" s="2" t="n">
        <x:v>0</x:v>
      </x:c>
      <x:c r="L601" s="2" t="str">
        <x:v>Completed</x:v>
      </x:c>
    </x:row>
    <x:row r="602" ht="21" customHeight="1">
      <x:c r="A602" s="2" t="n">
        <x:v>597</x:v>
      </x:c>
      <x:c r="B602" s="2" t="str">
        <x:v>TXN-00597</x:v>
      </x:c>
      <x:c r="C602" s="2" t="str">
        <x:v>2025-06-16</x:v>
      </x:c>
      <x:c r="D602" s="2" t="str">
        <x:v>Port Harcourt</x:v>
      </x:c>
      <x:c r="E602" s="2" t="str">
        <x:v>Fashion</x:v>
      </x:c>
      <x:c r="F602" s="2" t="str">
        <x:v>Sneakers</x:v>
      </x:c>
      <x:c r="G602" s="2" t="str">
        <x:v>Online</x:v>
      </x:c>
      <x:c r="H602" s="2" t="n">
        <x:v>1</x:v>
      </x:c>
      <x:c r="I602" s="2" t="n">
        <x:v>28000</x:v>
      </x:c>
      <x:c r="J602" s="2" t="n">
        <x:v>17500</x:v>
      </x:c>
      <x:c r="K602" s="2" t="n">
        <x:v>0</x:v>
      </x:c>
      <x:c r="L602" s="2" t="str">
        <x:v>Completed</x:v>
      </x:c>
    </x:row>
    <x:row r="603" ht="21" customHeight="1">
      <x:c r="A603" s="2" t="n">
        <x:v>598</x:v>
      </x:c>
      <x:c r="B603" s="2" t="str">
        <x:v>TXN-00598</x:v>
      </x:c>
      <x:c r="C603" s="2" t="str">
        <x:v>2025-06-26</x:v>
      </x:c>
      <x:c r="D603" s="2" t="str">
        <x:v>Lagos</x:v>
      </x:c>
      <x:c r="E603" s="2" t="str">
        <x:v>Electronics</x:v>
      </x:c>
      <x:c r="F603" s="2" t="str">
        <x:v>Bluetooth speaker</x:v>
      </x:c>
      <x:c r="G603" s="2" t="str">
        <x:v>Online</x:v>
      </x:c>
      <x:c r="H603" s="2" t="n">
        <x:v>1</x:v>
      </x:c>
      <x:c r="I603" s="2" t="n">
        <x:v>26000</x:v>
      </x:c>
      <x:c r="J603" s="2" t="n">
        <x:v>17000</x:v>
      </x:c>
      <x:c r="K603" s="2" t="n">
        <x:v>0</x:v>
      </x:c>
      <x:c r="L603" s="2" t="str">
        <x:v>Completed</x:v>
      </x:c>
    </x:row>
    <x:row r="604" ht="21" customHeight="1">
      <x:c r="A604" s="2" t="n">
        <x:v>599</x:v>
      </x:c>
      <x:c r="B604" s="2" t="str">
        <x:v>TXN-00599</x:v>
      </x:c>
      <x:c r="C604" s="2" t="str">
        <x:v>2025-06-05</x:v>
      </x:c>
      <x:c r="D604" s="2" t="str">
        <x:v>Abuja</x:v>
      </x:c>
      <x:c r="E604" s="2" t="str">
        <x:v>Beauty</x:v>
      </x:c>
      <x:c r="F604" s="2" t="str">
        <x:v>Perfume</x:v>
      </x:c>
      <x:c r="G604" s="2" t="str">
        <x:v>Online</x:v>
      </x:c>
      <x:c r="H604" s="2" t="n">
        <x:v>1</x:v>
      </x:c>
      <x:c r="I604" s="2" t="n">
        <x:v>17000</x:v>
      </x:c>
      <x:c r="J604" s="2" t="n">
        <x:v>9000</x:v>
      </x:c>
      <x:c r="K604" s="2" t="n">
        <x:v>0</x:v>
      </x:c>
      <x:c r="L604" s="2" t="str">
        <x:v>Completed</x:v>
      </x:c>
    </x:row>
    <x:row r="605" ht="21" customHeight="1">
      <x:c r="A605" s="2" t="n">
        <x:v>600</x:v>
      </x:c>
      <x:c r="B605" s="2" t="str">
        <x:v>TXN-00600</x:v>
      </x:c>
      <x:c r="C605" s="2" t="str">
        <x:v>2025-06-01</x:v>
      </x:c>
      <x:c r="D605" s="2" t="str">
        <x:v>Abuja</x:v>
      </x:c>
      <x:c r="E605" s="2" t="str">
        <x:v>Electronics</x:v>
      </x:c>
      <x:c r="F605" s="2" t="str">
        <x:v>Headphones</x:v>
      </x:c>
      <x:c r="G605" s="2" t="str">
        <x:v>In-store</x:v>
      </x:c>
      <x:c r="H605" s="2" t="n">
        <x:v>1</x:v>
      </x:c>
      <x:c r="I605" s="2" t="n">
        <x:v>18000</x:v>
      </x:c>
      <x:c r="J605" s="2" t="n">
        <x:v>10500</x:v>
      </x:c>
      <x:c r="K605" s="2" t="n">
        <x:v>0.05</x:v>
      </x:c>
      <x:c r="L605" s="2" t="str">
        <x:v>Completed</x:v>
      </x:c>
    </x:row>
    <x:row r="606" ht="21" customHeight="1">
      <x:c r="A606" s="2" t="n">
        <x:v>601</x:v>
      </x:c>
      <x:c r="B606" s="2" t="str">
        <x:v>TXN-00601</x:v>
      </x:c>
      <x:c r="C606" s="2" t="str">
        <x:v>2025-06-07</x:v>
      </x:c>
      <x:c r="D606" s="2" t="str">
        <x:v>Lagos</x:v>
      </x:c>
      <x:c r="E606" s="2" t="str">
        <x:v>Electronics</x:v>
      </x:c>
      <x:c r="F606" s="2" t="str">
        <x:v>Headphones</x:v>
      </x:c>
      <x:c r="G606" s="2" t="str">
        <x:v>In-store</x:v>
      </x:c>
      <x:c r="H606" s="2" t="n">
        <x:v>2</x:v>
      </x:c>
      <x:c r="I606" s="2" t="n">
        <x:v>18000</x:v>
      </x:c>
      <x:c r="J606" s="2" t="n">
        <x:v>10500</x:v>
      </x:c>
      <x:c r="K606" s="2" t="n">
        <x:v>0.05</x:v>
      </x:c>
      <x:c r="L606" s="2" t="str">
        <x:v>Completed</x:v>
      </x:c>
    </x:row>
    <x:row r="607" ht="21" customHeight="1">
      <x:c r="A607" s="2" t="n">
        <x:v>602</x:v>
      </x:c>
      <x:c r="B607" s="2" t="str">
        <x:v>TXN-00602</x:v>
      </x:c>
      <x:c r="C607" s="2" t="str">
        <x:v>2025-06-03</x:v>
      </x:c>
      <x:c r="D607" s="2" t="str">
        <x:v>Port Harcourt</x:v>
      </x:c>
      <x:c r="E607" s="2" t="str">
        <x:v>Home</x:v>
      </x:c>
      <x:c r="F607" s="2" t="str">
        <x:v>Desk lamp</x:v>
      </x:c>
      <x:c r="G607" s="2" t="str">
        <x:v>Online</x:v>
      </x:c>
      <x:c r="H607" s="2" t="n">
        <x:v>1</x:v>
      </x:c>
      <x:c r="I607" s="2" t="n">
        <x:v>12000</x:v>
      </x:c>
      <x:c r="J607" s="2" t="n">
        <x:v>7200</x:v>
      </x:c>
      <x:c r="K607" s="2" t="n">
        <x:v>0.05</x:v>
      </x:c>
      <x:c r="L607" s="2" t="str">
        <x:v>Completed</x:v>
      </x:c>
    </x:row>
    <x:row r="608" ht="21" customHeight="1">
      <x:c r="A608" s="2" t="n">
        <x:v>603</x:v>
      </x:c>
      <x:c r="B608" s="2" t="str">
        <x:v>TXN-00603</x:v>
      </x:c>
      <x:c r="C608" s="2" t="str">
        <x:v>2025-06-21</x:v>
      </x:c>
      <x:c r="D608" s="2" t="str">
        <x:v> lagos </x:v>
      </x:c>
      <x:c r="E608" s="2" t="str">
        <x:v>Electronics</x:v>
      </x:c>
      <x:c r="F608" s="2" t="str">
        <x:v>Headphones</x:v>
      </x:c>
      <x:c r="G608" s="2" t="str">
        <x:v>Online</x:v>
      </x:c>
      <x:c r="H608" s="2" t="n">
        <x:v>1</x:v>
      </x:c>
      <x:c r="I608" s="2" t="n">
        <x:v>18000</x:v>
      </x:c>
      <x:c r="J608" s="2" t="n">
        <x:v>10500</x:v>
      </x:c>
      <x:c r="K608" s="2" t="n">
        <x:v>0</x:v>
      </x:c>
      <x:c r="L608" s="2" t="str">
        <x:v>Completed</x:v>
      </x:c>
    </x:row>
    <x:row r="609" ht="21" customHeight="1">
      <x:c r="A609" s="2" t="n">
        <x:v>604</x:v>
      </x:c>
      <x:c r="B609" s="2" t="str">
        <x:v>TXN-00604</x:v>
      </x:c>
      <x:c r="C609" s="2" t="str">
        <x:v>2025-06-07</x:v>
      </x:c>
      <x:c r="D609" s="2" t="str">
        <x:v>Kano</x:v>
      </x:c>
      <x:c r="E609" s="2" t="str">
        <x:v>Home</x:v>
      </x:c>
      <x:c r="F609" s="2" t="str">
        <x:v>Bedsheet</x:v>
      </x:c>
      <x:c r="G609" s="2" t="str">
        <x:v>In-store</x:v>
      </x:c>
      <x:c r="H609" s="2" t="n">
        <x:v>1</x:v>
      </x:c>
      <x:c r="I609" s="2" t="n">
        <x:v>14000</x:v>
      </x:c>
      <x:c r="J609" s="2" t="n">
        <x:v>8500</x:v>
      </x:c>
      <x:c r="K609" s="2" t="n">
        <x:v>0.1</x:v>
      </x:c>
      <x:c r="L609" s="2" t="str">
        <x:v> COMPLETED </x:v>
      </x:c>
    </x:row>
    <x:row r="610" ht="21" customHeight="1">
      <x:c r="A610" s="2" t="n">
        <x:v>605</x:v>
      </x:c>
      <x:c r="B610" s="2" t="str">
        <x:v>TXN-00605</x:v>
      </x:c>
      <x:c r="C610" s="2" t="str">
        <x:v>2025-06-25</x:v>
      </x:c>
      <x:c r="D610" s="2" t="str"/>
      <x:c r="E610" s="2" t="str">
        <x:v>Electronics</x:v>
      </x:c>
      <x:c r="F610" s="2" t="str">
        <x:v>Bluetooth speaker</x:v>
      </x:c>
      <x:c r="G610" s="2" t="str">
        <x:v>In-store</x:v>
      </x:c>
      <x:c r="H610" s="2" t="n">
        <x:v>2</x:v>
      </x:c>
      <x:c r="I610" s="2" t="n">
        <x:v>26000</x:v>
      </x:c>
      <x:c r="J610" s="2" t="n">
        <x:v>17000</x:v>
      </x:c>
      <x:c r="K610" s="2" t="n">
        <x:v>0.05</x:v>
      </x:c>
      <x:c r="L610" s="2" t="str">
        <x:v>Completed</x:v>
      </x:c>
    </x:row>
    <x:row r="611" ht="21" customHeight="1">
      <x:c r="A611" s="2" t="n">
        <x:v>606</x:v>
      </x:c>
      <x:c r="B611" s="2" t="str">
        <x:v>TXN-00606</x:v>
      </x:c>
      <x:c r="C611" s="2" t="str">
        <x:v>2025-06-17</x:v>
      </x:c>
      <x:c r="D611" s="2" t="str">
        <x:v>Lagos</x:v>
      </x:c>
      <x:c r="E611" s="2" t="str">
        <x:v>Electronics</x:v>
      </x:c>
      <x:c r="F611" s="2" t="str">
        <x:v>Headphones</x:v>
      </x:c>
      <x:c r="G611" s="2" t="str">
        <x:v> online </x:v>
      </x:c>
      <x:c r="H611" s="2" t="n">
        <x:v>1</x:v>
      </x:c>
      <x:c r="I611" s="2" t="n">
        <x:v>18000</x:v>
      </x:c>
      <x:c r="J611" s="2" t="n">
        <x:v>10500</x:v>
      </x:c>
      <x:c r="K611" s="2" t="n">
        <x:v>0</x:v>
      </x:c>
      <x:c r="L611" s="2" t="str">
        <x:v>Completed</x:v>
      </x:c>
    </x:row>
    <x:row r="612" ht="21" customHeight="1">
      <x:c r="A612" s="2" t="n">
        <x:v>607</x:v>
      </x:c>
      <x:c r="B612" s="2" t="str">
        <x:v>TXN-00607</x:v>
      </x:c>
      <x:c r="C612" s="2" t="str">
        <x:v>2025-06-03</x:v>
      </x:c>
      <x:c r="D612" s="2" t="str">
        <x:v>Lagos</x:v>
      </x:c>
      <x:c r="E612" s="2" t="str">
        <x:v>Electronics</x:v>
      </x:c>
      <x:c r="F612" s="2" t="str">
        <x:v>Bluetooth speaker</x:v>
      </x:c>
      <x:c r="G612" s="2" t="str">
        <x:v>In-store</x:v>
      </x:c>
      <x:c r="H612" s="2" t="n">
        <x:v>3</x:v>
      </x:c>
      <x:c r="I612" s="2" t="n">
        <x:v>26000</x:v>
      </x:c>
      <x:c r="J612" s="2" t="n">
        <x:v>17000</x:v>
      </x:c>
      <x:c r="K612" s="2" t="n">
        <x:v>0</x:v>
      </x:c>
      <x:c r="L612" s="2" t="str">
        <x:v>Completed</x:v>
      </x:c>
    </x:row>
    <x:row r="613" ht="21" customHeight="1">
      <x:c r="A613" s="2" t="n">
        <x:v>608</x:v>
      </x:c>
      <x:c r="B613" s="2" t="str">
        <x:v>TXN-00608</x:v>
      </x:c>
      <x:c r="C613" s="2" t="str">
        <x:v>2025-06-17</x:v>
      </x:c>
      <x:c r="D613" s="2" t="str">
        <x:v>Kano</x:v>
      </x:c>
      <x:c r="E613" s="2" t="str">
        <x:v>Home</x:v>
      </x:c>
      <x:c r="F613" s="2" t="str">
        <x:v>Cookware set</x:v>
      </x:c>
      <x:c r="G613" s="2" t="str">
        <x:v>Online</x:v>
      </x:c>
      <x:c r="H613" s="2" t="n">
        <x:v>1</x:v>
      </x:c>
      <x:c r="I613" s="2" t="n">
        <x:v>35000</x:v>
      </x:c>
      <x:c r="J613" s="2" t="n">
        <x:v>22500</x:v>
      </x:c>
      <x:c r="K613" s="2" t="n">
        <x:v>0</x:v>
      </x:c>
      <x:c r="L613" s="2" t="str">
        <x:v>Completed</x:v>
      </x:c>
    </x:row>
    <x:row r="614" ht="21" customHeight="1">
      <x:c r="A614" s="2" t="n">
        <x:v>609</x:v>
      </x:c>
      <x:c r="B614" s="2" t="str">
        <x:v>TXN-00609</x:v>
      </x:c>
      <x:c r="C614" s="2" t="str">
        <x:v>2025-06-07</x:v>
      </x:c>
      <x:c r="D614" s="2" t="str">
        <x:v>Lagos</x:v>
      </x:c>
      <x:c r="E614" s="2" t="str">
        <x:v>Electronics</x:v>
      </x:c>
      <x:c r="F614" s="2" t="str">
        <x:v>Headphones</x:v>
      </x:c>
      <x:c r="G614" s="2" t="str">
        <x:v>Online</x:v>
      </x:c>
      <x:c r="H614" s="2" t="n">
        <x:v>1</x:v>
      </x:c>
      <x:c r="I614" s="2" t="n">
        <x:v>18000</x:v>
      </x:c>
      <x:c r="J614" s="2" t="n">
        <x:v>10500</x:v>
      </x:c>
      <x:c r="K614" s="2" t="n">
        <x:v>0.05</x:v>
      </x:c>
      <x:c r="L614" s="2" t="str">
        <x:v>Completed</x:v>
      </x:c>
    </x:row>
    <x:row r="615" ht="21" customHeight="1">
      <x:c r="A615" s="2" t="n">
        <x:v>610</x:v>
      </x:c>
      <x:c r="B615" s="2" t="str">
        <x:v>TXN-00610</x:v>
      </x:c>
      <x:c r="C615" s="2" t="str">
        <x:v>2025-06-08</x:v>
      </x:c>
      <x:c r="D615" s="2" t="str"/>
      <x:c r="E615" s="2" t="str">
        <x:v>Electronics</x:v>
      </x:c>
      <x:c r="F615" s="2" t="str">
        <x:v>Headphones</x:v>
      </x:c>
      <x:c r="G615" s="2" t="str">
        <x:v>Online</x:v>
      </x:c>
      <x:c r="H615" s="2" t="n">
        <x:v>1</x:v>
      </x:c>
      <x:c r="I615" s="2" t="n">
        <x:v>18000</x:v>
      </x:c>
      <x:c r="J615" s="2" t="n">
        <x:v>10500</x:v>
      </x:c>
      <x:c r="K615" s="2" t="n">
        <x:v>0.1</x:v>
      </x:c>
      <x:c r="L615" s="2" t="str">
        <x:v>Completed</x:v>
      </x:c>
    </x:row>
    <x:row r="616" ht="21" customHeight="1">
      <x:c r="A616" s="2" t="n">
        <x:v>611</x:v>
      </x:c>
      <x:c r="B616" s="2" t="str">
        <x:v>TXN-00611</x:v>
      </x:c>
      <x:c r="C616" s="2" t="str">
        <x:v>2025-06-06</x:v>
      </x:c>
      <x:c r="D616" s="2" t="str">
        <x:v>Lagos</x:v>
      </x:c>
      <x:c r="E616" s="2" t="str">
        <x:v>Home</x:v>
      </x:c>
      <x:c r="F616" s="2" t="str">
        <x:v>Cookware set</x:v>
      </x:c>
      <x:c r="G616" s="2" t="str">
        <x:v>Online</x:v>
      </x:c>
      <x:c r="H616" s="2" t="n">
        <x:v>1</x:v>
      </x:c>
      <x:c r="I616" s="2" t="n">
        <x:v>35000</x:v>
      </x:c>
      <x:c r="J616" s="2" t="n">
        <x:v>22500</x:v>
      </x:c>
      <x:c r="K616" s="2" t="n">
        <x:v>0.05</x:v>
      </x:c>
      <x:c r="L616" s="2" t="str">
        <x:v>Completed</x:v>
      </x:c>
    </x:row>
    <x:row r="617" ht="21" customHeight="1">
      <x:c r="A617" s="2" t="n">
        <x:v>612</x:v>
      </x:c>
      <x:c r="B617" s="2" t="str">
        <x:v>TXN-00612</x:v>
      </x:c>
      <x:c r="C617" s="2" t="str">
        <x:v>2025-06-08</x:v>
      </x:c>
      <x:c r="D617" s="2" t="str">
        <x:v>Abuja</x:v>
      </x:c>
      <x:c r="E617" s="2" t="str">
        <x:v>Beauty</x:v>
      </x:c>
      <x:c r="F617" s="2" t="str">
        <x:v>Moisturizer</x:v>
      </x:c>
      <x:c r="G617" s="2" t="str">
        <x:v>In-store</x:v>
      </x:c>
      <x:c r="H617" s="2" t="n">
        <x:v>1</x:v>
      </x:c>
      <x:c r="I617" s="2" t="n">
        <x:v>6500</x:v>
      </x:c>
      <x:c r="J617" s="2" t="n">
        <x:v>3500</x:v>
      </x:c>
      <x:c r="K617" s="2" t="n">
        <x:v>0</x:v>
      </x:c>
      <x:c r="L617" s="2" t="str">
        <x:v>Completed</x:v>
      </x:c>
    </x:row>
    <x:row r="618" ht="21" customHeight="1">
      <x:c r="A618" s="2" t="n">
        <x:v>613</x:v>
      </x:c>
      <x:c r="B618" s="2" t="str">
        <x:v>TXN-00613</x:v>
      </x:c>
      <x:c r="C618" s="2" t="str">
        <x:v>2025-06-18</x:v>
      </x:c>
      <x:c r="D618" s="2" t="str">
        <x:v>Port Harcourt</x:v>
      </x:c>
      <x:c r="E618" s="2" t="str">
        <x:v>Electronics</x:v>
      </x:c>
      <x:c r="F618" s="2" t="str">
        <x:v>Power bank</x:v>
      </x:c>
      <x:c r="G618" s="2" t="str">
        <x:v>Online</x:v>
      </x:c>
      <x:c r="H618" s="2" t="n">
        <x:v>1</x:v>
      </x:c>
      <x:c r="I618" s="2" t="n">
        <x:v>15000</x:v>
      </x:c>
      <x:c r="J618" s="2" t="n">
        <x:v>9500</x:v>
      </x:c>
      <x:c r="K618" s="2" t="n">
        <x:v>0.05</x:v>
      </x:c>
      <x:c r="L618" s="2" t="str">
        <x:v> COMPLETED </x:v>
      </x:c>
    </x:row>
    <x:row r="619" ht="21" customHeight="1">
      <x:c r="A619" s="2" t="n">
        <x:v>614</x:v>
      </x:c>
      <x:c r="B619" s="2" t="str">
        <x:v>TXN-00614</x:v>
      </x:c>
      <x:c r="C619" s="2" t="str">
        <x:v>2025-06-17</x:v>
      </x:c>
      <x:c r="D619" s="2" t="str">
        <x:v>Lagos</x:v>
      </x:c>
      <x:c r="E619" s="2" t="str">
        <x:v>Home</x:v>
      </x:c>
      <x:c r="F619" s="2" t="str">
        <x:v>Bedsheet</x:v>
      </x:c>
      <x:c r="G619" s="2" t="str">
        <x:v>Online</x:v>
      </x:c>
      <x:c r="H619" s="2" t="n">
        <x:v>2</x:v>
      </x:c>
      <x:c r="I619" s="2" t="n">
        <x:v>14000</x:v>
      </x:c>
      <x:c r="J619" s="2" t="n">
        <x:v>8500</x:v>
      </x:c>
      <x:c r="K619" s="2" t="n">
        <x:v>0.15</x:v>
      </x:c>
      <x:c r="L619" s="2" t="str">
        <x:v>Completed</x:v>
      </x:c>
    </x:row>
    <x:row r="620" ht="21" customHeight="1">
      <x:c r="A620" s="2" t="n">
        <x:v>615</x:v>
      </x:c>
      <x:c r="B620" s="2" t="str">
        <x:v>TXN-00615</x:v>
      </x:c>
      <x:c r="C620" s="2" t="str">
        <x:v>2025-06-15</x:v>
      </x:c>
      <x:c r="D620" s="2" t="str">
        <x:v>Abuja</x:v>
      </x:c>
      <x:c r="E620" s="2" t="str">
        <x:v>Fashion</x:v>
      </x:c>
      <x:c r="F620" s="2" t="str">
        <x:v>Handbag</x:v>
      </x:c>
      <x:c r="G620" s="2" t="str">
        <x:v>Online</x:v>
      </x:c>
      <x:c r="H620" s="2" t="n">
        <x:v>2</x:v>
      </x:c>
      <x:c r="I620" s="2" t="n">
        <x:v>22000</x:v>
      </x:c>
      <x:c r="J620" s="2" t="n">
        <x:v>13500</x:v>
      </x:c>
      <x:c r="K620" s="2" t="n">
        <x:v>0</x:v>
      </x:c>
      <x:c r="L620" s="2" t="str">
        <x:v>Completed</x:v>
      </x:c>
    </x:row>
    <x:row r="621" ht="21" customHeight="1">
      <x:c r="A621" s="2" t="n">
        <x:v>616</x:v>
      </x:c>
      <x:c r="B621" s="2" t="str">
        <x:v>TXN-00616</x:v>
      </x:c>
      <x:c r="C621" s="2" t="str">
        <x:v>2025-06-10</x:v>
      </x:c>
      <x:c r="D621" s="2" t="str">
        <x:v>Abuja</x:v>
      </x:c>
      <x:c r="E621" s="2" t="str">
        <x:v>Fashion</x:v>
      </x:c>
      <x:c r="F621" s="2" t="str">
        <x:v>T-shirt</x:v>
      </x:c>
      <x:c r="G621" s="2" t="str">
        <x:v>Online</x:v>
      </x:c>
      <x:c r="H621" s="2" t="n">
        <x:v>1</x:v>
      </x:c>
      <x:c r="I621" s="2" t="n">
        <x:v>9000</x:v>
      </x:c>
      <x:c r="J621" s="2" t="n">
        <x:v>5000</x:v>
      </x:c>
      <x:c r="K621" s="2" t="n">
        <x:v>0</x:v>
      </x:c>
      <x:c r="L621" s="2" t="str">
        <x:v>Completed</x:v>
      </x:c>
    </x:row>
    <x:row r="622" ht="21" customHeight="1">
      <x:c r="A622" s="2" t="n">
        <x:v>617</x:v>
      </x:c>
      <x:c r="B622" s="2" t="str">
        <x:v>TXN-00617</x:v>
      </x:c>
      <x:c r="C622" s="2" t="str">
        <x:v>2025-06-05</x:v>
      </x:c>
      <x:c r="D622" s="2" t="str">
        <x:v> abuja </x:v>
      </x:c>
      <x:c r="E622" s="2" t="str">
        <x:v>Beauty</x:v>
      </x:c>
      <x:c r="F622" s="2" t="str">
        <x:v>Moisturizer</x:v>
      </x:c>
      <x:c r="G622" s="2" t="str">
        <x:v> online </x:v>
      </x:c>
      <x:c r="H622" s="2" t="n">
        <x:v>1</x:v>
      </x:c>
      <x:c r="I622" s="2" t="n">
        <x:v>6500</x:v>
      </x:c>
      <x:c r="J622" s="2" t="n">
        <x:v>3500</x:v>
      </x:c>
      <x:c r="K622" s="2" t="n">
        <x:v>0</x:v>
      </x:c>
      <x:c r="L622" s="2" t="str">
        <x:v>Completed</x:v>
      </x:c>
    </x:row>
    <x:row r="623" ht="21" customHeight="1">
      <x:c r="A623" s="2" t="n">
        <x:v>618</x:v>
      </x:c>
      <x:c r="B623" s="2" t="str">
        <x:v>TXN-00618</x:v>
      </x:c>
      <x:c r="C623" s="2" t="str">
        <x:v>2025-06-16</x:v>
      </x:c>
      <x:c r="D623" s="2" t="str">
        <x:v>Kano</x:v>
      </x:c>
      <x:c r="E623" s="2" t="str">
        <x:v>Beauty</x:v>
      </x:c>
      <x:c r="F623" s="2" t="str">
        <x:v>Body wash</x:v>
      </x:c>
      <x:c r="G623" s="2" t="str">
        <x:v>In-store</x:v>
      </x:c>
      <x:c r="H623" s="2" t="n">
        <x:v>1</x:v>
      </x:c>
      <x:c r="I623" s="2" t="n">
        <x:v>4500</x:v>
      </x:c>
      <x:c r="J623" s="2" t="n">
        <x:v>2300</x:v>
      </x:c>
      <x:c r="K623" s="2" t="n">
        <x:v>0</x:v>
      </x:c>
      <x:c r="L623" s="2" t="str">
        <x:v>Completed</x:v>
      </x:c>
    </x:row>
    <x:row r="624" ht="21" customHeight="1">
      <x:c r="A624" s="2" t="n">
        <x:v>619</x:v>
      </x:c>
      <x:c r="B624" s="2" t="str">
        <x:v>TXN-00619</x:v>
      </x:c>
      <x:c r="C624" s="2" t="str">
        <x:v>2025-06-03</x:v>
      </x:c>
      <x:c r="D624" s="2" t="str">
        <x:v>Kano</x:v>
      </x:c>
      <x:c r="E624" s="2" t="str">
        <x:v>Beauty</x:v>
      </x:c>
      <x:c r="F624" s="2" t="str">
        <x:v>Moisturizer</x:v>
      </x:c>
      <x:c r="G624" s="2" t="str">
        <x:v>Online</x:v>
      </x:c>
      <x:c r="H624" s="2" t="n">
        <x:v>2</x:v>
      </x:c>
      <x:c r="I624" s="2" t="n">
        <x:v>6500</x:v>
      </x:c>
      <x:c r="J624" s="2" t="n">
        <x:v>3500</x:v>
      </x:c>
      <x:c r="K624" s="2" t="n">
        <x:v>0</x:v>
      </x:c>
      <x:c r="L624" s="2" t="str">
        <x:v>Completed</x:v>
      </x:c>
    </x:row>
    <x:row r="625" ht="21" customHeight="1">
      <x:c r="A625" s="2" t="n">
        <x:v>620</x:v>
      </x:c>
      <x:c r="B625" s="2" t="str">
        <x:v>TXN-00620</x:v>
      </x:c>
      <x:c r="C625" s="2" t="str">
        <x:v>2025-06-17</x:v>
      </x:c>
      <x:c r="D625" s="2" t="str">
        <x:v>Port Harcourt</x:v>
      </x:c>
      <x:c r="E625" s="2" t="str">
        <x:v>Electronics</x:v>
      </x:c>
      <x:c r="F625" s="2" t="str">
        <x:v>Power bank</x:v>
      </x:c>
      <x:c r="G625" s="2" t="str">
        <x:v>Online</x:v>
      </x:c>
      <x:c r="H625" s="2" t="n">
        <x:v>2</x:v>
      </x:c>
      <x:c r="I625" s="2" t="n">
        <x:v>15000</x:v>
      </x:c>
      <x:c r="J625" s="2" t="n">
        <x:v>9500</x:v>
      </x:c>
      <x:c r="K625" s="2" t="n">
        <x:v>0</x:v>
      </x:c>
      <x:c r="L625" s="2" t="str">
        <x:v>Completed</x:v>
      </x:c>
    </x:row>
    <x:row r="626" ht="21" customHeight="1">
      <x:c r="A626" s="2" t="n">
        <x:v>621</x:v>
      </x:c>
      <x:c r="B626" s="2" t="str">
        <x:v>TXN-00621</x:v>
      </x:c>
      <x:c r="C626" s="2" t="str">
        <x:v>2025-06-24</x:v>
      </x:c>
      <x:c r="D626" s="2" t="str">
        <x:v>Lagos</x:v>
      </x:c>
      <x:c r="E626" s="2" t="str">
        <x:v>Fashion</x:v>
      </x:c>
      <x:c r="F626" s="2" t="str">
        <x:v>Sneakers</x:v>
      </x:c>
      <x:c r="G626" s="2" t="str">
        <x:v>In-store</x:v>
      </x:c>
      <x:c r="H626" s="2" t="n">
        <x:v>1</x:v>
      </x:c>
      <x:c r="I626" s="2" t="n">
        <x:v>28000</x:v>
      </x:c>
      <x:c r="J626" s="2" t="n">
        <x:v>17500</x:v>
      </x:c>
      <x:c r="K626" s="2" t="n">
        <x:v>0</x:v>
      </x:c>
      <x:c r="L626" s="2" t="str">
        <x:v>Completed</x:v>
      </x:c>
    </x:row>
    <x:row r="627" ht="21" customHeight="1">
      <x:c r="A627" s="2" t="n">
        <x:v>622</x:v>
      </x:c>
      <x:c r="B627" s="2" t="str">
        <x:v>TXN-00622</x:v>
      </x:c>
      <x:c r="C627" s="2" t="str">
        <x:v>2025-06-23</x:v>
      </x:c>
      <x:c r="D627" s="2" t="str">
        <x:v>Abuja</x:v>
      </x:c>
      <x:c r="E627" s="2" t="str">
        <x:v>Beauty</x:v>
      </x:c>
      <x:c r="F627" s="2" t="str">
        <x:v>Moisturizer</x:v>
      </x:c>
      <x:c r="G627" s="2" t="str">
        <x:v>Online</x:v>
      </x:c>
      <x:c r="H627" s="2" t="n">
        <x:v>1</x:v>
      </x:c>
      <x:c r="I627" s="2" t="n">
        <x:v>6500</x:v>
      </x:c>
      <x:c r="J627" s="2" t="n">
        <x:v>3500</x:v>
      </x:c>
      <x:c r="K627" s="2" t="n">
        <x:v>0.05</x:v>
      </x:c>
      <x:c r="L627" s="2" t="str">
        <x:v> COMPLETED </x:v>
      </x:c>
    </x:row>
    <x:row r="628" ht="21" customHeight="1">
      <x:c r="A628" s="2" t="n">
        <x:v>623</x:v>
      </x:c>
      <x:c r="B628" s="2" t="str">
        <x:v>TXN-00623</x:v>
      </x:c>
      <x:c r="C628" s="2" t="str">
        <x:v>2025-06-30</x:v>
      </x:c>
      <x:c r="D628" s="2" t="str">
        <x:v>Port Harcourt</x:v>
      </x:c>
      <x:c r="E628" s="2" t="str">
        <x:v>Fashion</x:v>
      </x:c>
      <x:c r="F628" s="2" t="str">
        <x:v>T-shirt</x:v>
      </x:c>
      <x:c r="G628" s="2" t="str">
        <x:v>Online</x:v>
      </x:c>
      <x:c r="H628" s="2" t="n">
        <x:v>2</x:v>
      </x:c>
      <x:c r="I628" s="2" t="n">
        <x:v>9000</x:v>
      </x:c>
      <x:c r="J628" s="2" t="n">
        <x:v>5000</x:v>
      </x:c>
      <x:c r="K628" s="2" t="n">
        <x:v>0.15</x:v>
      </x:c>
      <x:c r="L628" s="2" t="str">
        <x:v>Completed</x:v>
      </x:c>
    </x:row>
    <x:row r="629" ht="21" customHeight="1">
      <x:c r="A629" s="2" t="n">
        <x:v>624</x:v>
      </x:c>
      <x:c r="B629" s="2" t="str">
        <x:v>TXN-00624</x:v>
      </x:c>
      <x:c r="C629" s="2" t="str">
        <x:v>2025-06-30</x:v>
      </x:c>
      <x:c r="D629" s="2" t="str">
        <x:v> lagos </x:v>
      </x:c>
      <x:c r="E629" s="2" t="str">
        <x:v>Electronics</x:v>
      </x:c>
      <x:c r="F629" s="2" t="str">
        <x:v>Bluetooth speaker</x:v>
      </x:c>
      <x:c r="G629" s="2" t="str">
        <x:v>Online</x:v>
      </x:c>
      <x:c r="H629" s="2" t="n">
        <x:v>2</x:v>
      </x:c>
      <x:c r="I629" s="2" t="n">
        <x:v>26000</x:v>
      </x:c>
      <x:c r="J629" s="2" t="n">
        <x:v>17000</x:v>
      </x:c>
      <x:c r="K629" s="2" t="n">
        <x:v>0.05</x:v>
      </x:c>
      <x:c r="L629" s="2" t="str">
        <x:v>Completed</x:v>
      </x:c>
    </x:row>
    <x:row r="630" ht="21" customHeight="1">
      <x:c r="A630" s="2" t="n">
        <x:v>625</x:v>
      </x:c>
      <x:c r="B630" s="2" t="str">
        <x:v>TXN-00625</x:v>
      </x:c>
      <x:c r="C630" s="2" t="str">
        <x:v>2025-06-21</x:v>
      </x:c>
      <x:c r="D630" s="2" t="str">
        <x:v>Abuja</x:v>
      </x:c>
      <x:c r="E630" s="2" t="str">
        <x:v>Electronics</x:v>
      </x:c>
      <x:c r="F630" s="2" t="str">
        <x:v>Power bank</x:v>
      </x:c>
      <x:c r="G630" s="2" t="str">
        <x:v>In-store</x:v>
      </x:c>
      <x:c r="H630" s="2" t="n">
        <x:v>1</x:v>
      </x:c>
      <x:c r="I630" s="2" t="n">
        <x:v>15000</x:v>
      </x:c>
      <x:c r="J630" s="2" t="n">
        <x:v>9500</x:v>
      </x:c>
      <x:c r="K630" s="2" t="n">
        <x:v>0.15</x:v>
      </x:c>
      <x:c r="L630" s="2" t="str">
        <x:v>Completed</x:v>
      </x:c>
    </x:row>
    <x:row r="631" ht="21" customHeight="1">
      <x:c r="A631" s="2" t="n">
        <x:v>626</x:v>
      </x:c>
      <x:c r="B631" s="2" t="str">
        <x:v>TXN-00626</x:v>
      </x:c>
      <x:c r="C631" s="2" t="str">
        <x:v>2025-06-08</x:v>
      </x:c>
      <x:c r="D631" s="2" t="str">
        <x:v>Lagos</x:v>
      </x:c>
      <x:c r="E631" s="2" t="str">
        <x:v>Electronics</x:v>
      </x:c>
      <x:c r="F631" s="2" t="str">
        <x:v>Headphones</x:v>
      </x:c>
      <x:c r="G631" s="2" t="str">
        <x:v>In-store</x:v>
      </x:c>
      <x:c r="H631" s="2" t="n">
        <x:v>1</x:v>
      </x:c>
      <x:c r="I631" s="2" t="n">
        <x:v>18000</x:v>
      </x:c>
      <x:c r="J631" s="2" t="n">
        <x:v>10500</x:v>
      </x:c>
      <x:c r="K631" s="2" t="n">
        <x:v>0.1</x:v>
      </x:c>
      <x:c r="L631" s="2" t="str">
        <x:v>Completed</x:v>
      </x:c>
    </x:row>
    <x:row r="632" ht="21" customHeight="1">
      <x:c r="A632" s="2" t="n">
        <x:v>627</x:v>
      </x:c>
      <x:c r="B632" s="2" t="str">
        <x:v>TXN-00627</x:v>
      </x:c>
      <x:c r="C632" s="2" t="str">
        <x:v>2025-06-27</x:v>
      </x:c>
      <x:c r="D632" s="2" t="str">
        <x:v>Lagos</x:v>
      </x:c>
      <x:c r="E632" s="2" t="str">
        <x:v>Home</x:v>
      </x:c>
      <x:c r="F632" s="2" t="str">
        <x:v>Cookware set</x:v>
      </x:c>
      <x:c r="G632" s="2" t="str">
        <x:v>Online</x:v>
      </x:c>
      <x:c r="H632" s="2" t="n">
        <x:v>2</x:v>
      </x:c>
      <x:c r="I632" s="2" t="n">
        <x:v>35000</x:v>
      </x:c>
      <x:c r="J632" s="2" t="n">
        <x:v>22500</x:v>
      </x:c>
      <x:c r="K632" s="2" t="n">
        <x:v>0</x:v>
      </x:c>
      <x:c r="L632" s="2" t="str">
        <x:v>Completed</x:v>
      </x:c>
    </x:row>
    <x:row r="633" ht="21" customHeight="1">
      <x:c r="A633" s="2" t="n">
        <x:v>628</x:v>
      </x:c>
      <x:c r="B633" s="2" t="str">
        <x:v>TXN-00628</x:v>
      </x:c>
      <x:c r="C633" s="2" t="str">
        <x:v>2025-06-18</x:v>
      </x:c>
      <x:c r="D633" s="2" t="str">
        <x:v>Port Harcourt</x:v>
      </x:c>
      <x:c r="E633" s="2" t="str">
        <x:v>Beauty</x:v>
      </x:c>
      <x:c r="F633" s="2" t="str">
        <x:v>Moisturizer</x:v>
      </x:c>
      <x:c r="G633" s="2" t="str">
        <x:v> in-store </x:v>
      </x:c>
      <x:c r="H633" s="2" t="n">
        <x:v>3</x:v>
      </x:c>
      <x:c r="I633" s="2" t="n">
        <x:v>6500</x:v>
      </x:c>
      <x:c r="J633" s="2" t="n">
        <x:v>3500</x:v>
      </x:c>
      <x:c r="K633" s="2" t="n">
        <x:v>0.1</x:v>
      </x:c>
      <x:c r="L633" s="2" t="str">
        <x:v>Completed</x:v>
      </x:c>
    </x:row>
    <x:row r="634" ht="21" customHeight="1">
      <x:c r="A634" s="2" t="n">
        <x:v>629</x:v>
      </x:c>
      <x:c r="B634" s="2" t="str">
        <x:v>TXN-00629</x:v>
      </x:c>
      <x:c r="C634" s="2" t="str">
        <x:v>2025-06-11</x:v>
      </x:c>
      <x:c r="D634" s="2" t="str">
        <x:v>Abuja</x:v>
      </x:c>
      <x:c r="E634" s="2" t="str">
        <x:v>Fashion</x:v>
      </x:c>
      <x:c r="F634" s="2" t="str">
        <x:v>T-shirt</x:v>
      </x:c>
      <x:c r="G634" s="2" t="str">
        <x:v>Online</x:v>
      </x:c>
      <x:c r="H634" s="2" t="n">
        <x:v>1</x:v>
      </x:c>
      <x:c r="I634" s="2" t="n">
        <x:v>9000</x:v>
      </x:c>
      <x:c r="J634" s="2" t="n">
        <x:v>5000</x:v>
      </x:c>
      <x:c r="K634" s="2" t="n">
        <x:v>0.05</x:v>
      </x:c>
      <x:c r="L634" s="2" t="str">
        <x:v>Completed</x:v>
      </x:c>
    </x:row>
    <x:row r="635" ht="21" customHeight="1">
      <x:c r="A635" s="2" t="n">
        <x:v>630</x:v>
      </x:c>
      <x:c r="B635" s="2" t="str">
        <x:v>TXN-00630</x:v>
      </x:c>
      <x:c r="C635" s="2" t="str">
        <x:v>2025-06-20</x:v>
      </x:c>
      <x:c r="D635" s="2" t="str">
        <x:v>Lagos</x:v>
      </x:c>
      <x:c r="E635" s="2" t="str">
        <x:v>Fashion</x:v>
      </x:c>
      <x:c r="F635" s="2" t="str">
        <x:v>Sneakers</x:v>
      </x:c>
      <x:c r="G635" s="2" t="str">
        <x:v>In-store</x:v>
      </x:c>
      <x:c r="H635" s="2" t="n">
        <x:v>4</x:v>
      </x:c>
      <x:c r="I635" s="2" t="n">
        <x:v>28000</x:v>
      </x:c>
      <x:c r="J635" s="2" t="n">
        <x:v>17500</x:v>
      </x:c>
      <x:c r="K635" s="2" t="n">
        <x:v>0</x:v>
      </x:c>
      <x:c r="L635" s="2" t="str">
        <x:v>Completed</x:v>
      </x:c>
    </x:row>
    <x:row r="636" ht="21" customHeight="1">
      <x:c r="A636" s="2" t="n">
        <x:v>631</x:v>
      </x:c>
      <x:c r="B636" s="2" t="str">
        <x:v>TXN-00631</x:v>
      </x:c>
      <x:c r="C636" s="2" t="str">
        <x:v>2025-06-13</x:v>
      </x:c>
      <x:c r="D636" s="2" t="str">
        <x:v> lagos </x:v>
      </x:c>
      <x:c r="E636" s="2" t="str">
        <x:v>Beauty</x:v>
      </x:c>
      <x:c r="F636" s="2" t="str">
        <x:v>Perfume</x:v>
      </x:c>
      <x:c r="G636" s="2" t="str">
        <x:v>In-store</x:v>
      </x:c>
      <x:c r="H636" s="2" t="n">
        <x:v>1</x:v>
      </x:c>
      <x:c r="I636" s="2" t="n">
        <x:v>17000</x:v>
      </x:c>
      <x:c r="J636" s="2" t="n">
        <x:v>9000</x:v>
      </x:c>
      <x:c r="K636" s="2" t="n">
        <x:v>0.05</x:v>
      </x:c>
      <x:c r="L636" s="2" t="str">
        <x:v> COMPLETED </x:v>
      </x:c>
    </x:row>
    <x:row r="637" ht="21" customHeight="1">
      <x:c r="A637" s="2" t="n">
        <x:v>632</x:v>
      </x:c>
      <x:c r="B637" s="2" t="str">
        <x:v>TXN-00632</x:v>
      </x:c>
      <x:c r="C637" s="2" t="str">
        <x:v>2025-06-06</x:v>
      </x:c>
      <x:c r="D637" s="2" t="str">
        <x:v>Kano</x:v>
      </x:c>
      <x:c r="E637" s="2" t="str">
        <x:v>Beauty</x:v>
      </x:c>
      <x:c r="F637" s="2" t="str">
        <x:v>Moisturizer</x:v>
      </x:c>
      <x:c r="G637" s="2" t="str">
        <x:v>Online</x:v>
      </x:c>
      <x:c r="H637" s="2" t="n">
        <x:v>2</x:v>
      </x:c>
      <x:c r="I637" s="2" t="n">
        <x:v>6500</x:v>
      </x:c>
      <x:c r="J637" s="2" t="n">
        <x:v>3500</x:v>
      </x:c>
      <x:c r="K637" s="2" t="n">
        <x:v>0.05</x:v>
      </x:c>
      <x:c r="L637" s="2" t="str">
        <x:v>Completed</x:v>
      </x:c>
    </x:row>
    <x:row r="638" ht="21" customHeight="1">
      <x:c r="A638" s="2" t="n">
        <x:v>633</x:v>
      </x:c>
      <x:c r="B638" s="2" t="str">
        <x:v>TXN-00633</x:v>
      </x:c>
      <x:c r="C638" s="2" t="str">
        <x:v>2025-06-23</x:v>
      </x:c>
      <x:c r="D638" s="2" t="str">
        <x:v>Port Harcourt</x:v>
      </x:c>
      <x:c r="E638" s="2" t="str">
        <x:v>Electronics</x:v>
      </x:c>
      <x:c r="F638" s="2" t="str">
        <x:v>Bluetooth speaker</x:v>
      </x:c>
      <x:c r="G638" s="2" t="str">
        <x:v>In-store</x:v>
      </x:c>
      <x:c r="H638" s="2" t="n">
        <x:v>1</x:v>
      </x:c>
      <x:c r="I638" s="2" t="n">
        <x:v>26000</x:v>
      </x:c>
      <x:c r="J638" s="2" t="n">
        <x:v>17000</x:v>
      </x:c>
      <x:c r="K638" s="2" t="n">
        <x:v>0.05</x:v>
      </x:c>
      <x:c r="L638" s="2" t="str">
        <x:v>Completed</x:v>
      </x:c>
    </x:row>
    <x:row r="639" ht="21" customHeight="1">
      <x:c r="A639" s="2" t="n">
        <x:v>634</x:v>
      </x:c>
      <x:c r="B639" s="2" t="str">
        <x:v>TXN-00634</x:v>
      </x:c>
      <x:c r="C639" s="2" t="str">
        <x:v>2025-06-22</x:v>
      </x:c>
      <x:c r="D639" s="2" t="str">
        <x:v>Lagos</x:v>
      </x:c>
      <x:c r="E639" s="2" t="str">
        <x:v>Beauty</x:v>
      </x:c>
      <x:c r="F639" s="2" t="str">
        <x:v>Body wash</x:v>
      </x:c>
      <x:c r="G639" s="2" t="str">
        <x:v>Online</x:v>
      </x:c>
      <x:c r="H639" s="2" t="n">
        <x:v>3</x:v>
      </x:c>
      <x:c r="I639" s="2" t="n">
        <x:v>4500</x:v>
      </x:c>
      <x:c r="J639" s="2" t="n">
        <x:v>2300</x:v>
      </x:c>
      <x:c r="K639" s="2" t="n">
        <x:v>0</x:v>
      </x:c>
      <x:c r="L639" s="2" t="str">
        <x:v>Completed</x:v>
      </x:c>
    </x:row>
    <x:row r="640" ht="21" customHeight="1">
      <x:c r="A640" s="2" t="n">
        <x:v>635</x:v>
      </x:c>
      <x:c r="B640" s="2" t="str">
        <x:v>TXN-00635</x:v>
      </x:c>
      <x:c r="C640" s="2" t="str">
        <x:v>2025-06-18</x:v>
      </x:c>
      <x:c r="D640" s="2" t="str">
        <x:v>Abuja</x:v>
      </x:c>
      <x:c r="E640" s="2" t="str">
        <x:v>Beauty</x:v>
      </x:c>
      <x:c r="F640" s="2" t="str">
        <x:v>Body wash</x:v>
      </x:c>
      <x:c r="G640" s="2" t="str">
        <x:v>Online</x:v>
      </x:c>
      <x:c r="H640" s="2" t="n">
        <x:v>1</x:v>
      </x:c>
      <x:c r="I640" s="2" t="n">
        <x:v>4500</x:v>
      </x:c>
      <x:c r="J640" s="2" t="n">
        <x:v>2300</x:v>
      </x:c>
      <x:c r="K640" s="2" t="n">
        <x:v>0</x:v>
      </x:c>
      <x:c r="L640" s="2" t="str">
        <x:v>Completed</x:v>
      </x:c>
    </x:row>
    <x:row r="641" ht="21" customHeight="1">
      <x:c r="A641" s="2" t="n">
        <x:v>636</x:v>
      </x:c>
      <x:c r="B641" s="2" t="str">
        <x:v>TXN-00636</x:v>
      </x:c>
      <x:c r="C641" s="2" t="str">
        <x:v>2025-06-07</x:v>
      </x:c>
      <x:c r="D641" s="2" t="str">
        <x:v>Lagos</x:v>
      </x:c>
      <x:c r="E641" s="2" t="str">
        <x:v>Electronics</x:v>
      </x:c>
      <x:c r="F641" s="2" t="str">
        <x:v>Bluetooth speaker</x:v>
      </x:c>
      <x:c r="G641" s="2" t="str">
        <x:v>In-store</x:v>
      </x:c>
      <x:c r="H641" s="2" t="n">
        <x:v>1</x:v>
      </x:c>
      <x:c r="I641" s="2" t="n">
        <x:v>26000</x:v>
      </x:c>
      <x:c r="J641" s="2" t="n">
        <x:v>17000</x:v>
      </x:c>
      <x:c r="K641" s="2" t="n">
        <x:v>0.1</x:v>
      </x:c>
      <x:c r="L641" s="2" t="str">
        <x:v>Completed</x:v>
      </x:c>
    </x:row>
    <x:row r="642" ht="21" customHeight="1">
      <x:c r="A642" s="2" t="n">
        <x:v>637</x:v>
      </x:c>
      <x:c r="B642" s="2" t="str">
        <x:v>TXN-00637</x:v>
      </x:c>
      <x:c r="C642" s="2" t="str">
        <x:v>2025-06-06</x:v>
      </x:c>
      <x:c r="D642" s="2" t="str">
        <x:v>Lagos</x:v>
      </x:c>
      <x:c r="E642" s="2" t="str">
        <x:v>Beauty</x:v>
      </x:c>
      <x:c r="F642" s="2" t="str">
        <x:v>Moisturizer</x:v>
      </x:c>
      <x:c r="G642" s="2" t="str">
        <x:v>Online</x:v>
      </x:c>
      <x:c r="H642" s="2" t="n">
        <x:v>1</x:v>
      </x:c>
      <x:c r="I642" s="2" t="n">
        <x:v>6500</x:v>
      </x:c>
      <x:c r="J642" s="2" t="n">
        <x:v>3500</x:v>
      </x:c>
      <x:c r="K642" s="2" t="n">
        <x:v>0.1</x:v>
      </x:c>
      <x:c r="L642" s="2" t="str">
        <x:v>Completed</x:v>
      </x:c>
    </x:row>
    <x:row r="643" ht="21" customHeight="1">
      <x:c r="A643" s="2" t="n">
        <x:v>638</x:v>
      </x:c>
      <x:c r="B643" s="2" t="str">
        <x:v>TXN-00638</x:v>
      </x:c>
      <x:c r="C643" s="2" t="str">
        <x:v>2025-06-01</x:v>
      </x:c>
      <x:c r="D643" s="2" t="str">
        <x:v> abuja </x:v>
      </x:c>
      <x:c r="E643" s="2" t="str">
        <x:v>Fashion</x:v>
      </x:c>
      <x:c r="F643" s="2" t="str">
        <x:v>Sneakers</x:v>
      </x:c>
      <x:c r="G643" s="2" t="str">
        <x:v>In-store</x:v>
      </x:c>
      <x:c r="H643" s="2" t="n">
        <x:v>2</x:v>
      </x:c>
      <x:c r="I643" s="2" t="n">
        <x:v>28000</x:v>
      </x:c>
      <x:c r="J643" s="2" t="n">
        <x:v>17500</x:v>
      </x:c>
      <x:c r="K643" s="2" t="n">
        <x:v>0</x:v>
      </x:c>
      <x:c r="L643" s="2" t="str">
        <x:v>Completed</x:v>
      </x:c>
    </x:row>
    <x:row r="644" ht="21" customHeight="1">
      <x:c r="A644" s="2" t="n">
        <x:v>639</x:v>
      </x:c>
      <x:c r="B644" s="2" t="str">
        <x:v>TXN-00639</x:v>
      </x:c>
      <x:c r="C644" s="2" t="str">
        <x:v>2025-06-22</x:v>
      </x:c>
      <x:c r="D644" s="2" t="str">
        <x:v>Lagos</x:v>
      </x:c>
      <x:c r="E644" s="2" t="str">
        <x:v>Fashion</x:v>
      </x:c>
      <x:c r="F644" s="2" t="str">
        <x:v>T-shirt</x:v>
      </x:c>
      <x:c r="G644" s="2" t="str">
        <x:v> in-store </x:v>
      </x:c>
      <x:c r="H644" s="2" t="n">
        <x:v>2</x:v>
      </x:c>
      <x:c r="I644" s="2" t="n">
        <x:v>9000</x:v>
      </x:c>
      <x:c r="J644" s="2" t="n">
        <x:v>5000</x:v>
      </x:c>
      <x:c r="K644" s="2" t="n">
        <x:v>0</x:v>
      </x:c>
      <x:c r="L644" s="2" t="str">
        <x:v>Completed</x:v>
      </x:c>
    </x:row>
    <x:row r="645" ht="21" customHeight="1">
      <x:c r="A645" s="2" t="n">
        <x:v>640</x:v>
      </x:c>
      <x:c r="B645" s="2" t="str">
        <x:v>TXN-00640</x:v>
      </x:c>
      <x:c r="C645" s="2" t="str">
        <x:v>2025-06-02</x:v>
      </x:c>
      <x:c r="D645" s="2" t="str">
        <x:v>Port Harcourt</x:v>
      </x:c>
      <x:c r="E645" s="2" t="str">
        <x:v>Electronics</x:v>
      </x:c>
      <x:c r="F645" s="2" t="str">
        <x:v>Power bank</x:v>
      </x:c>
      <x:c r="G645" s="2" t="str">
        <x:v>In-store</x:v>
      </x:c>
      <x:c r="H645" s="2" t="n">
        <x:v>1</x:v>
      </x:c>
      <x:c r="I645" s="2" t="n">
        <x:v>15000</x:v>
      </x:c>
      <x:c r="J645" s="2" t="n">
        <x:v>9500</x:v>
      </x:c>
      <x:c r="K645" s="2" t="n">
        <x:v>0</x:v>
      </x:c>
      <x:c r="L645" s="2" t="str">
        <x:v> COMPLETED </x:v>
      </x:c>
    </x:row>
    <x:row r="646" ht="21" customHeight="1">
      <x:c r="A646" s="2" t="n">
        <x:v>641</x:v>
      </x:c>
      <x:c r="B646" s="2" t="str">
        <x:v>TXN-00641</x:v>
      </x:c>
      <x:c r="C646" s="2" t="str">
        <x:v>2025-06-01</x:v>
      </x:c>
      <x:c r="D646" s="2" t="str">
        <x:v>Abuja</x:v>
      </x:c>
      <x:c r="E646" s="2" t="str">
        <x:v>Fashion</x:v>
      </x:c>
      <x:c r="F646" s="2" t="str">
        <x:v>Handbag</x:v>
      </x:c>
      <x:c r="G646" s="2" t="str">
        <x:v>Online</x:v>
      </x:c>
      <x:c r="H646" s="2" t="n">
        <x:v>1</x:v>
      </x:c>
      <x:c r="I646" s="2" t="n">
        <x:v>22000</x:v>
      </x:c>
      <x:c r="J646" s="2" t="n">
        <x:v>13500</x:v>
      </x:c>
      <x:c r="K646" s="2" t="n">
        <x:v>0</x:v>
      </x:c>
      <x:c r="L646" s="2" t="str">
        <x:v>Completed</x:v>
      </x:c>
    </x:row>
    <x:row r="647" ht="21" customHeight="1">
      <x:c r="A647" s="2" t="n">
        <x:v>642</x:v>
      </x:c>
      <x:c r="B647" s="2" t="str">
        <x:v>TXN-00642</x:v>
      </x:c>
      <x:c r="C647" s="2" t="str">
        <x:v>2025-06-27</x:v>
      </x:c>
      <x:c r="D647" s="2" t="str">
        <x:v>Lagos</x:v>
      </x:c>
      <x:c r="E647" s="2" t="str">
        <x:v>Fashion</x:v>
      </x:c>
      <x:c r="F647" s="2" t="str">
        <x:v>Handbag</x:v>
      </x:c>
      <x:c r="G647" s="2" t="str">
        <x:v>Online</x:v>
      </x:c>
      <x:c r="H647" s="2" t="n">
        <x:v>2</x:v>
      </x:c>
      <x:c r="I647" s="2" t="n">
        <x:v>22000</x:v>
      </x:c>
      <x:c r="J647" s="2" t="n">
        <x:v>13500</x:v>
      </x:c>
      <x:c r="K647" s="2" t="n">
        <x:v>0</x:v>
      </x:c>
      <x:c r="L647" s="2" t="str">
        <x:v>Completed</x:v>
      </x:c>
    </x:row>
    <x:row r="648" ht="21" customHeight="1">
      <x:c r="A648" s="2" t="n">
        <x:v>643</x:v>
      </x:c>
      <x:c r="B648" s="2" t="str">
        <x:v>TXN-00643</x:v>
      </x:c>
      <x:c r="C648" s="2" t="str">
        <x:v>2025-06-03</x:v>
      </x:c>
      <x:c r="D648" s="2" t="str">
        <x:v>Abuja</x:v>
      </x:c>
      <x:c r="E648" s="2" t="str">
        <x:v>Fashion</x:v>
      </x:c>
      <x:c r="F648" s="2" t="str">
        <x:v>Handbag</x:v>
      </x:c>
      <x:c r="G648" s="2" t="str">
        <x:v>Online</x:v>
      </x:c>
      <x:c r="H648" s="2" t="n">
        <x:v>2</x:v>
      </x:c>
      <x:c r="I648" s="2" t="n">
        <x:v>22000</x:v>
      </x:c>
      <x:c r="J648" s="2" t="n">
        <x:v>13500</x:v>
      </x:c>
      <x:c r="K648" s="2" t="n">
        <x:v>0</x:v>
      </x:c>
      <x:c r="L648" s="2" t="str">
        <x:v>Completed</x:v>
      </x:c>
    </x:row>
    <x:row r="649" ht="21" customHeight="1">
      <x:c r="A649" s="2" t="n">
        <x:v>644</x:v>
      </x:c>
      <x:c r="B649" s="2" t="str">
        <x:v>TXN-00644</x:v>
      </x:c>
      <x:c r="C649" s="2" t="str">
        <x:v>2025-06-11</x:v>
      </x:c>
      <x:c r="D649" s="2" t="str">
        <x:v>Abuja</x:v>
      </x:c>
      <x:c r="E649" s="2" t="str">
        <x:v>Fashion</x:v>
      </x:c>
      <x:c r="F649" s="2" t="str">
        <x:v>T-shirt</x:v>
      </x:c>
      <x:c r="G649" s="2" t="str">
        <x:v>Online</x:v>
      </x:c>
      <x:c r="H649" s="2" t="n">
        <x:v>1</x:v>
      </x:c>
      <x:c r="I649" s="2" t="n">
        <x:v>9000</x:v>
      </x:c>
      <x:c r="J649" s="2" t="n">
        <x:v>5000</x:v>
      </x:c>
      <x:c r="K649" s="2" t="n">
        <x:v>0.05</x:v>
      </x:c>
      <x:c r="L649" s="2" t="str">
        <x:v>Completed</x:v>
      </x:c>
    </x:row>
    <x:row r="650" ht="21" customHeight="1">
      <x:c r="A650" s="2" t="n">
        <x:v>645</x:v>
      </x:c>
      <x:c r="B650" s="2" t="str">
        <x:v>TXN-00645</x:v>
      </x:c>
      <x:c r="C650" s="2" t="str">
        <x:v>2025-06-15</x:v>
      </x:c>
      <x:c r="D650" s="2" t="str">
        <x:v> lagos </x:v>
      </x:c>
      <x:c r="E650" s="2" t="str">
        <x:v>Electronics</x:v>
      </x:c>
      <x:c r="F650" s="2" t="str">
        <x:v>Bluetooth speaker</x:v>
      </x:c>
      <x:c r="G650" s="2" t="str">
        <x:v>Online</x:v>
      </x:c>
      <x:c r="H650" s="2" t="n">
        <x:v>3</x:v>
      </x:c>
      <x:c r="I650" s="2" t="n">
        <x:v>26000</x:v>
      </x:c>
      <x:c r="J650" s="2" t="n">
        <x:v>17000</x:v>
      </x:c>
      <x:c r="K650" s="2" t="n">
        <x:v>0</x:v>
      </x:c>
      <x:c r="L650" s="2" t="str">
        <x:v>Completed</x:v>
      </x:c>
    </x:row>
    <x:row r="651" ht="21" customHeight="1">
      <x:c r="A651" s="2" t="n">
        <x:v>646</x:v>
      </x:c>
      <x:c r="B651" s="2" t="str">
        <x:v>TXN-00646</x:v>
      </x:c>
      <x:c r="C651" s="2" t="str">
        <x:v>2025-06-29</x:v>
      </x:c>
      <x:c r="D651" s="2" t="str">
        <x:v>Abuja</x:v>
      </x:c>
      <x:c r="E651" s="2" t="str">
        <x:v>Fashion</x:v>
      </x:c>
      <x:c r="F651" s="2" t="str">
        <x:v>Handbag</x:v>
      </x:c>
      <x:c r="G651" s="2" t="str">
        <x:v>Online</x:v>
      </x:c>
      <x:c r="H651" s="2" t="n">
        <x:v>1</x:v>
      </x:c>
      <x:c r="I651" s="2" t="n">
        <x:v>22000</x:v>
      </x:c>
      <x:c r="J651" s="2" t="n">
        <x:v>13500</x:v>
      </x:c>
      <x:c r="K651" s="2" t="n">
        <x:v>0</x:v>
      </x:c>
      <x:c r="L651" s="2" t="str">
        <x:v>Completed</x:v>
      </x:c>
    </x:row>
    <x:row r="652" ht="21" customHeight="1">
      <x:c r="A652" s="2" t="n">
        <x:v>647</x:v>
      </x:c>
      <x:c r="B652" s="2" t="str">
        <x:v>TXN-00647</x:v>
      </x:c>
      <x:c r="C652" s="2" t="str">
        <x:v>2025-06-01</x:v>
      </x:c>
      <x:c r="D652" s="2" t="str">
        <x:v>Lagos</x:v>
      </x:c>
      <x:c r="E652" s="2" t="str">
        <x:v>Fashion</x:v>
      </x:c>
      <x:c r="F652" s="2" t="str">
        <x:v>Handbag</x:v>
      </x:c>
      <x:c r="G652" s="2" t="str">
        <x:v>In-store</x:v>
      </x:c>
      <x:c r="H652" s="2" t="n">
        <x:v>1</x:v>
      </x:c>
      <x:c r="I652" s="2" t="n">
        <x:v>22000</x:v>
      </x:c>
      <x:c r="J652" s="2" t="n">
        <x:v>13500</x:v>
      </x:c>
      <x:c r="K652" s="2" t="n">
        <x:v>0</x:v>
      </x:c>
      <x:c r="L652" s="2" t="str">
        <x:v>Completed</x:v>
      </x:c>
    </x:row>
    <x:row r="653" ht="21" customHeight="1">
      <x:c r="A653" s="2" t="n">
        <x:v>648</x:v>
      </x:c>
      <x:c r="B653" s="2" t="str">
        <x:v>TXN-00648</x:v>
      </x:c>
      <x:c r="C653" s="2" t="str">
        <x:v>2025-06-03</x:v>
      </x:c>
      <x:c r="D653" s="2" t="str">
        <x:v>Port Harcourt</x:v>
      </x:c>
      <x:c r="E653" s="2" t="str">
        <x:v>Fashion</x:v>
      </x:c>
      <x:c r="F653" s="2" t="str">
        <x:v>Sneakers</x:v>
      </x:c>
      <x:c r="G653" s="2" t="str">
        <x:v>Online</x:v>
      </x:c>
      <x:c r="H653" s="2" t="n">
        <x:v>1</x:v>
      </x:c>
      <x:c r="I653" s="2" t="n">
        <x:v>28000</x:v>
      </x:c>
      <x:c r="J653" s="2" t="n">
        <x:v>17500</x:v>
      </x:c>
      <x:c r="K653" s="2" t="n">
        <x:v>0</x:v>
      </x:c>
      <x:c r="L653" s="2" t="str">
        <x:v>Completed</x:v>
      </x:c>
    </x:row>
    <x:row r="654" ht="21" customHeight="1">
      <x:c r="A654" s="2" t="n">
        <x:v>649</x:v>
      </x:c>
      <x:c r="B654" s="2" t="str">
        <x:v>TXN-00649</x:v>
      </x:c>
      <x:c r="C654" s="2" t="str">
        <x:v>2025-06-14</x:v>
      </x:c>
      <x:c r="D654" s="2" t="str">
        <x:v>Kano</x:v>
      </x:c>
      <x:c r="E654" s="2" t="str">
        <x:v>Fashion</x:v>
      </x:c>
      <x:c r="F654" s="2" t="str">
        <x:v>Sneakers</x:v>
      </x:c>
      <x:c r="G654" s="2" t="str">
        <x:v>In-store</x:v>
      </x:c>
      <x:c r="H654" s="2" t="n">
        <x:v>1</x:v>
      </x:c>
      <x:c r="I654" s="2" t="n">
        <x:v>28000</x:v>
      </x:c>
      <x:c r="J654" s="2" t="n">
        <x:v>17500</x:v>
      </x:c>
      <x:c r="K654" s="2" t="n">
        <x:v>0</x:v>
      </x:c>
      <x:c r="L654" s="2" t="str">
        <x:v> COMPLETED </x:v>
      </x:c>
    </x:row>
    <x:row r="655" ht="21" customHeight="1">
      <x:c r="A655" s="2" t="n">
        <x:v>650</x:v>
      </x:c>
      <x:c r="B655" s="2" t="str">
        <x:v>TXN-00650</x:v>
      </x:c>
      <x:c r="C655" s="2" t="str">
        <x:v>2025-06-10</x:v>
      </x:c>
      <x:c r="D655" s="2" t="str">
        <x:v>Abuja</x:v>
      </x:c>
      <x:c r="E655" s="2" t="str">
        <x:v>Beauty</x:v>
      </x:c>
      <x:c r="F655" s="2" t="str">
        <x:v>Perfume</x:v>
      </x:c>
      <x:c r="G655" s="2" t="str">
        <x:v> online </x:v>
      </x:c>
      <x:c r="H655" s="2" t="n">
        <x:v>3</x:v>
      </x:c>
      <x:c r="I655" s="2" t="n">
        <x:v>17000</x:v>
      </x:c>
      <x:c r="J655" s="2" t="n">
        <x:v>9000</x:v>
      </x:c>
      <x:c r="K655" s="2" t="n">
        <x:v>0.1</x:v>
      </x:c>
      <x:c r="L655" s="2" t="str">
        <x:v>Completed</x:v>
      </x:c>
    </x:row>
    <x:row r="656" ht="21" customHeight="1">
      <x:c r="A656" s="2" t="n">
        <x:v>651</x:v>
      </x:c>
      <x:c r="B656" s="2" t="str">
        <x:v>TXN-00651</x:v>
      </x:c>
      <x:c r="C656" s="2" t="str">
        <x:v>2025-06-03</x:v>
      </x:c>
      <x:c r="D656" s="2" t="str">
        <x:v>Abuja</x:v>
      </x:c>
      <x:c r="E656" s="2" t="str">
        <x:v>Beauty</x:v>
      </x:c>
      <x:c r="F656" s="2" t="str">
        <x:v>Body wash</x:v>
      </x:c>
      <x:c r="G656" s="2" t="str">
        <x:v>Online</x:v>
      </x:c>
      <x:c r="H656" s="2" t="n">
        <x:v>1</x:v>
      </x:c>
      <x:c r="I656" s="2" t="n">
        <x:v>4500</x:v>
      </x:c>
      <x:c r="J656" s="2" t="n">
        <x:v>2300</x:v>
      </x:c>
      <x:c r="K656" s="2" t="n">
        <x:v>0.1</x:v>
      </x:c>
      <x:c r="L656" s="2" t="str">
        <x:v>Completed</x:v>
      </x:c>
    </x:row>
    <x:row r="657" ht="21" customHeight="1">
      <x:c r="A657" s="2" t="n">
        <x:v>652</x:v>
      </x:c>
      <x:c r="B657" s="2" t="str">
        <x:v>TXN-00652</x:v>
      </x:c>
      <x:c r="C657" s="2" t="str">
        <x:v>2025-06-21</x:v>
      </x:c>
      <x:c r="D657" s="2" t="str">
        <x:v> abuja </x:v>
      </x:c>
      <x:c r="E657" s="2" t="str">
        <x:v>Beauty</x:v>
      </x:c>
      <x:c r="F657" s="2" t="str">
        <x:v>Body wash</x:v>
      </x:c>
      <x:c r="G657" s="2" t="str">
        <x:v>In-store</x:v>
      </x:c>
      <x:c r="H657" s="2" t="n">
        <x:v>2</x:v>
      </x:c>
      <x:c r="I657" s="2" t="n">
        <x:v>4500</x:v>
      </x:c>
      <x:c r="J657" s="2" t="n">
        <x:v>2300</x:v>
      </x:c>
      <x:c r="K657" s="2" t="n">
        <x:v>0</x:v>
      </x:c>
      <x:c r="L657" s="2" t="str">
        <x:v>Completed</x:v>
      </x:c>
    </x:row>
    <x:row r="658" ht="21" customHeight="1">
      <x:c r="A658" s="2" t="n">
        <x:v>653</x:v>
      </x:c>
      <x:c r="B658" s="2" t="str">
        <x:v>TXN-00653</x:v>
      </x:c>
      <x:c r="C658" s="2" t="str">
        <x:v>2025-06-14</x:v>
      </x:c>
      <x:c r="D658" s="2" t="str">
        <x:v>Lagos</x:v>
      </x:c>
      <x:c r="E658" s="2" t="str">
        <x:v>Home</x:v>
      </x:c>
      <x:c r="F658" s="2" t="str">
        <x:v>Desk lamp</x:v>
      </x:c>
      <x:c r="G658" s="2" t="str">
        <x:v>In-store</x:v>
      </x:c>
      <x:c r="H658" s="2" t="n">
        <x:v>3</x:v>
      </x:c>
      <x:c r="I658" s="2" t="n">
        <x:v>12000</x:v>
      </x:c>
      <x:c r="J658" s="2" t="n">
        <x:v>7200</x:v>
      </x:c>
      <x:c r="K658" s="2" t="n">
        <x:v>0</x:v>
      </x:c>
      <x:c r="L658" s="2" t="str">
        <x:v>Completed</x:v>
      </x:c>
    </x:row>
    <x:row r="659" ht="21" customHeight="1">
      <x:c r="A659" s="2" t="n">
        <x:v>654</x:v>
      </x:c>
      <x:c r="B659" s="2" t="str">
        <x:v>TXN-00654</x:v>
      </x:c>
      <x:c r="C659" s="2" t="str">
        <x:v>2025-06-08</x:v>
      </x:c>
      <x:c r="D659" s="2" t="str">
        <x:v>Port Harcourt</x:v>
      </x:c>
      <x:c r="E659" s="2" t="str">
        <x:v>Home</x:v>
      </x:c>
      <x:c r="F659" s="2" t="str">
        <x:v>Bedsheet</x:v>
      </x:c>
      <x:c r="G659" s="2" t="str">
        <x:v>In-store</x:v>
      </x:c>
      <x:c r="H659" s="2" t="n">
        <x:v>2</x:v>
      </x:c>
      <x:c r="I659" s="2" t="n">
        <x:v>14000</x:v>
      </x:c>
      <x:c r="J659" s="2" t="n">
        <x:v>8500</x:v>
      </x:c>
      <x:c r="K659" s="2" t="n">
        <x:v>0</x:v>
      </x:c>
      <x:c r="L659" s="2" t="str">
        <x:v>Completed</x:v>
      </x:c>
    </x:row>
    <x:row r="660" ht="21" customHeight="1">
      <x:c r="A660" s="2" t="n">
        <x:v>655</x:v>
      </x:c>
      <x:c r="B660" s="2" t="str">
        <x:v>TXN-00655</x:v>
      </x:c>
      <x:c r="C660" s="2" t="str">
        <x:v>2025-06-05</x:v>
      </x:c>
      <x:c r="D660" s="2" t="str">
        <x:v>Port Harcourt</x:v>
      </x:c>
      <x:c r="E660" s="2" t="str">
        <x:v>Beauty</x:v>
      </x:c>
      <x:c r="F660" s="2" t="str">
        <x:v>Body wash</x:v>
      </x:c>
      <x:c r="G660" s="2" t="str">
        <x:v>Online</x:v>
      </x:c>
      <x:c r="H660" s="2" t="n">
        <x:v>3</x:v>
      </x:c>
      <x:c r="I660" s="2" t="n">
        <x:v>4500</x:v>
      </x:c>
      <x:c r="J660" s="2" t="n">
        <x:v>2300</x:v>
      </x:c>
      <x:c r="K660" s="2" t="n">
        <x:v>0.1</x:v>
      </x:c>
      <x:c r="L660" s="2" t="str">
        <x:v>Completed</x:v>
      </x:c>
    </x:row>
    <x:row r="661" ht="21" customHeight="1">
      <x:c r="A661" s="2" t="n">
        <x:v>656</x:v>
      </x:c>
      <x:c r="B661" s="2" t="str">
        <x:v>TXN-00656</x:v>
      </x:c>
      <x:c r="C661" s="2" t="str">
        <x:v>2025-06-21</x:v>
      </x:c>
      <x:c r="D661" s="2" t="str">
        <x:v>Lagos</x:v>
      </x:c>
      <x:c r="E661" s="2" t="str">
        <x:v>Beauty</x:v>
      </x:c>
      <x:c r="F661" s="2" t="str">
        <x:v>Moisturizer</x:v>
      </x:c>
      <x:c r="G661" s="2" t="str">
        <x:v>In-store</x:v>
      </x:c>
      <x:c r="H661" s="2" t="n">
        <x:v>1</x:v>
      </x:c>
      <x:c r="I661" s="2" t="n">
        <x:v>6500</x:v>
      </x:c>
      <x:c r="J661" s="2" t="n">
        <x:v>3500</x:v>
      </x:c>
      <x:c r="K661" s="2" t="n">
        <x:v>0.1</x:v>
      </x:c>
      <x:c r="L661" s="2" t="str">
        <x:v>Completed</x:v>
      </x:c>
    </x:row>
    <x:row r="662" ht="21" customHeight="1">
      <x:c r="A662" s="2" t="n">
        <x:v>657</x:v>
      </x:c>
      <x:c r="B662" s="2" t="str">
        <x:v>TXN-00657</x:v>
      </x:c>
      <x:c r="C662" s="2" t="str">
        <x:v>2025-06-16</x:v>
      </x:c>
      <x:c r="D662" s="2" t="str">
        <x:v>Lagos</x:v>
      </x:c>
      <x:c r="E662" s="2" t="str">
        <x:v>Beauty</x:v>
      </x:c>
      <x:c r="F662" s="2" t="str">
        <x:v>Perfume</x:v>
      </x:c>
      <x:c r="G662" s="2" t="str">
        <x:v>Online</x:v>
      </x:c>
      <x:c r="H662" s="2" t="n">
        <x:v>1</x:v>
      </x:c>
      <x:c r="I662" s="2" t="n">
        <x:v>17000</x:v>
      </x:c>
      <x:c r="J662" s="2" t="n">
        <x:v>9000</x:v>
      </x:c>
      <x:c r="K662" s="2" t="n">
        <x:v>0.05</x:v>
      </x:c>
      <x:c r="L662" s="2" t="str">
        <x:v>Completed</x:v>
      </x:c>
    </x:row>
    <x:row r="663" ht="21" customHeight="1">
      <x:c r="A663" s="2" t="n">
        <x:v>658</x:v>
      </x:c>
      <x:c r="B663" s="2" t="str">
        <x:v>TXN-00658</x:v>
      </x:c>
      <x:c r="C663" s="2" t="str">
        <x:v>2025-07-19</x:v>
      </x:c>
      <x:c r="D663" s="2" t="str">
        <x:v>Lagos</x:v>
      </x:c>
      <x:c r="E663" s="2" t="str">
        <x:v>Electronics</x:v>
      </x:c>
      <x:c r="F663" s="2" t="str">
        <x:v>Bluetooth speaker</x:v>
      </x:c>
      <x:c r="G663" s="2" t="str">
        <x:v>Online</x:v>
      </x:c>
      <x:c r="H663" s="2" t="n">
        <x:v>1</x:v>
      </x:c>
      <x:c r="I663" s="2" t="n">
        <x:v>26000</x:v>
      </x:c>
      <x:c r="J663" s="2" t="n">
        <x:v>17000</x:v>
      </x:c>
      <x:c r="K663" s="2" t="n">
        <x:v>0.1</x:v>
      </x:c>
      <x:c r="L663" s="2" t="str">
        <x:v> COMPLETED </x:v>
      </x:c>
    </x:row>
    <x:row r="664" ht="21" customHeight="1">
      <x:c r="A664" s="2" t="n">
        <x:v>659</x:v>
      </x:c>
      <x:c r="B664" s="2" t="str">
        <x:v>TXN-00659</x:v>
      </x:c>
      <x:c r="C664" s="2" t="str">
        <x:v>2025-07-01</x:v>
      </x:c>
      <x:c r="D664" s="2" t="str">
        <x:v> kano </x:v>
      </x:c>
      <x:c r="E664" s="2" t="str">
        <x:v>Home</x:v>
      </x:c>
      <x:c r="F664" s="2" t="str">
        <x:v>Desk lamp</x:v>
      </x:c>
      <x:c r="G664" s="2" t="str">
        <x:v>In-store</x:v>
      </x:c>
      <x:c r="H664" s="2" t="n">
        <x:v>1</x:v>
      </x:c>
      <x:c r="I664" s="2" t="n">
        <x:v>12000</x:v>
      </x:c>
      <x:c r="J664" s="2" t="n">
        <x:v>7200</x:v>
      </x:c>
      <x:c r="K664" s="2" t="n">
        <x:v>0.1</x:v>
      </x:c>
      <x:c r="L664" s="2" t="str">
        <x:v>Completed</x:v>
      </x:c>
    </x:row>
    <x:row r="665" ht="21" customHeight="1">
      <x:c r="A665" s="2" t="n">
        <x:v>660</x:v>
      </x:c>
      <x:c r="B665" s="2" t="str">
        <x:v>TXN-00660</x:v>
      </x:c>
      <x:c r="C665" s="2" t="str">
        <x:v>2025-07-18</x:v>
      </x:c>
      <x:c r="D665" s="2" t="str">
        <x:v>Abuja</x:v>
      </x:c>
      <x:c r="E665" s="2" t="str">
        <x:v>Beauty</x:v>
      </x:c>
      <x:c r="F665" s="2" t="str">
        <x:v>Perfume</x:v>
      </x:c>
      <x:c r="G665" s="2" t="str">
        <x:v>In-store</x:v>
      </x:c>
      <x:c r="H665" s="2" t="n">
        <x:v>2</x:v>
      </x:c>
      <x:c r="I665" s="2" t="n">
        <x:v>17000</x:v>
      </x:c>
      <x:c r="J665" s="2" t="n">
        <x:v>9000</x:v>
      </x:c>
      <x:c r="K665" s="2" t="n">
        <x:v>0.1</x:v>
      </x:c>
      <x:c r="L665" s="2" t="str">
        <x:v>Completed</x:v>
      </x:c>
    </x:row>
    <x:row r="666" ht="21" customHeight="1">
      <x:c r="A666" s="2" t="n">
        <x:v>661</x:v>
      </x:c>
      <x:c r="B666" s="2" t="str">
        <x:v>TXN-00661</x:v>
      </x:c>
      <x:c r="C666" s="2" t="str">
        <x:v>2025-07-13</x:v>
      </x:c>
      <x:c r="D666" s="2" t="str">
        <x:v>Port Harcourt</x:v>
      </x:c>
      <x:c r="E666" s="2" t="str">
        <x:v>Fashion</x:v>
      </x:c>
      <x:c r="F666" s="2" t="str">
        <x:v>T-shirt</x:v>
      </x:c>
      <x:c r="G666" s="2" t="str">
        <x:v> in-store </x:v>
      </x:c>
      <x:c r="H666" s="2" t="n">
        <x:v>3</x:v>
      </x:c>
      <x:c r="I666" s="2" t="n">
        <x:v>9000</x:v>
      </x:c>
      <x:c r="J666" s="2" t="n">
        <x:v>5000</x:v>
      </x:c>
      <x:c r="K666" s="2" t="n">
        <x:v>0</x:v>
      </x:c>
      <x:c r="L666" s="2" t="str">
        <x:v>Returned</x:v>
      </x:c>
    </x:row>
    <x:row r="667" ht="21" customHeight="1">
      <x:c r="A667" s="2" t="n">
        <x:v>662</x:v>
      </x:c>
      <x:c r="B667" s="2" t="str">
        <x:v>TXN-00662</x:v>
      </x:c>
      <x:c r="C667" s="2" t="str">
        <x:v>2025-07-13</x:v>
      </x:c>
      <x:c r="D667" s="2" t="str">
        <x:v>Port Harcourt</x:v>
      </x:c>
      <x:c r="E667" s="2" t="str">
        <x:v>Electronics</x:v>
      </x:c>
      <x:c r="F667" s="2" t="str">
        <x:v>Bluetooth speaker</x:v>
      </x:c>
      <x:c r="G667" s="2" t="str">
        <x:v>Online</x:v>
      </x:c>
      <x:c r="H667" s="2" t="n">
        <x:v>2</x:v>
      </x:c>
      <x:c r="I667" s="2" t="n">
        <x:v>26000</x:v>
      </x:c>
      <x:c r="J667" s="2" t="n">
        <x:v>17000</x:v>
      </x:c>
      <x:c r="K667" s="2" t="n">
        <x:v>0</x:v>
      </x:c>
      <x:c r="L667" s="2" t="str">
        <x:v>Completed</x:v>
      </x:c>
    </x:row>
    <x:row r="668" ht="21" customHeight="1">
      <x:c r="A668" s="2" t="n">
        <x:v>663</x:v>
      </x:c>
      <x:c r="B668" s="2" t="str">
        <x:v>TXN-00663</x:v>
      </x:c>
      <x:c r="C668" s="2" t="str">
        <x:v>2025-07-06</x:v>
      </x:c>
      <x:c r="D668" s="2" t="str">
        <x:v>Abuja</x:v>
      </x:c>
      <x:c r="E668" s="2" t="str">
        <x:v>Electronics</x:v>
      </x:c>
      <x:c r="F668" s="2" t="str">
        <x:v>Power bank</x:v>
      </x:c>
      <x:c r="G668" s="2" t="str">
        <x:v>In-store</x:v>
      </x:c>
      <x:c r="H668" s="2" t="n">
        <x:v>2</x:v>
      </x:c>
      <x:c r="I668" s="2" t="n">
        <x:v>15000</x:v>
      </x:c>
      <x:c r="J668" s="2" t="n">
        <x:v>9500</x:v>
      </x:c>
      <x:c r="K668" s="2" t="n">
        <x:v>0.05</x:v>
      </x:c>
      <x:c r="L668" s="2" t="str">
        <x:v>Completed</x:v>
      </x:c>
    </x:row>
    <x:row r="669" ht="21" customHeight="1">
      <x:c r="A669" s="2" t="n">
        <x:v>664</x:v>
      </x:c>
      <x:c r="B669" s="2" t="str">
        <x:v>TXN-00664</x:v>
      </x:c>
      <x:c r="C669" s="2" t="str">
        <x:v>2025-07-28</x:v>
      </x:c>
      <x:c r="D669" s="2" t="str">
        <x:v>Abuja</x:v>
      </x:c>
      <x:c r="E669" s="2" t="str">
        <x:v>Electronics</x:v>
      </x:c>
      <x:c r="F669" s="2" t="str">
        <x:v>Power bank</x:v>
      </x:c>
      <x:c r="G669" s="2" t="str">
        <x:v>In-store</x:v>
      </x:c>
      <x:c r="H669" s="2" t="n">
        <x:v>1</x:v>
      </x:c>
      <x:c r="I669" s="2" t="n">
        <x:v>15000</x:v>
      </x:c>
      <x:c r="J669" s="2" t="n">
        <x:v>9500</x:v>
      </x:c>
      <x:c r="K669" s="2" t="n">
        <x:v>0</x:v>
      </x:c>
      <x:c r="L669" s="2" t="str">
        <x:v>Completed</x:v>
      </x:c>
    </x:row>
    <x:row r="670" ht="21" customHeight="1">
      <x:c r="A670" s="2" t="n">
        <x:v>665</x:v>
      </x:c>
      <x:c r="B670" s="2" t="str">
        <x:v>TXN-00665</x:v>
      </x:c>
      <x:c r="C670" s="2" t="str">
        <x:v>2025-07-04</x:v>
      </x:c>
      <x:c r="D670" s="2" t="str">
        <x:v>Lagos</x:v>
      </x:c>
      <x:c r="E670" s="2" t="str">
        <x:v>Beauty</x:v>
      </x:c>
      <x:c r="F670" s="2" t="str">
        <x:v>Body wash</x:v>
      </x:c>
      <x:c r="G670" s="2" t="str">
        <x:v>Online</x:v>
      </x:c>
      <x:c r="H670" s="2" t="n">
        <x:v>1</x:v>
      </x:c>
      <x:c r="I670" s="2" t="n">
        <x:v>4500</x:v>
      </x:c>
      <x:c r="J670" s="2" t="n">
        <x:v>2300</x:v>
      </x:c>
      <x:c r="K670" s="2" t="n">
        <x:v>0.1</x:v>
      </x:c>
      <x:c r="L670" s="2" t="str">
        <x:v>Completed</x:v>
      </x:c>
    </x:row>
    <x:row r="671" ht="21" customHeight="1">
      <x:c r="A671" s="2" t="n">
        <x:v>666</x:v>
      </x:c>
      <x:c r="B671" s="2" t="str">
        <x:v>TXN-00666</x:v>
      </x:c>
      <x:c r="C671" s="2" t="str">
        <x:v>2025-07-22</x:v>
      </x:c>
      <x:c r="D671" s="2" t="str">
        <x:v> port harcourt </x:v>
      </x:c>
      <x:c r="E671" s="2" t="str">
        <x:v>Fashion</x:v>
      </x:c>
      <x:c r="F671" s="2" t="str">
        <x:v>Sneakers</x:v>
      </x:c>
      <x:c r="G671" s="2" t="str">
        <x:v>Online</x:v>
      </x:c>
      <x:c r="H671" s="2" t="n">
        <x:v>2</x:v>
      </x:c>
      <x:c r="I671" s="2" t="n">
        <x:v>28000</x:v>
      </x:c>
      <x:c r="J671" s="2" t="n">
        <x:v>17500</x:v>
      </x:c>
      <x:c r="K671" s="2" t="n">
        <x:v>0</x:v>
      </x:c>
      <x:c r="L671" s="2" t="str">
        <x:v>Completed</x:v>
      </x:c>
    </x:row>
    <x:row r="672" ht="21" customHeight="1">
      <x:c r="A672" s="2" t="n">
        <x:v>667</x:v>
      </x:c>
      <x:c r="B672" s="2" t="str">
        <x:v>TXN-00667</x:v>
      </x:c>
      <x:c r="C672" s="2" t="str">
        <x:v>2025-07-11</x:v>
      </x:c>
      <x:c r="D672" s="2" t="str">
        <x:v>Abuja</x:v>
      </x:c>
      <x:c r="E672" s="2" t="str">
        <x:v>Electronics</x:v>
      </x:c>
      <x:c r="F672" s="2" t="str">
        <x:v>Bluetooth speaker</x:v>
      </x:c>
      <x:c r="G672" s="2" t="str">
        <x:v>In-store</x:v>
      </x:c>
      <x:c r="H672" s="2" t="n">
        <x:v>2</x:v>
      </x:c>
      <x:c r="I672" s="2" t="n">
        <x:v>26000</x:v>
      </x:c>
      <x:c r="J672" s="2" t="n">
        <x:v>17000</x:v>
      </x:c>
      <x:c r="K672" s="2" t="n">
        <x:v>0.1</x:v>
      </x:c>
      <x:c r="L672" s="2" t="str">
        <x:v> COMPLETED </x:v>
      </x:c>
    </x:row>
    <x:row r="673" ht="21" customHeight="1">
      <x:c r="A673" s="2" t="n">
        <x:v>668</x:v>
      </x:c>
      <x:c r="B673" s="2" t="str">
        <x:v>TXN-00668</x:v>
      </x:c>
      <x:c r="C673" s="2" t="str">
        <x:v>2025-07-08</x:v>
      </x:c>
      <x:c r="D673" s="2" t="str">
        <x:v>Lagos</x:v>
      </x:c>
      <x:c r="E673" s="2" t="str">
        <x:v>Electronics</x:v>
      </x:c>
      <x:c r="F673" s="2" t="str">
        <x:v>Headphones</x:v>
      </x:c>
      <x:c r="G673" s="2" t="str">
        <x:v>In-store</x:v>
      </x:c>
      <x:c r="H673" s="2" t="n">
        <x:v>1</x:v>
      </x:c>
      <x:c r="I673" s="2" t="n">
        <x:v>18000</x:v>
      </x:c>
      <x:c r="J673" s="2" t="n">
        <x:v>10500</x:v>
      </x:c>
      <x:c r="K673" s="2" t="n">
        <x:v>0.05</x:v>
      </x:c>
      <x:c r="L673" s="2" t="str">
        <x:v>Completed</x:v>
      </x:c>
    </x:row>
    <x:row r="674" ht="21" customHeight="1">
      <x:c r="A674" s="2" t="n">
        <x:v>669</x:v>
      </x:c>
      <x:c r="B674" s="2" t="str">
        <x:v>TXN-00669</x:v>
      </x:c>
      <x:c r="C674" s="2" t="str">
        <x:v>2025-07-11</x:v>
      </x:c>
      <x:c r="D674" s="2" t="str">
        <x:v>Kano</x:v>
      </x:c>
      <x:c r="E674" s="2" t="str">
        <x:v>Electronics</x:v>
      </x:c>
      <x:c r="F674" s="2" t="str">
        <x:v>Bluetooth speaker</x:v>
      </x:c>
      <x:c r="G674" s="2" t="str">
        <x:v>In-store</x:v>
      </x:c>
      <x:c r="H674" s="2" t="n">
        <x:v>1</x:v>
      </x:c>
      <x:c r="I674" s="2" t="n">
        <x:v>26000</x:v>
      </x:c>
      <x:c r="J674" s="2" t="n">
        <x:v>17000</x:v>
      </x:c>
      <x:c r="K674" s="2" t="n">
        <x:v>0</x:v>
      </x:c>
      <x:c r="L674" s="2" t="str">
        <x:v>Completed</x:v>
      </x:c>
    </x:row>
    <x:row r="675" ht="21" customHeight="1">
      <x:c r="A675" s="2" t="n">
        <x:v>670</x:v>
      </x:c>
      <x:c r="B675" s="2" t="str">
        <x:v>TXN-00670</x:v>
      </x:c>
      <x:c r="C675" s="2" t="str">
        <x:v>2025-07-06</x:v>
      </x:c>
      <x:c r="D675" s="2" t="str">
        <x:v>Port Harcourt</x:v>
      </x:c>
      <x:c r="E675" s="2" t="str">
        <x:v>Electronics</x:v>
      </x:c>
      <x:c r="F675" s="2" t="str">
        <x:v>Power bank</x:v>
      </x:c>
      <x:c r="G675" s="2" t="str">
        <x:v>Online</x:v>
      </x:c>
      <x:c r="H675" s="2" t="n">
        <x:v>1</x:v>
      </x:c>
      <x:c r="I675" s="2" t="n">
        <x:v>15000</x:v>
      </x:c>
      <x:c r="J675" s="2" t="n">
        <x:v>9500</x:v>
      </x:c>
      <x:c r="K675" s="2" t="n">
        <x:v>0.15</x:v>
      </x:c>
      <x:c r="L675" s="2" t="str">
        <x:v>Completed</x:v>
      </x:c>
    </x:row>
    <x:row r="676" ht="21" customHeight="1">
      <x:c r="A676" s="2" t="n">
        <x:v>671</x:v>
      </x:c>
      <x:c r="B676" s="2" t="str">
        <x:v>TXN-00671</x:v>
      </x:c>
      <x:c r="C676" s="2" t="str">
        <x:v>2025-07-07</x:v>
      </x:c>
      <x:c r="D676" s="2" t="str">
        <x:v>Lagos</x:v>
      </x:c>
      <x:c r="E676" s="2" t="str">
        <x:v>Beauty</x:v>
      </x:c>
      <x:c r="F676" s="2" t="str">
        <x:v>Moisturizer</x:v>
      </x:c>
      <x:c r="G676" s="2" t="str">
        <x:v>Online</x:v>
      </x:c>
      <x:c r="H676" s="2" t="n">
        <x:v>4</x:v>
      </x:c>
      <x:c r="I676" s="2" t="n">
        <x:v>6500</x:v>
      </x:c>
      <x:c r="J676" s="2" t="n">
        <x:v>3500</x:v>
      </x:c>
      <x:c r="K676" s="2" t="n">
        <x:v>0</x:v>
      </x:c>
      <x:c r="L676" s="2" t="str">
        <x:v>Returned</x:v>
      </x:c>
    </x:row>
    <x:row r="677" ht="21" customHeight="1">
      <x:c r="A677" s="2" t="n">
        <x:v>672</x:v>
      </x:c>
      <x:c r="B677" s="2" t="str">
        <x:v>TXN-00672</x:v>
      </x:c>
      <x:c r="C677" s="2" t="str">
        <x:v>2025-07-24</x:v>
      </x:c>
      <x:c r="D677" s="2" t="str">
        <x:v>Port Harcourt</x:v>
      </x:c>
      <x:c r="E677" s="2" t="str">
        <x:v>Beauty</x:v>
      </x:c>
      <x:c r="F677" s="2" t="str">
        <x:v>Body wash</x:v>
      </x:c>
      <x:c r="G677" s="2" t="str">
        <x:v> in-store </x:v>
      </x:c>
      <x:c r="H677" s="2" t="n">
        <x:v>1</x:v>
      </x:c>
      <x:c r="I677" s="2" t="n">
        <x:v>4500</x:v>
      </x:c>
      <x:c r="J677" s="2" t="n">
        <x:v>2300</x:v>
      </x:c>
      <x:c r="K677" s="2" t="n">
        <x:v>0.15</x:v>
      </x:c>
      <x:c r="L677" s="2" t="str">
        <x:v>Completed</x:v>
      </x:c>
    </x:row>
    <x:row r="678" ht="21" customHeight="1">
      <x:c r="A678" s="2" t="n">
        <x:v>673</x:v>
      </x:c>
      <x:c r="B678" s="2" t="str">
        <x:v>TXN-00673</x:v>
      </x:c>
      <x:c r="C678" s="2" t="str">
        <x:v>2025-07-05</x:v>
      </x:c>
      <x:c r="D678" s="2" t="str">
        <x:v> abuja </x:v>
      </x:c>
      <x:c r="E678" s="2" t="str">
        <x:v>Home</x:v>
      </x:c>
      <x:c r="F678" s="2" t="str">
        <x:v>Cookware set</x:v>
      </x:c>
      <x:c r="G678" s="2" t="str">
        <x:v>In-store</x:v>
      </x:c>
      <x:c r="H678" s="2" t="n">
        <x:v>1</x:v>
      </x:c>
      <x:c r="I678" s="2" t="n">
        <x:v>35000</x:v>
      </x:c>
      <x:c r="J678" s="2" t="n">
        <x:v>22500</x:v>
      </x:c>
      <x:c r="K678" s="2" t="n">
        <x:v>0</x:v>
      </x:c>
      <x:c r="L678" s="2" t="str">
        <x:v>Completed</x:v>
      </x:c>
    </x:row>
    <x:row r="679" ht="21" customHeight="1">
      <x:c r="A679" s="2" t="n">
        <x:v>674</x:v>
      </x:c>
      <x:c r="B679" s="2" t="str">
        <x:v>TXN-00674</x:v>
      </x:c>
      <x:c r="C679" s="2" t="str">
        <x:v>2025-07-27</x:v>
      </x:c>
      <x:c r="D679" s="2" t="str">
        <x:v>Port Harcourt</x:v>
      </x:c>
      <x:c r="E679" s="2" t="str">
        <x:v>Electronics</x:v>
      </x:c>
      <x:c r="F679" s="2" t="str">
        <x:v>Bluetooth speaker</x:v>
      </x:c>
      <x:c r="G679" s="2" t="str">
        <x:v>Online</x:v>
      </x:c>
      <x:c r="H679" s="2" t="n">
        <x:v>1</x:v>
      </x:c>
      <x:c r="I679" s="2" t="n">
        <x:v>26000</x:v>
      </x:c>
      <x:c r="J679" s="2" t="n">
        <x:v>17000</x:v>
      </x:c>
      <x:c r="K679" s="2" t="n">
        <x:v>0</x:v>
      </x:c>
      <x:c r="L679" s="2" t="str">
        <x:v>Completed</x:v>
      </x:c>
    </x:row>
    <x:row r="680" ht="21" customHeight="1">
      <x:c r="A680" s="2" t="n">
        <x:v>675</x:v>
      </x:c>
      <x:c r="B680" s="2" t="str">
        <x:v>TXN-00675</x:v>
      </x:c>
      <x:c r="C680" s="2" t="str">
        <x:v>2025-07-26</x:v>
      </x:c>
      <x:c r="D680" s="2" t="str">
        <x:v>Lagos</x:v>
      </x:c>
      <x:c r="E680" s="2" t="str">
        <x:v>Beauty</x:v>
      </x:c>
      <x:c r="F680" s="2" t="str">
        <x:v>Perfume</x:v>
      </x:c>
      <x:c r="G680" s="2" t="str">
        <x:v>In-store</x:v>
      </x:c>
      <x:c r="H680" s="2" t="n">
        <x:v>2</x:v>
      </x:c>
      <x:c r="I680" s="2" t="n">
        <x:v>17000</x:v>
      </x:c>
      <x:c r="J680" s="2" t="n">
        <x:v>9000</x:v>
      </x:c>
      <x:c r="K680" s="2" t="n">
        <x:v>0</x:v>
      </x:c>
      <x:c r="L680" s="2" t="str">
        <x:v>Completed</x:v>
      </x:c>
    </x:row>
    <x:row r="681" ht="21" customHeight="1">
      <x:c r="A681" s="2" t="n">
        <x:v>676</x:v>
      </x:c>
      <x:c r="B681" s="2" t="str">
        <x:v>TXN-00676</x:v>
      </x:c>
      <x:c r="C681" s="2" t="str">
        <x:v>2025-07-08</x:v>
      </x:c>
      <x:c r="D681" s="2" t="str">
        <x:v>Port Harcourt</x:v>
      </x:c>
      <x:c r="E681" s="2" t="str">
        <x:v>Fashion</x:v>
      </x:c>
      <x:c r="F681" s="2" t="str">
        <x:v>Sneakers</x:v>
      </x:c>
      <x:c r="G681" s="2" t="str">
        <x:v>In-store</x:v>
      </x:c>
      <x:c r="H681" s="2" t="n">
        <x:v>2</x:v>
      </x:c>
      <x:c r="I681" s="2" t="n">
        <x:v>28000</x:v>
      </x:c>
      <x:c r="J681" s="2" t="n">
        <x:v>17500</x:v>
      </x:c>
      <x:c r="K681" s="2" t="n">
        <x:v>0</x:v>
      </x:c>
      <x:c r="L681" s="2" t="str">
        <x:v> COMPLETED </x:v>
      </x:c>
    </x:row>
    <x:row r="682" ht="21" customHeight="1">
      <x:c r="A682" s="2" t="n">
        <x:v>677</x:v>
      </x:c>
      <x:c r="B682" s="2" t="str">
        <x:v>TXN-00677</x:v>
      </x:c>
      <x:c r="C682" s="2" t="str">
        <x:v>2025-07-06</x:v>
      </x:c>
      <x:c r="D682" s="2" t="str">
        <x:v>Lagos</x:v>
      </x:c>
      <x:c r="E682" s="2" t="str">
        <x:v>Beauty</x:v>
      </x:c>
      <x:c r="F682" s="2" t="str">
        <x:v>Perfume</x:v>
      </x:c>
      <x:c r="G682" s="2" t="str">
        <x:v>Online</x:v>
      </x:c>
      <x:c r="H682" s="2" t="n">
        <x:v>1</x:v>
      </x:c>
      <x:c r="I682" s="2" t="n">
        <x:v>17000</x:v>
      </x:c>
      <x:c r="J682" s="2" t="n">
        <x:v>9000</x:v>
      </x:c>
      <x:c r="K682" s="2" t="n">
        <x:v>0</x:v>
      </x:c>
      <x:c r="L682" s="2" t="str">
        <x:v>Completed</x:v>
      </x:c>
    </x:row>
    <x:row r="683" ht="21" customHeight="1">
      <x:c r="A683" s="2" t="n">
        <x:v>678</x:v>
      </x:c>
      <x:c r="B683" s="2" t="str">
        <x:v>TXN-00678</x:v>
      </x:c>
      <x:c r="C683" s="2" t="str">
        <x:v>2025-07-09</x:v>
      </x:c>
      <x:c r="D683" s="2" t="str">
        <x:v>Abuja</x:v>
      </x:c>
      <x:c r="E683" s="2" t="str">
        <x:v>Fashion</x:v>
      </x:c>
      <x:c r="F683" s="2" t="str">
        <x:v>T-shirt</x:v>
      </x:c>
      <x:c r="G683" s="2" t="str">
        <x:v>In-store</x:v>
      </x:c>
      <x:c r="H683" s="2" t="n">
        <x:v>1</x:v>
      </x:c>
      <x:c r="I683" s="2" t="n">
        <x:v>9000</x:v>
      </x:c>
      <x:c r="J683" s="2" t="n">
        <x:v>5000</x:v>
      </x:c>
      <x:c r="K683" s="2" t="n">
        <x:v>0.05</x:v>
      </x:c>
      <x:c r="L683" s="2" t="str">
        <x:v>Completed</x:v>
      </x:c>
    </x:row>
    <x:row r="684" ht="21" customHeight="1">
      <x:c r="A684" s="2" t="n">
        <x:v>679</x:v>
      </x:c>
      <x:c r="B684" s="2" t="str">
        <x:v>TXN-00679</x:v>
      </x:c>
      <x:c r="C684" s="2" t="str">
        <x:v>2025-07-22</x:v>
      </x:c>
      <x:c r="D684" s="2" t="str">
        <x:v>Lagos</x:v>
      </x:c>
      <x:c r="E684" s="2" t="str">
        <x:v>Electronics</x:v>
      </x:c>
      <x:c r="F684" s="2" t="str">
        <x:v>Power bank</x:v>
      </x:c>
      <x:c r="G684" s="2" t="str">
        <x:v>Online</x:v>
      </x:c>
      <x:c r="H684" s="2" t="n">
        <x:v>2</x:v>
      </x:c>
      <x:c r="I684" s="2" t="n">
        <x:v>15000</x:v>
      </x:c>
      <x:c r="J684" s="2" t="n">
        <x:v>9500</x:v>
      </x:c>
      <x:c r="K684" s="2" t="n">
        <x:v>0</x:v>
      </x:c>
      <x:c r="L684" s="2" t="str">
        <x:v>Completed</x:v>
      </x:c>
    </x:row>
    <x:row r="685" ht="21" customHeight="1">
      <x:c r="A685" s="2" t="n">
        <x:v>680</x:v>
      </x:c>
      <x:c r="B685" s="2" t="str">
        <x:v>TXN-00680</x:v>
      </x:c>
      <x:c r="C685" s="2" t="str">
        <x:v>2025-07-31</x:v>
      </x:c>
      <x:c r="D685" s="2" t="str">
        <x:v> abuja </x:v>
      </x:c>
      <x:c r="E685" s="2" t="str">
        <x:v>Home</x:v>
      </x:c>
      <x:c r="F685" s="2" t="str">
        <x:v>Cookware set</x:v>
      </x:c>
      <x:c r="G685" s="2" t="str">
        <x:v>Online</x:v>
      </x:c>
      <x:c r="H685" s="2" t="n">
        <x:v>1</x:v>
      </x:c>
      <x:c r="I685" s="2" t="n">
        <x:v>35000</x:v>
      </x:c>
      <x:c r="J685" s="2" t="n">
        <x:v>22500</x:v>
      </x:c>
      <x:c r="K685" s="2" t="n">
        <x:v>0.05</x:v>
      </x:c>
      <x:c r="L685" s="2" t="str">
        <x:v>Completed</x:v>
      </x:c>
    </x:row>
    <x:row r="686" ht="21" customHeight="1">
      <x:c r="A686" s="2" t="n">
        <x:v>681</x:v>
      </x:c>
      <x:c r="B686" s="2" t="str">
        <x:v>TXN-00681</x:v>
      </x:c>
      <x:c r="C686" s="2" t="str">
        <x:v>2025-07-08</x:v>
      </x:c>
      <x:c r="D686" s="2" t="str">
        <x:v>Lagos</x:v>
      </x:c>
      <x:c r="E686" s="2" t="str">
        <x:v>Fashion</x:v>
      </x:c>
      <x:c r="F686" s="2" t="str">
        <x:v>Handbag</x:v>
      </x:c>
      <x:c r="G686" s="2" t="str">
        <x:v>Online</x:v>
      </x:c>
      <x:c r="H686" s="2" t="n">
        <x:v>4</x:v>
      </x:c>
      <x:c r="I686" s="2" t="n">
        <x:v>22000</x:v>
      </x:c>
      <x:c r="J686" s="2" t="n">
        <x:v>13500</x:v>
      </x:c>
      <x:c r="K686" s="2" t="n">
        <x:v>0</x:v>
      </x:c>
      <x:c r="L686" s="2" t="str">
        <x:v>Completed</x:v>
      </x:c>
    </x:row>
    <x:row r="687" ht="21" customHeight="1">
      <x:c r="A687" s="2" t="n">
        <x:v>682</x:v>
      </x:c>
      <x:c r="B687" s="2" t="str">
        <x:v>TXN-00682</x:v>
      </x:c>
      <x:c r="C687" s="2" t="str">
        <x:v>2025-07-01</x:v>
      </x:c>
      <x:c r="D687" s="2" t="str">
        <x:v>Lagos</x:v>
      </x:c>
      <x:c r="E687" s="2" t="str">
        <x:v>Beauty</x:v>
      </x:c>
      <x:c r="F687" s="2" t="str">
        <x:v>Moisturizer</x:v>
      </x:c>
      <x:c r="G687" s="2" t="str">
        <x:v>In-store</x:v>
      </x:c>
      <x:c r="H687" s="2" t="n">
        <x:v>1</x:v>
      </x:c>
      <x:c r="I687" s="2" t="n">
        <x:v>6500</x:v>
      </x:c>
      <x:c r="J687" s="2" t="n">
        <x:v>3500</x:v>
      </x:c>
      <x:c r="K687" s="2" t="n">
        <x:v>0</x:v>
      </x:c>
      <x:c r="L687" s="2" t="str">
        <x:v>Completed</x:v>
      </x:c>
    </x:row>
    <x:row r="688" ht="21" customHeight="1">
      <x:c r="A688" s="2" t="n">
        <x:v>683</x:v>
      </x:c>
      <x:c r="B688" s="2" t="str">
        <x:v>TXN-00683</x:v>
      </x:c>
      <x:c r="C688" s="2" t="str">
        <x:v>2025-07-14</x:v>
      </x:c>
      <x:c r="D688" s="2" t="str">
        <x:v>Lagos</x:v>
      </x:c>
      <x:c r="E688" s="2" t="str">
        <x:v>Fashion</x:v>
      </x:c>
      <x:c r="F688" s="2" t="str">
        <x:v>Sneakers</x:v>
      </x:c>
      <x:c r="G688" s="2" t="str">
        <x:v> in-store </x:v>
      </x:c>
      <x:c r="H688" s="2" t="n">
        <x:v>1</x:v>
      </x:c>
      <x:c r="I688" s="2" t="n">
        <x:v>28000</x:v>
      </x:c>
      <x:c r="J688" s="2" t="n">
        <x:v>17500</x:v>
      </x:c>
      <x:c r="K688" s="2" t="n">
        <x:v>0.1</x:v>
      </x:c>
      <x:c r="L688" s="2" t="str">
        <x:v>Completed</x:v>
      </x:c>
    </x:row>
    <x:row r="689" ht="21" customHeight="1">
      <x:c r="A689" s="2" t="n">
        <x:v>684</x:v>
      </x:c>
      <x:c r="B689" s="2" t="str">
        <x:v>TXN-00684</x:v>
      </x:c>
      <x:c r="C689" s="2" t="str">
        <x:v>2025-07-02</x:v>
      </x:c>
      <x:c r="D689" s="2" t="str">
        <x:v>Abuja</x:v>
      </x:c>
      <x:c r="E689" s="2" t="str">
        <x:v>Electronics</x:v>
      </x:c>
      <x:c r="F689" s="2" t="str">
        <x:v>Power bank</x:v>
      </x:c>
      <x:c r="G689" s="2" t="str">
        <x:v>In-store</x:v>
      </x:c>
      <x:c r="H689" s="2" t="n">
        <x:v>3</x:v>
      </x:c>
      <x:c r="I689" s="2" t="n">
        <x:v>15000</x:v>
      </x:c>
      <x:c r="J689" s="2" t="n">
        <x:v>9500</x:v>
      </x:c>
      <x:c r="K689" s="2" t="str"/>
      <x:c r="L689" s="2" t="str">
        <x:v>Completed</x:v>
      </x:c>
    </x:row>
    <x:row r="690" ht="21" customHeight="1">
      <x:c r="A690" s="2" t="n">
        <x:v>685</x:v>
      </x:c>
      <x:c r="B690" s="2" t="str">
        <x:v>TXN-00685</x:v>
      </x:c>
      <x:c r="C690" s="2" t="str">
        <x:v>2025-07-04</x:v>
      </x:c>
      <x:c r="D690" s="2" t="str">
        <x:v>Lagos</x:v>
      </x:c>
      <x:c r="E690" s="2" t="str">
        <x:v>Fashion</x:v>
      </x:c>
      <x:c r="F690" s="2" t="str">
        <x:v>T-shirt</x:v>
      </x:c>
      <x:c r="G690" s="2" t="str">
        <x:v>Online</x:v>
      </x:c>
      <x:c r="H690" s="2" t="n">
        <x:v>2</x:v>
      </x:c>
      <x:c r="I690" s="2" t="n">
        <x:v>9000</x:v>
      </x:c>
      <x:c r="J690" s="2" t="n">
        <x:v>5000</x:v>
      </x:c>
      <x:c r="K690" s="2" t="n">
        <x:v>0.05</x:v>
      </x:c>
      <x:c r="L690" s="2" t="str">
        <x:v> COMPLETED </x:v>
      </x:c>
    </x:row>
    <x:row r="691" ht="21" customHeight="1">
      <x:c r="A691" s="2" t="n">
        <x:v>686</x:v>
      </x:c>
      <x:c r="B691" s="2" t="str">
        <x:v>TXN-00686</x:v>
      </x:c>
      <x:c r="C691" s="2" t="str">
        <x:v>2025-07-15</x:v>
      </x:c>
      <x:c r="D691" s="2" t="str">
        <x:v>Lagos</x:v>
      </x:c>
      <x:c r="E691" s="2" t="str">
        <x:v>Electronics</x:v>
      </x:c>
      <x:c r="F691" s="2" t="str">
        <x:v>Power bank</x:v>
      </x:c>
      <x:c r="G691" s="2" t="str">
        <x:v>Online</x:v>
      </x:c>
      <x:c r="H691" s="2" t="n">
        <x:v>3</x:v>
      </x:c>
      <x:c r="I691" s="2" t="n">
        <x:v>15000</x:v>
      </x:c>
      <x:c r="J691" s="2" t="n">
        <x:v>9500</x:v>
      </x:c>
      <x:c r="K691" s="2" t="n">
        <x:v>0.1</x:v>
      </x:c>
      <x:c r="L691" s="2" t="str">
        <x:v>Completed</x:v>
      </x:c>
    </x:row>
    <x:row r="692" ht="21" customHeight="1">
      <x:c r="A692" s="2" t="n">
        <x:v>687</x:v>
      </x:c>
      <x:c r="B692" s="2" t="str">
        <x:v>TXN-00687</x:v>
      </x:c>
      <x:c r="C692" s="2" t="str">
        <x:v>2025-07-30</x:v>
      </x:c>
      <x:c r="D692" s="2" t="str">
        <x:v> port harcourt </x:v>
      </x:c>
      <x:c r="E692" s="2" t="str">
        <x:v>Home</x:v>
      </x:c>
      <x:c r="F692" s="2" t="str">
        <x:v>Cookware set</x:v>
      </x:c>
      <x:c r="G692" s="2" t="str">
        <x:v>In-store</x:v>
      </x:c>
      <x:c r="H692" s="2" t="n">
        <x:v>2</x:v>
      </x:c>
      <x:c r="I692" s="2" t="n">
        <x:v>35000</x:v>
      </x:c>
      <x:c r="J692" s="2" t="n">
        <x:v>22500</x:v>
      </x:c>
      <x:c r="K692" s="2" t="n">
        <x:v>0.1</x:v>
      </x:c>
      <x:c r="L692" s="2" t="str">
        <x:v>Completed</x:v>
      </x:c>
    </x:row>
    <x:row r="693" ht="21" customHeight="1">
      <x:c r="A693" s="2" t="n">
        <x:v>688</x:v>
      </x:c>
      <x:c r="B693" s="2" t="str">
        <x:v>TXN-00688</x:v>
      </x:c>
      <x:c r="C693" s="2" t="str">
        <x:v>2025-07-12</x:v>
      </x:c>
      <x:c r="D693" s="2" t="str">
        <x:v>Lagos</x:v>
      </x:c>
      <x:c r="E693" s="2" t="str">
        <x:v>Home</x:v>
      </x:c>
      <x:c r="F693" s="2" t="str">
        <x:v>Desk lamp</x:v>
      </x:c>
      <x:c r="G693" s="2" t="str">
        <x:v>Online</x:v>
      </x:c>
      <x:c r="H693" s="2" t="n">
        <x:v>3</x:v>
      </x:c>
      <x:c r="I693" s="2" t="n">
        <x:v>12000</x:v>
      </x:c>
      <x:c r="J693" s="2" t="n">
        <x:v>7200</x:v>
      </x:c>
      <x:c r="K693" s="2" t="n">
        <x:v>0</x:v>
      </x:c>
      <x:c r="L693" s="2" t="str">
        <x:v>Completed</x:v>
      </x:c>
    </x:row>
    <x:row r="694" ht="21" customHeight="1">
      <x:c r="A694" s="2" t="n">
        <x:v>689</x:v>
      </x:c>
      <x:c r="B694" s="2" t="str">
        <x:v>TXN-00689</x:v>
      </x:c>
      <x:c r="C694" s="2" t="str">
        <x:v>2025-07-31</x:v>
      </x:c>
      <x:c r="D694" s="2" t="str">
        <x:v>Lagos</x:v>
      </x:c>
      <x:c r="E694" s="2" t="str">
        <x:v>Electronics</x:v>
      </x:c>
      <x:c r="F694" s="2" t="str">
        <x:v>Bluetooth speaker</x:v>
      </x:c>
      <x:c r="G694" s="2" t="str">
        <x:v>Online</x:v>
      </x:c>
      <x:c r="H694" s="2" t="n">
        <x:v>1</x:v>
      </x:c>
      <x:c r="I694" s="2" t="n">
        <x:v>26000</x:v>
      </x:c>
      <x:c r="J694" s="2" t="n">
        <x:v>17000</x:v>
      </x:c>
      <x:c r="K694" s="2" t="n">
        <x:v>0.15</x:v>
      </x:c>
      <x:c r="L694" s="2" t="str">
        <x:v>Completed</x:v>
      </x:c>
    </x:row>
    <x:row r="695" ht="21" customHeight="1">
      <x:c r="A695" s="2" t="n">
        <x:v>690</x:v>
      </x:c>
      <x:c r="B695" s="2" t="str">
        <x:v>TXN-00690</x:v>
      </x:c>
      <x:c r="C695" s="2" t="str">
        <x:v>2025-07-04</x:v>
      </x:c>
      <x:c r="D695" s="2" t="str">
        <x:v>Lagos</x:v>
      </x:c>
      <x:c r="E695" s="2" t="str">
        <x:v>Home</x:v>
      </x:c>
      <x:c r="F695" s="2" t="str">
        <x:v>Bedsheet</x:v>
      </x:c>
      <x:c r="G695" s="2" t="str">
        <x:v>Online</x:v>
      </x:c>
      <x:c r="H695" s="2" t="n">
        <x:v>1</x:v>
      </x:c>
      <x:c r="I695" s="2" t="n">
        <x:v>14000</x:v>
      </x:c>
      <x:c r="J695" s="2" t="n">
        <x:v>8500</x:v>
      </x:c>
      <x:c r="K695" s="2" t="n">
        <x:v>0.1</x:v>
      </x:c>
      <x:c r="L695" s="2" t="str">
        <x:v>Completed</x:v>
      </x:c>
    </x:row>
    <x:row r="696" ht="21" customHeight="1">
      <x:c r="A696" s="2" t="n">
        <x:v>691</x:v>
      </x:c>
      <x:c r="B696" s="2" t="str">
        <x:v>TXN-00691</x:v>
      </x:c>
      <x:c r="C696" s="2" t="str">
        <x:v>2025-07-11</x:v>
      </x:c>
      <x:c r="D696" s="2" t="str">
        <x:v>Lagos</x:v>
      </x:c>
      <x:c r="E696" s="2" t="str">
        <x:v>Electronics</x:v>
      </x:c>
      <x:c r="F696" s="2" t="str">
        <x:v>Power bank</x:v>
      </x:c>
      <x:c r="G696" s="2" t="str">
        <x:v>In-store</x:v>
      </x:c>
      <x:c r="H696" s="2" t="n">
        <x:v>2</x:v>
      </x:c>
      <x:c r="I696" s="2" t="n">
        <x:v>15000</x:v>
      </x:c>
      <x:c r="J696" s="2" t="n">
        <x:v>9500</x:v>
      </x:c>
      <x:c r="K696" s="2" t="n">
        <x:v>0</x:v>
      </x:c>
      <x:c r="L696" s="2" t="str">
        <x:v>Completed</x:v>
      </x:c>
    </x:row>
    <x:row r="697" ht="21" customHeight="1">
      <x:c r="A697" s="2" t="n">
        <x:v>692</x:v>
      </x:c>
      <x:c r="B697" s="2" t="str">
        <x:v>TXN-00692</x:v>
      </x:c>
      <x:c r="C697" s="2" t="str">
        <x:v>2025-07-18</x:v>
      </x:c>
      <x:c r="D697" s="2" t="str">
        <x:v>Abuja</x:v>
      </x:c>
      <x:c r="E697" s="2" t="str">
        <x:v>Beauty</x:v>
      </x:c>
      <x:c r="F697" s="2" t="str">
        <x:v>Moisturizer</x:v>
      </x:c>
      <x:c r="G697" s="2" t="str">
        <x:v>In-store</x:v>
      </x:c>
      <x:c r="H697" s="2" t="n">
        <x:v>1</x:v>
      </x:c>
      <x:c r="I697" s="2" t="n">
        <x:v>6500</x:v>
      </x:c>
      <x:c r="J697" s="2" t="n">
        <x:v>3500</x:v>
      </x:c>
      <x:c r="K697" s="2" t="n">
        <x:v>0.05</x:v>
      </x:c>
      <x:c r="L697" s="2" t="str">
        <x:v>Completed</x:v>
      </x:c>
    </x:row>
    <x:row r="698" ht="21" customHeight="1">
      <x:c r="A698" s="2" t="n">
        <x:v>693</x:v>
      </x:c>
      <x:c r="B698" s="2" t="str">
        <x:v>TXN-00693</x:v>
      </x:c>
      <x:c r="C698" s="2" t="str">
        <x:v>2025-07-17</x:v>
      </x:c>
      <x:c r="D698" s="2" t="str">
        <x:v>Port Harcourt</x:v>
      </x:c>
      <x:c r="E698" s="2" t="str">
        <x:v>Beauty</x:v>
      </x:c>
      <x:c r="F698" s="2" t="str">
        <x:v>Body wash</x:v>
      </x:c>
      <x:c r="G698" s="2" t="str">
        <x:v>In-store</x:v>
      </x:c>
      <x:c r="H698" s="2" t="n">
        <x:v>2</x:v>
      </x:c>
      <x:c r="I698" s="2" t="n">
        <x:v>4500</x:v>
      </x:c>
      <x:c r="J698" s="2" t="n">
        <x:v>2300</x:v>
      </x:c>
      <x:c r="K698" s="2" t="n">
        <x:v>0.1</x:v>
      </x:c>
      <x:c r="L698" s="2" t="str">
        <x:v>Completed</x:v>
      </x:c>
    </x:row>
    <x:row r="699" ht="21" customHeight="1">
      <x:c r="A699" s="2" t="n">
        <x:v>694</x:v>
      </x:c>
      <x:c r="B699" s="2" t="str">
        <x:v>TXN-00694</x:v>
      </x:c>
      <x:c r="C699" s="2" t="str">
        <x:v>2025-07-05</x:v>
      </x:c>
      <x:c r="D699" s="2" t="str">
        <x:v> port harcourt </x:v>
      </x:c>
      <x:c r="E699" s="2" t="str">
        <x:v>Home</x:v>
      </x:c>
      <x:c r="F699" s="2" t="str">
        <x:v>Desk lamp</x:v>
      </x:c>
      <x:c r="G699" s="2" t="str">
        <x:v> online </x:v>
      </x:c>
      <x:c r="H699" s="2" t="n">
        <x:v>1</x:v>
      </x:c>
      <x:c r="I699" s="2" t="n">
        <x:v>12000</x:v>
      </x:c>
      <x:c r="J699" s="2" t="n">
        <x:v>7200</x:v>
      </x:c>
      <x:c r="K699" s="2" t="n">
        <x:v>0</x:v>
      </x:c>
      <x:c r="L699" s="2" t="str">
        <x:v> COMPLETED </x:v>
      </x:c>
    </x:row>
    <x:row r="700" ht="21" customHeight="1">
      <x:c r="A700" s="2" t="n">
        <x:v>695</x:v>
      </x:c>
      <x:c r="B700" s="2" t="str">
        <x:v>TXN-00695</x:v>
      </x:c>
      <x:c r="C700" s="2" t="str">
        <x:v>2025-07-13</x:v>
      </x:c>
      <x:c r="D700" s="2" t="str">
        <x:v>Lagos</x:v>
      </x:c>
      <x:c r="E700" s="2" t="str">
        <x:v>Beauty</x:v>
      </x:c>
      <x:c r="F700" s="2" t="str">
        <x:v>Moisturizer</x:v>
      </x:c>
      <x:c r="G700" s="2" t="str">
        <x:v>In-store</x:v>
      </x:c>
      <x:c r="H700" s="2" t="n">
        <x:v>1</x:v>
      </x:c>
      <x:c r="I700" s="2" t="n">
        <x:v>6500</x:v>
      </x:c>
      <x:c r="J700" s="2" t="n">
        <x:v>3500</x:v>
      </x:c>
      <x:c r="K700" s="2" t="n">
        <x:v>0.05</x:v>
      </x:c>
      <x:c r="L700" s="2" t="str">
        <x:v>Completed</x:v>
      </x:c>
    </x:row>
    <x:row r="701" ht="21" customHeight="1">
      <x:c r="A701" s="2" t="n">
        <x:v>696</x:v>
      </x:c>
      <x:c r="B701" s="2" t="str">
        <x:v>TXN-00696</x:v>
      </x:c>
      <x:c r="C701" s="2" t="str">
        <x:v>2025-07-09</x:v>
      </x:c>
      <x:c r="D701" s="2" t="str">
        <x:v>Abuja</x:v>
      </x:c>
      <x:c r="E701" s="2" t="str">
        <x:v>Beauty</x:v>
      </x:c>
      <x:c r="F701" s="2" t="str">
        <x:v>Body wash</x:v>
      </x:c>
      <x:c r="G701" s="2" t="str">
        <x:v>In-store</x:v>
      </x:c>
      <x:c r="H701" s="2" t="n">
        <x:v>2</x:v>
      </x:c>
      <x:c r="I701" s="2" t="n">
        <x:v>4500</x:v>
      </x:c>
      <x:c r="J701" s="2" t="n">
        <x:v>2300</x:v>
      </x:c>
      <x:c r="K701" s="2" t="n">
        <x:v>0.05</x:v>
      </x:c>
      <x:c r="L701" s="2" t="str">
        <x:v>Returned</x:v>
      </x:c>
    </x:row>
    <x:row r="702" ht="21" customHeight="1">
      <x:c r="A702" s="2" t="n">
        <x:v>697</x:v>
      </x:c>
      <x:c r="B702" s="2" t="str">
        <x:v>TXN-00697</x:v>
      </x:c>
      <x:c r="C702" s="2" t="str">
        <x:v>2025-07-21</x:v>
      </x:c>
      <x:c r="D702" s="2" t="str">
        <x:v>Lagos</x:v>
      </x:c>
      <x:c r="E702" s="2" t="str">
        <x:v>Electronics</x:v>
      </x:c>
      <x:c r="F702" s="2" t="str">
        <x:v>Headphones</x:v>
      </x:c>
      <x:c r="G702" s="2" t="str">
        <x:v>Online</x:v>
      </x:c>
      <x:c r="H702" s="2" t="n">
        <x:v>2</x:v>
      </x:c>
      <x:c r="I702" s="2" t="n">
        <x:v>18000</x:v>
      </x:c>
      <x:c r="J702" s="2" t="n">
        <x:v>10500</x:v>
      </x:c>
      <x:c r="K702" s="2" t="n">
        <x:v>0.1</x:v>
      </x:c>
      <x:c r="L702" s="2" t="str">
        <x:v>Completed</x:v>
      </x:c>
    </x:row>
    <x:row r="703" ht="21" customHeight="1">
      <x:c r="A703" s="2" t="n">
        <x:v>698</x:v>
      </x:c>
      <x:c r="B703" s="2" t="str">
        <x:v>TXN-00698</x:v>
      </x:c>
      <x:c r="C703" s="2" t="str">
        <x:v>2025-07-21</x:v>
      </x:c>
      <x:c r="D703" s="2" t="str">
        <x:v>Abuja</x:v>
      </x:c>
      <x:c r="E703" s="2" t="str">
        <x:v>Electronics</x:v>
      </x:c>
      <x:c r="F703" s="2" t="str">
        <x:v>Power bank</x:v>
      </x:c>
      <x:c r="G703" s="2" t="str">
        <x:v>In-store</x:v>
      </x:c>
      <x:c r="H703" s="2" t="n">
        <x:v>1</x:v>
      </x:c>
      <x:c r="I703" s="2" t="n">
        <x:v>15000</x:v>
      </x:c>
      <x:c r="J703" s="2" t="n">
        <x:v>9500</x:v>
      </x:c>
      <x:c r="K703" s="2" t="n">
        <x:v>0</x:v>
      </x:c>
      <x:c r="L703" s="2" t="str">
        <x:v>Completed</x:v>
      </x:c>
    </x:row>
    <x:row r="704" ht="21" customHeight="1">
      <x:c r="A704" s="2" t="n">
        <x:v>699</x:v>
      </x:c>
      <x:c r="B704" s="2" t="str">
        <x:v>TXN-00699</x:v>
      </x:c>
      <x:c r="C704" s="2" t="str">
        <x:v>2025-07-18</x:v>
      </x:c>
      <x:c r="D704" s="2" t="str">
        <x:v>Abuja</x:v>
      </x:c>
      <x:c r="E704" s="2" t="str">
        <x:v>Fashion</x:v>
      </x:c>
      <x:c r="F704" s="2" t="str">
        <x:v>Sneakers</x:v>
      </x:c>
      <x:c r="G704" s="2" t="str">
        <x:v>Online</x:v>
      </x:c>
      <x:c r="H704" s="2" t="n">
        <x:v>1</x:v>
      </x:c>
      <x:c r="I704" s="2" t="n">
        <x:v>28000</x:v>
      </x:c>
      <x:c r="J704" s="2" t="n">
        <x:v>17500</x:v>
      </x:c>
      <x:c r="K704" s="2" t="n">
        <x:v>0.1</x:v>
      </x:c>
      <x:c r="L704" s="2" t="str">
        <x:v>Completed</x:v>
      </x:c>
    </x:row>
    <x:row r="705" ht="21" customHeight="1">
      <x:c r="A705" s="2" t="n">
        <x:v>700</x:v>
      </x:c>
      <x:c r="B705" s="2" t="str">
        <x:v>TXN-00700</x:v>
      </x:c>
      <x:c r="C705" s="2" t="str">
        <x:v>2025-07-04</x:v>
      </x:c>
      <x:c r="D705" s="2" t="str">
        <x:v>Port Harcourt</x:v>
      </x:c>
      <x:c r="E705" s="2" t="str">
        <x:v>Beauty</x:v>
      </x:c>
      <x:c r="F705" s="2" t="str">
        <x:v>Moisturizer</x:v>
      </x:c>
      <x:c r="G705" s="2" t="str">
        <x:v>Online</x:v>
      </x:c>
      <x:c r="H705" s="2" t="n">
        <x:v>1</x:v>
      </x:c>
      <x:c r="I705" s="2" t="n">
        <x:v>6500</x:v>
      </x:c>
      <x:c r="J705" s="2" t="n">
        <x:v>3500</x:v>
      </x:c>
      <x:c r="K705" s="2" t="n">
        <x:v>0.05</x:v>
      </x:c>
      <x:c r="L705" s="2" t="str">
        <x:v>Completed</x:v>
      </x:c>
    </x:row>
    <x:row r="706" ht="21" customHeight="1">
      <x:c r="A706" s="2" t="n">
        <x:v>701</x:v>
      </x:c>
      <x:c r="B706" s="2" t="str">
        <x:v>TXN-00701</x:v>
      </x:c>
      <x:c r="C706" s="2" t="str">
        <x:v>2025-07-22</x:v>
      </x:c>
      <x:c r="D706" s="2" t="str">
        <x:v> kano </x:v>
      </x:c>
      <x:c r="E706" s="2" t="str">
        <x:v>Beauty</x:v>
      </x:c>
      <x:c r="F706" s="2" t="str">
        <x:v>Moisturizer</x:v>
      </x:c>
      <x:c r="G706" s="2" t="str">
        <x:v>Online</x:v>
      </x:c>
      <x:c r="H706" s="2" t="n">
        <x:v>4</x:v>
      </x:c>
      <x:c r="I706" s="2" t="n">
        <x:v>6500</x:v>
      </x:c>
      <x:c r="J706" s="2" t="n">
        <x:v>3500</x:v>
      </x:c>
      <x:c r="K706" s="2" t="n">
        <x:v>0</x:v>
      </x:c>
      <x:c r="L706" s="2" t="str">
        <x:v>Completed</x:v>
      </x:c>
    </x:row>
    <x:row r="707" ht="21" customHeight="1">
      <x:c r="A707" s="2" t="n">
        <x:v>702</x:v>
      </x:c>
      <x:c r="B707" s="2" t="str">
        <x:v>TXN-00702</x:v>
      </x:c>
      <x:c r="C707" s="2" t="str">
        <x:v>2025-07-31</x:v>
      </x:c>
      <x:c r="D707" s="2" t="str">
        <x:v>Lagos</x:v>
      </x:c>
      <x:c r="E707" s="2" t="str">
        <x:v>Fashion</x:v>
      </x:c>
      <x:c r="F707" s="2" t="str">
        <x:v>Sneakers</x:v>
      </x:c>
      <x:c r="G707" s="2" t="str">
        <x:v>Online</x:v>
      </x:c>
      <x:c r="H707" s="2" t="n">
        <x:v>2</x:v>
      </x:c>
      <x:c r="I707" s="2" t="n">
        <x:v>28000</x:v>
      </x:c>
      <x:c r="J707" s="2" t="n">
        <x:v>17500</x:v>
      </x:c>
      <x:c r="K707" s="2" t="n">
        <x:v>0.15</x:v>
      </x:c>
      <x:c r="L707" s="2" t="str">
        <x:v>Completed</x:v>
      </x:c>
    </x:row>
    <x:row r="708" ht="21" customHeight="1">
      <x:c r="A708" s="2" t="n">
        <x:v>703</x:v>
      </x:c>
      <x:c r="B708" s="2" t="str">
        <x:v>TXN-00703</x:v>
      </x:c>
      <x:c r="C708" s="2" t="str">
        <x:v>2025-07-24</x:v>
      </x:c>
      <x:c r="D708" s="2" t="str">
        <x:v>Lagos</x:v>
      </x:c>
      <x:c r="E708" s="2" t="str">
        <x:v>Fashion</x:v>
      </x:c>
      <x:c r="F708" s="2" t="str">
        <x:v>Sneakers</x:v>
      </x:c>
      <x:c r="G708" s="2" t="str">
        <x:v>Online</x:v>
      </x:c>
      <x:c r="H708" s="2" t="n">
        <x:v>3</x:v>
      </x:c>
      <x:c r="I708" s="2" t="n">
        <x:v>28000</x:v>
      </x:c>
      <x:c r="J708" s="2" t="n">
        <x:v>17500</x:v>
      </x:c>
      <x:c r="K708" s="2" t="n">
        <x:v>0</x:v>
      </x:c>
      <x:c r="L708" s="2" t="str">
        <x:v> COMPLETED </x:v>
      </x:c>
    </x:row>
    <x:row r="709" ht="21" customHeight="1">
      <x:c r="A709" s="2" t="n">
        <x:v>704</x:v>
      </x:c>
      <x:c r="B709" s="2" t="str">
        <x:v>TXN-00704</x:v>
      </x:c>
      <x:c r="C709" s="2" t="str">
        <x:v>2025-07-03</x:v>
      </x:c>
      <x:c r="D709" s="2" t="str">
        <x:v>Lagos</x:v>
      </x:c>
      <x:c r="E709" s="2" t="str">
        <x:v>Fashion</x:v>
      </x:c>
      <x:c r="F709" s="2" t="str">
        <x:v>Sneakers</x:v>
      </x:c>
      <x:c r="G709" s="2" t="str">
        <x:v>In-store</x:v>
      </x:c>
      <x:c r="H709" s="2" t="n">
        <x:v>2</x:v>
      </x:c>
      <x:c r="I709" s="2" t="n">
        <x:v>28000</x:v>
      </x:c>
      <x:c r="J709" s="2" t="n">
        <x:v>17500</x:v>
      </x:c>
      <x:c r="K709" s="2" t="n">
        <x:v>0</x:v>
      </x:c>
      <x:c r="L709" s="2" t="str">
        <x:v>Completed</x:v>
      </x:c>
    </x:row>
    <x:row r="710" ht="21" customHeight="1">
      <x:c r="A710" s="2" t="n">
        <x:v>705</x:v>
      </x:c>
      <x:c r="B710" s="2" t="str">
        <x:v>TXN-00705</x:v>
      </x:c>
      <x:c r="C710" s="2" t="str">
        <x:v>2025-07-05</x:v>
      </x:c>
      <x:c r="D710" s="2" t="str">
        <x:v>Abuja</x:v>
      </x:c>
      <x:c r="E710" s="2" t="str">
        <x:v>Home</x:v>
      </x:c>
      <x:c r="F710" s="2" t="str">
        <x:v>Desk lamp</x:v>
      </x:c>
      <x:c r="G710" s="2" t="str">
        <x:v> in-store </x:v>
      </x:c>
      <x:c r="H710" s="2" t="n">
        <x:v>1</x:v>
      </x:c>
      <x:c r="I710" s="2" t="n">
        <x:v>12000</x:v>
      </x:c>
      <x:c r="J710" s="2" t="n">
        <x:v>7200</x:v>
      </x:c>
      <x:c r="K710" s="2" t="n">
        <x:v>0.05</x:v>
      </x:c>
      <x:c r="L710" s="2" t="str">
        <x:v>Returned</x:v>
      </x:c>
    </x:row>
    <x:row r="711" ht="21" customHeight="1">
      <x:c r="A711" s="2" t="n">
        <x:v>706</x:v>
      </x:c>
      <x:c r="B711" s="2" t="str">
        <x:v>TXN-00706</x:v>
      </x:c>
      <x:c r="C711" s="2" t="str">
        <x:v>2025-07-07</x:v>
      </x:c>
      <x:c r="D711" s="2" t="str">
        <x:v>Lagos</x:v>
      </x:c>
      <x:c r="E711" s="2" t="str">
        <x:v>Electronics</x:v>
      </x:c>
      <x:c r="F711" s="2" t="str">
        <x:v>Power bank</x:v>
      </x:c>
      <x:c r="G711" s="2" t="str">
        <x:v>Online</x:v>
      </x:c>
      <x:c r="H711" s="2" t="n">
        <x:v>4</x:v>
      </x:c>
      <x:c r="I711" s="2" t="n">
        <x:v>15000</x:v>
      </x:c>
      <x:c r="J711" s="2" t="n">
        <x:v>9500</x:v>
      </x:c>
      <x:c r="K711" s="2" t="n">
        <x:v>0.05</x:v>
      </x:c>
      <x:c r="L711" s="2" t="str">
        <x:v>Completed</x:v>
      </x:c>
    </x:row>
    <x:row r="712" ht="21" customHeight="1">
      <x:c r="A712" s="2" t="n">
        <x:v>707</x:v>
      </x:c>
      <x:c r="B712" s="2" t="str">
        <x:v>TXN-00707</x:v>
      </x:c>
      <x:c r="C712" s="2" t="str">
        <x:v>2025-07-28</x:v>
      </x:c>
      <x:c r="D712" s="2" t="str">
        <x:v>Lagos</x:v>
      </x:c>
      <x:c r="E712" s="2" t="str">
        <x:v>Home</x:v>
      </x:c>
      <x:c r="F712" s="2" t="str">
        <x:v>Cookware set</x:v>
      </x:c>
      <x:c r="G712" s="2" t="str">
        <x:v>Online</x:v>
      </x:c>
      <x:c r="H712" s="2" t="n">
        <x:v>2</x:v>
      </x:c>
      <x:c r="I712" s="2" t="n">
        <x:v>35000</x:v>
      </x:c>
      <x:c r="J712" s="2" t="n">
        <x:v>22500</x:v>
      </x:c>
      <x:c r="K712" s="2" t="n">
        <x:v>0</x:v>
      </x:c>
      <x:c r="L712" s="2" t="str">
        <x:v>Completed</x:v>
      </x:c>
    </x:row>
    <x:row r="713" ht="21" customHeight="1">
      <x:c r="A713" s="2" t="n">
        <x:v>708</x:v>
      </x:c>
      <x:c r="B713" s="2" t="str">
        <x:v>TXN-00708</x:v>
      </x:c>
      <x:c r="C713" s="2" t="str">
        <x:v>2025-07-14</x:v>
      </x:c>
      <x:c r="D713" s="2" t="str">
        <x:v> lagos </x:v>
      </x:c>
      <x:c r="E713" s="2" t="str">
        <x:v>Home</x:v>
      </x:c>
      <x:c r="F713" s="2" t="str">
        <x:v>Desk lamp</x:v>
      </x:c>
      <x:c r="G713" s="2" t="str">
        <x:v>Online</x:v>
      </x:c>
      <x:c r="H713" s="2" t="n">
        <x:v>2</x:v>
      </x:c>
      <x:c r="I713" s="2" t="n">
        <x:v>12000</x:v>
      </x:c>
      <x:c r="J713" s="2" t="n">
        <x:v>7200</x:v>
      </x:c>
      <x:c r="K713" s="2" t="n">
        <x:v>0</x:v>
      </x:c>
      <x:c r="L713" s="2" t="str">
        <x:v>Completed</x:v>
      </x:c>
    </x:row>
    <x:row r="714" ht="21" customHeight="1">
      <x:c r="A714" s="2" t="n">
        <x:v>709</x:v>
      </x:c>
      <x:c r="B714" s="2" t="str">
        <x:v>TXN-00709</x:v>
      </x:c>
      <x:c r="C714" s="2" t="str">
        <x:v>2025-07-04</x:v>
      </x:c>
      <x:c r="D714" s="2" t="str">
        <x:v>Abuja</x:v>
      </x:c>
      <x:c r="E714" s="2" t="str">
        <x:v>Electronics</x:v>
      </x:c>
      <x:c r="F714" s="2" t="str">
        <x:v>Headphones</x:v>
      </x:c>
      <x:c r="G714" s="2" t="str">
        <x:v>Online</x:v>
      </x:c>
      <x:c r="H714" s="2" t="n">
        <x:v>2</x:v>
      </x:c>
      <x:c r="I714" s="2" t="n">
        <x:v>18000</x:v>
      </x:c>
      <x:c r="J714" s="2" t="n">
        <x:v>10500</x:v>
      </x:c>
      <x:c r="K714" s="2" t="n">
        <x:v>0</x:v>
      </x:c>
      <x:c r="L714" s="2" t="str">
        <x:v>Completed</x:v>
      </x:c>
    </x:row>
    <x:row r="715" ht="21" customHeight="1">
      <x:c r="A715" s="2" t="n">
        <x:v>710</x:v>
      </x:c>
      <x:c r="B715" s="2" t="str">
        <x:v>TXN-00710</x:v>
      </x:c>
      <x:c r="C715" s="2" t="str">
        <x:v>2025-07-11</x:v>
      </x:c>
      <x:c r="D715" s="2" t="str">
        <x:v>Abuja</x:v>
      </x:c>
      <x:c r="E715" s="2" t="str">
        <x:v>Electronics</x:v>
      </x:c>
      <x:c r="F715" s="2" t="str">
        <x:v>Bluetooth speaker</x:v>
      </x:c>
      <x:c r="G715" s="2" t="str">
        <x:v>Online</x:v>
      </x:c>
      <x:c r="H715" s="2" t="n">
        <x:v>2</x:v>
      </x:c>
      <x:c r="I715" s="2" t="n">
        <x:v>26000</x:v>
      </x:c>
      <x:c r="J715" s="2" t="n">
        <x:v>17000</x:v>
      </x:c>
      <x:c r="K715" s="2" t="n">
        <x:v>0.05</x:v>
      </x:c>
      <x:c r="L715" s="2" t="str">
        <x:v>Returned</x:v>
      </x:c>
    </x:row>
    <x:row r="716" ht="21" customHeight="1">
      <x:c r="A716" s="2" t="n">
        <x:v>711</x:v>
      </x:c>
      <x:c r="B716" s="2" t="str">
        <x:v>TXN-00711</x:v>
      </x:c>
      <x:c r="C716" s="2" t="str">
        <x:v>2025-07-31</x:v>
      </x:c>
      <x:c r="D716" s="2" t="str">
        <x:v>Port Harcourt</x:v>
      </x:c>
      <x:c r="E716" s="2" t="str">
        <x:v>Home</x:v>
      </x:c>
      <x:c r="F716" s="2" t="str">
        <x:v>Desk lamp</x:v>
      </x:c>
      <x:c r="G716" s="2" t="str">
        <x:v>Online</x:v>
      </x:c>
      <x:c r="H716" s="2" t="n">
        <x:v>1</x:v>
      </x:c>
      <x:c r="I716" s="2" t="n">
        <x:v>12000</x:v>
      </x:c>
      <x:c r="J716" s="2" t="n">
        <x:v>7200</x:v>
      </x:c>
      <x:c r="K716" s="2" t="n">
        <x:v>0</x:v>
      </x:c>
      <x:c r="L716" s="2" t="str">
        <x:v>Completed</x:v>
      </x:c>
    </x:row>
    <x:row r="717" ht="21" customHeight="1">
      <x:c r="A717" s="2" t="n">
        <x:v>712</x:v>
      </x:c>
      <x:c r="B717" s="2" t="str">
        <x:v>TXN-00712</x:v>
      </x:c>
      <x:c r="C717" s="2" t="str">
        <x:v>2025-07-27</x:v>
      </x:c>
      <x:c r="D717" s="2" t="str">
        <x:v>Lagos</x:v>
      </x:c>
      <x:c r="E717" s="2" t="str">
        <x:v>Electronics</x:v>
      </x:c>
      <x:c r="F717" s="2" t="str">
        <x:v>Power bank</x:v>
      </x:c>
      <x:c r="G717" s="2" t="str">
        <x:v>Online</x:v>
      </x:c>
      <x:c r="H717" s="2" t="n">
        <x:v>1</x:v>
      </x:c>
      <x:c r="I717" s="2" t="n">
        <x:v>15000</x:v>
      </x:c>
      <x:c r="J717" s="2" t="n">
        <x:v>9500</x:v>
      </x:c>
      <x:c r="K717" s="2" t="n">
        <x:v>0.1</x:v>
      </x:c>
      <x:c r="L717" s="2" t="str">
        <x:v> COMPLETED </x:v>
      </x:c>
    </x:row>
    <x:row r="718" ht="21" customHeight="1">
      <x:c r="A718" s="2" t="n">
        <x:v>713</x:v>
      </x:c>
      <x:c r="B718" s="2" t="str">
        <x:v>TXN-00713</x:v>
      </x:c>
      <x:c r="C718" s="2" t="str">
        <x:v>2025-07-02</x:v>
      </x:c>
      <x:c r="D718" s="2" t="str">
        <x:v>Kano</x:v>
      </x:c>
      <x:c r="E718" s="2" t="str">
        <x:v>Electronics</x:v>
      </x:c>
      <x:c r="F718" s="2" t="str">
        <x:v>Headphones</x:v>
      </x:c>
      <x:c r="G718" s="2" t="str">
        <x:v>Online</x:v>
      </x:c>
      <x:c r="H718" s="2" t="n">
        <x:v>1</x:v>
      </x:c>
      <x:c r="I718" s="2" t="n">
        <x:v>18000</x:v>
      </x:c>
      <x:c r="J718" s="2" t="n">
        <x:v>10500</x:v>
      </x:c>
      <x:c r="K718" s="2" t="n">
        <x:v>0.05</x:v>
      </x:c>
      <x:c r="L718" s="2" t="str">
        <x:v>Completed</x:v>
      </x:c>
    </x:row>
    <x:row r="719" ht="21" customHeight="1">
      <x:c r="A719" s="2" t="n">
        <x:v>714</x:v>
      </x:c>
      <x:c r="B719" s="2" t="str">
        <x:v>TXN-00714</x:v>
      </x:c>
      <x:c r="C719" s="2" t="str">
        <x:v>2025-07-16</x:v>
      </x:c>
      <x:c r="D719" s="2" t="str">
        <x:v>Port Harcourt</x:v>
      </x:c>
      <x:c r="E719" s="2" t="str">
        <x:v>Fashion</x:v>
      </x:c>
      <x:c r="F719" s="2" t="str">
        <x:v>Sneakers</x:v>
      </x:c>
      <x:c r="G719" s="2" t="str">
        <x:v>Online</x:v>
      </x:c>
      <x:c r="H719" s="2" t="n">
        <x:v>2</x:v>
      </x:c>
      <x:c r="I719" s="2" t="n">
        <x:v>28000</x:v>
      </x:c>
      <x:c r="J719" s="2" t="n">
        <x:v>17500</x:v>
      </x:c>
      <x:c r="K719" s="2" t="n">
        <x:v>0</x:v>
      </x:c>
      <x:c r="L719" s="2" t="str">
        <x:v>Completed</x:v>
      </x:c>
    </x:row>
    <x:row r="720" ht="21" customHeight="1">
      <x:c r="A720" s="2" t="n">
        <x:v>715</x:v>
      </x:c>
      <x:c r="B720" s="2" t="str">
        <x:v>TXN-00715</x:v>
      </x:c>
      <x:c r="C720" s="2" t="str">
        <x:v>2025-07-20</x:v>
      </x:c>
      <x:c r="D720" s="2" t="str">
        <x:v> port harcourt </x:v>
      </x:c>
      <x:c r="E720" s="2" t="str">
        <x:v>Beauty</x:v>
      </x:c>
      <x:c r="F720" s="2" t="str">
        <x:v>Perfume</x:v>
      </x:c>
      <x:c r="G720" s="2" t="str">
        <x:v>In-store</x:v>
      </x:c>
      <x:c r="H720" s="2" t="n">
        <x:v>1</x:v>
      </x:c>
      <x:c r="I720" s="2" t="n">
        <x:v>17000</x:v>
      </x:c>
      <x:c r="J720" s="2" t="n">
        <x:v>9000</x:v>
      </x:c>
      <x:c r="K720" s="2" t="n">
        <x:v>0</x:v>
      </x:c>
      <x:c r="L720" s="2" t="str">
        <x:v>Completed</x:v>
      </x:c>
    </x:row>
    <x:row r="721" ht="21" customHeight="1">
      <x:c r="A721" s="2" t="n">
        <x:v>716</x:v>
      </x:c>
      <x:c r="B721" s="2" t="str">
        <x:v>TXN-00716</x:v>
      </x:c>
      <x:c r="C721" s="2" t="str">
        <x:v>2025-07-13</x:v>
      </x:c>
      <x:c r="D721" s="2" t="str">
        <x:v>Lagos</x:v>
      </x:c>
      <x:c r="E721" s="2" t="str">
        <x:v>Electronics</x:v>
      </x:c>
      <x:c r="F721" s="2" t="str">
        <x:v>Headphones</x:v>
      </x:c>
      <x:c r="G721" s="2" t="str">
        <x:v> online </x:v>
      </x:c>
      <x:c r="H721" s="2" t="n">
        <x:v>3</x:v>
      </x:c>
      <x:c r="I721" s="2" t="n">
        <x:v>18000</x:v>
      </x:c>
      <x:c r="J721" s="2" t="n">
        <x:v>10500</x:v>
      </x:c>
      <x:c r="K721" s="2" t="n">
        <x:v>0</x:v>
      </x:c>
      <x:c r="L721" s="2" t="str">
        <x:v>Returned</x:v>
      </x:c>
    </x:row>
    <x:row r="722" ht="21" customHeight="1">
      <x:c r="A722" s="2" t="n">
        <x:v>717</x:v>
      </x:c>
      <x:c r="B722" s="2" t="str">
        <x:v>TXN-00717</x:v>
      </x:c>
      <x:c r="C722" s="2" t="str">
        <x:v>2025-07-04</x:v>
      </x:c>
      <x:c r="D722" s="2" t="str">
        <x:v>Lagos</x:v>
      </x:c>
      <x:c r="E722" s="2" t="str">
        <x:v>Beauty</x:v>
      </x:c>
      <x:c r="F722" s="2" t="str">
        <x:v>Body wash</x:v>
      </x:c>
      <x:c r="G722" s="2" t="str">
        <x:v>Online</x:v>
      </x:c>
      <x:c r="H722" s="2" t="n">
        <x:v>1</x:v>
      </x:c>
      <x:c r="I722" s="2" t="n">
        <x:v>4500</x:v>
      </x:c>
      <x:c r="J722" s="2" t="n">
        <x:v>2300</x:v>
      </x:c>
      <x:c r="K722" s="2" t="n">
        <x:v>0.05</x:v>
      </x:c>
      <x:c r="L722" s="2" t="str">
        <x:v>Completed</x:v>
      </x:c>
    </x:row>
    <x:row r="723" ht="21" customHeight="1">
      <x:c r="A723" s="2" t="n">
        <x:v>718</x:v>
      </x:c>
      <x:c r="B723" s="2" t="str">
        <x:v>TXN-00718</x:v>
      </x:c>
      <x:c r="C723" s="2" t="str">
        <x:v>2025-07-16</x:v>
      </x:c>
      <x:c r="D723" s="2" t="str">
        <x:v>Kano</x:v>
      </x:c>
      <x:c r="E723" s="2" t="str">
        <x:v>Beauty</x:v>
      </x:c>
      <x:c r="F723" s="2" t="str">
        <x:v>Perfume</x:v>
      </x:c>
      <x:c r="G723" s="2" t="str">
        <x:v>Online</x:v>
      </x:c>
      <x:c r="H723" s="2" t="n">
        <x:v>1</x:v>
      </x:c>
      <x:c r="I723" s="2" t="n">
        <x:v>17000</x:v>
      </x:c>
      <x:c r="J723" s="2" t="n">
        <x:v>9000</x:v>
      </x:c>
      <x:c r="K723" s="2" t="n">
        <x:v>0</x:v>
      </x:c>
      <x:c r="L723" s="2" t="str">
        <x:v>Completed</x:v>
      </x:c>
    </x:row>
    <x:row r="724" ht="21" customHeight="1">
      <x:c r="A724" s="2" t="n">
        <x:v>719</x:v>
      </x:c>
      <x:c r="B724" s="2" t="str">
        <x:v>TXN-00719</x:v>
      </x:c>
      <x:c r="C724" s="2" t="str">
        <x:v>2025-07-17</x:v>
      </x:c>
      <x:c r="D724" s="2" t="str">
        <x:v>Lagos</x:v>
      </x:c>
      <x:c r="E724" s="2" t="str">
        <x:v>Beauty</x:v>
      </x:c>
      <x:c r="F724" s="2" t="str">
        <x:v>Perfume</x:v>
      </x:c>
      <x:c r="G724" s="2" t="str">
        <x:v>Online</x:v>
      </x:c>
      <x:c r="H724" s="2" t="n">
        <x:v>2</x:v>
      </x:c>
      <x:c r="I724" s="2" t="n">
        <x:v>17000</x:v>
      </x:c>
      <x:c r="J724" s="2" t="n">
        <x:v>9000</x:v>
      </x:c>
      <x:c r="K724" s="2" t="n">
        <x:v>0.15</x:v>
      </x:c>
      <x:c r="L724" s="2" t="str">
        <x:v>Completed</x:v>
      </x:c>
    </x:row>
    <x:row r="725" ht="21" customHeight="1">
      <x:c r="A725" s="2" t="n">
        <x:v>720</x:v>
      </x:c>
      <x:c r="B725" s="2" t="str">
        <x:v>TXN-00720</x:v>
      </x:c>
      <x:c r="C725" s="2" t="str">
        <x:v>2025-07-05</x:v>
      </x:c>
      <x:c r="D725" s="2" t="str">
        <x:v>Port Harcourt</x:v>
      </x:c>
      <x:c r="E725" s="2" t="str">
        <x:v>Fashion</x:v>
      </x:c>
      <x:c r="F725" s="2" t="str">
        <x:v>Handbag</x:v>
      </x:c>
      <x:c r="G725" s="2" t="str">
        <x:v>In-store</x:v>
      </x:c>
      <x:c r="H725" s="2" t="n">
        <x:v>2</x:v>
      </x:c>
      <x:c r="I725" s="2" t="n">
        <x:v>22000</x:v>
      </x:c>
      <x:c r="J725" s="2" t="n">
        <x:v>13500</x:v>
      </x:c>
      <x:c r="K725" s="2" t="n">
        <x:v>0</x:v>
      </x:c>
      <x:c r="L725" s="2" t="str">
        <x:v>Completed</x:v>
      </x:c>
    </x:row>
    <x:row r="726" ht="21" customHeight="1">
      <x:c r="A726" s="2" t="n">
        <x:v>721</x:v>
      </x:c>
      <x:c r="B726" s="2" t="str">
        <x:v>TXN-00721</x:v>
      </x:c>
      <x:c r="C726" s="2" t="str">
        <x:v>2025-07-19</x:v>
      </x:c>
      <x:c r="D726" s="2" t="str">
        <x:v>Lagos</x:v>
      </x:c>
      <x:c r="E726" s="2" t="str">
        <x:v>Electronics</x:v>
      </x:c>
      <x:c r="F726" s="2" t="str">
        <x:v>Power bank</x:v>
      </x:c>
      <x:c r="G726" s="2" t="str">
        <x:v>In-store</x:v>
      </x:c>
      <x:c r="H726" s="2" t="n">
        <x:v>3</x:v>
      </x:c>
      <x:c r="I726" s="2" t="n">
        <x:v>15000</x:v>
      </x:c>
      <x:c r="J726" s="2" t="n">
        <x:v>9500</x:v>
      </x:c>
      <x:c r="K726" s="2" t="n">
        <x:v>0</x:v>
      </x:c>
      <x:c r="L726" s="2" t="str">
        <x:v> COMPLETED </x:v>
      </x:c>
    </x:row>
    <x:row r="727" ht="21" customHeight="1">
      <x:c r="A727" s="2" t="n">
        <x:v>722</x:v>
      </x:c>
      <x:c r="B727" s="2" t="str">
        <x:v>TXN-00722</x:v>
      </x:c>
      <x:c r="C727" s="2" t="str">
        <x:v>2025-07-13</x:v>
      </x:c>
      <x:c r="D727" s="2" t="str">
        <x:v> kano </x:v>
      </x:c>
      <x:c r="E727" s="2" t="str">
        <x:v>Electronics</x:v>
      </x:c>
      <x:c r="F727" s="2" t="str">
        <x:v>Power bank</x:v>
      </x:c>
      <x:c r="G727" s="2" t="str">
        <x:v>Online</x:v>
      </x:c>
      <x:c r="H727" s="2" t="n">
        <x:v>1</x:v>
      </x:c>
      <x:c r="I727" s="2" t="n">
        <x:v>15000</x:v>
      </x:c>
      <x:c r="J727" s="2" t="n">
        <x:v>9500</x:v>
      </x:c>
      <x:c r="K727" s="2" t="n">
        <x:v>0.1</x:v>
      </x:c>
      <x:c r="L727" s="2" t="str">
        <x:v>Completed</x:v>
      </x:c>
    </x:row>
    <x:row r="728" ht="21" customHeight="1">
      <x:c r="A728" s="2" t="n">
        <x:v>723</x:v>
      </x:c>
      <x:c r="B728" s="2" t="str">
        <x:v>TXN-00723</x:v>
      </x:c>
      <x:c r="C728" s="2" t="str">
        <x:v>2025-07-11</x:v>
      </x:c>
      <x:c r="D728" s="2" t="str">
        <x:v>Port Harcourt</x:v>
      </x:c>
      <x:c r="E728" s="2" t="str">
        <x:v>Home</x:v>
      </x:c>
      <x:c r="F728" s="2" t="str">
        <x:v>Cookware set</x:v>
      </x:c>
      <x:c r="G728" s="2" t="str">
        <x:v>Online</x:v>
      </x:c>
      <x:c r="H728" s="2" t="n">
        <x:v>1</x:v>
      </x:c>
      <x:c r="I728" s="2" t="n">
        <x:v>35000</x:v>
      </x:c>
      <x:c r="J728" s="2" t="n">
        <x:v>22500</x:v>
      </x:c>
      <x:c r="K728" s="2" t="n">
        <x:v>0</x:v>
      </x:c>
      <x:c r="L728" s="2" t="str">
        <x:v>Completed</x:v>
      </x:c>
    </x:row>
    <x:row r="729" ht="21" customHeight="1">
      <x:c r="A729" s="2" t="n">
        <x:v>724</x:v>
      </x:c>
      <x:c r="B729" s="2" t="str">
        <x:v>TXN-00724</x:v>
      </x:c>
      <x:c r="C729" s="2" t="str">
        <x:v>2025-07-04</x:v>
      </x:c>
      <x:c r="D729" s="2" t="str">
        <x:v>Abuja</x:v>
      </x:c>
      <x:c r="E729" s="2" t="str">
        <x:v>Beauty</x:v>
      </x:c>
      <x:c r="F729" s="2" t="str">
        <x:v>Body wash</x:v>
      </x:c>
      <x:c r="G729" s="2" t="str">
        <x:v>In-store</x:v>
      </x:c>
      <x:c r="H729" s="2" t="n">
        <x:v>1</x:v>
      </x:c>
      <x:c r="I729" s="2" t="n">
        <x:v>4500</x:v>
      </x:c>
      <x:c r="J729" s="2" t="n">
        <x:v>2300</x:v>
      </x:c>
      <x:c r="K729" s="2" t="n">
        <x:v>0</x:v>
      </x:c>
      <x:c r="L729" s="2" t="str">
        <x:v>Completed</x:v>
      </x:c>
    </x:row>
    <x:row r="730" ht="21" customHeight="1">
      <x:c r="A730" s="2" t="n">
        <x:v>725</x:v>
      </x:c>
      <x:c r="B730" s="2" t="str">
        <x:v>TXN-00725</x:v>
      </x:c>
      <x:c r="C730" s="2" t="str">
        <x:v>2025-07-07</x:v>
      </x:c>
      <x:c r="D730" s="2" t="str">
        <x:v>Port Harcourt</x:v>
      </x:c>
      <x:c r="E730" s="2" t="str">
        <x:v>Fashion</x:v>
      </x:c>
      <x:c r="F730" s="2" t="str">
        <x:v>Sneakers</x:v>
      </x:c>
      <x:c r="G730" s="2" t="str">
        <x:v>In-store</x:v>
      </x:c>
      <x:c r="H730" s="2" t="n">
        <x:v>2</x:v>
      </x:c>
      <x:c r="I730" s="2" t="n">
        <x:v>28000</x:v>
      </x:c>
      <x:c r="J730" s="2" t="n">
        <x:v>17500</x:v>
      </x:c>
      <x:c r="K730" s="2" t="n">
        <x:v>0</x:v>
      </x:c>
      <x:c r="L730" s="2" t="str">
        <x:v>Completed</x:v>
      </x:c>
    </x:row>
    <x:row r="731" ht="21" customHeight="1">
      <x:c r="A731" s="2" t="n">
        <x:v>726</x:v>
      </x:c>
      <x:c r="B731" s="2" t="str">
        <x:v>TXN-00726</x:v>
      </x:c>
      <x:c r="C731" s="2" t="str">
        <x:v>2025-07-08</x:v>
      </x:c>
      <x:c r="D731" s="2" t="str">
        <x:v>Abuja</x:v>
      </x:c>
      <x:c r="E731" s="2" t="str">
        <x:v>Electronics</x:v>
      </x:c>
      <x:c r="F731" s="2" t="str">
        <x:v>Power bank</x:v>
      </x:c>
      <x:c r="G731" s="2" t="str">
        <x:v>Online</x:v>
      </x:c>
      <x:c r="H731" s="2" t="n">
        <x:v>1</x:v>
      </x:c>
      <x:c r="I731" s="2" t="n">
        <x:v>15000</x:v>
      </x:c>
      <x:c r="J731" s="2" t="n">
        <x:v>9500</x:v>
      </x:c>
      <x:c r="K731" s="2" t="n">
        <x:v>0.1</x:v>
      </x:c>
      <x:c r="L731" s="2" t="str">
        <x:v>Completed</x:v>
      </x:c>
    </x:row>
    <x:row r="732" ht="21" customHeight="1">
      <x:c r="A732" s="2" t="n">
        <x:v>727</x:v>
      </x:c>
      <x:c r="B732" s="2" t="str">
        <x:v>TXN-00727</x:v>
      </x:c>
      <x:c r="C732" s="2" t="str">
        <x:v>2025-07-01</x:v>
      </x:c>
      <x:c r="D732" s="2" t="str">
        <x:v>Abuja</x:v>
      </x:c>
      <x:c r="E732" s="2" t="str">
        <x:v>Electronics</x:v>
      </x:c>
      <x:c r="F732" s="2" t="str">
        <x:v>Power bank</x:v>
      </x:c>
      <x:c r="G732" s="2" t="str">
        <x:v> online </x:v>
      </x:c>
      <x:c r="H732" s="2" t="n">
        <x:v>1</x:v>
      </x:c>
      <x:c r="I732" s="2" t="n">
        <x:v>15000</x:v>
      </x:c>
      <x:c r="J732" s="2" t="n">
        <x:v>9500</x:v>
      </x:c>
      <x:c r="K732" s="2" t="n">
        <x:v>0</x:v>
      </x:c>
      <x:c r="L732" s="2" t="str">
        <x:v>Completed</x:v>
      </x:c>
    </x:row>
    <x:row r="733" ht="21" customHeight="1">
      <x:c r="A733" s="2" t="n">
        <x:v>728</x:v>
      </x:c>
      <x:c r="B733" s="2" t="str">
        <x:v>TXN-00728</x:v>
      </x:c>
      <x:c r="C733" s="2" t="str">
        <x:v>2025-07-24</x:v>
      </x:c>
      <x:c r="D733" s="2" t="str">
        <x:v>Kano</x:v>
      </x:c>
      <x:c r="E733" s="2" t="str">
        <x:v>Electronics</x:v>
      </x:c>
      <x:c r="F733" s="2" t="str">
        <x:v>Power bank</x:v>
      </x:c>
      <x:c r="G733" s="2" t="str">
        <x:v>Online</x:v>
      </x:c>
      <x:c r="H733" s="2" t="n">
        <x:v>2</x:v>
      </x:c>
      <x:c r="I733" s="2" t="n">
        <x:v>15000</x:v>
      </x:c>
      <x:c r="J733" s="2" t="n">
        <x:v>9500</x:v>
      </x:c>
      <x:c r="K733" s="2" t="n">
        <x:v>0</x:v>
      </x:c>
      <x:c r="L733" s="2" t="str">
        <x:v>Completed</x:v>
      </x:c>
    </x:row>
    <x:row r="734" ht="21" customHeight="1">
      <x:c r="A734" s="2" t="n">
        <x:v>729</x:v>
      </x:c>
      <x:c r="B734" s="2" t="str">
        <x:v>TXN-00729</x:v>
      </x:c>
      <x:c r="C734" s="2" t="str">
        <x:v>2025-07-19</x:v>
      </x:c>
      <x:c r="D734" s="2" t="str">
        <x:v> abuja </x:v>
      </x:c>
      <x:c r="E734" s="2" t="str">
        <x:v>Beauty</x:v>
      </x:c>
      <x:c r="F734" s="2" t="str">
        <x:v>Body wash</x:v>
      </x:c>
      <x:c r="G734" s="2" t="str">
        <x:v>In-store</x:v>
      </x:c>
      <x:c r="H734" s="2" t="n">
        <x:v>1</x:v>
      </x:c>
      <x:c r="I734" s="2" t="n">
        <x:v>4500</x:v>
      </x:c>
      <x:c r="J734" s="2" t="n">
        <x:v>2300</x:v>
      </x:c>
      <x:c r="K734" s="2" t="n">
        <x:v>0.05</x:v>
      </x:c>
      <x:c r="L734" s="2" t="str">
        <x:v>Completed</x:v>
      </x:c>
    </x:row>
    <x:row r="735" ht="21" customHeight="1">
      <x:c r="A735" s="2" t="n">
        <x:v>730</x:v>
      </x:c>
      <x:c r="B735" s="2" t="str">
        <x:v>TXN-00730</x:v>
      </x:c>
      <x:c r="C735" s="2" t="str">
        <x:v>2025-07-13</x:v>
      </x:c>
      <x:c r="D735" s="2" t="str">
        <x:v>Abuja</x:v>
      </x:c>
      <x:c r="E735" s="2" t="str">
        <x:v>Fashion</x:v>
      </x:c>
      <x:c r="F735" s="2" t="str">
        <x:v>Sneakers</x:v>
      </x:c>
      <x:c r="G735" s="2" t="str">
        <x:v>In-store</x:v>
      </x:c>
      <x:c r="H735" s="2" t="n">
        <x:v>2</x:v>
      </x:c>
      <x:c r="I735" s="2" t="n">
        <x:v>28000</x:v>
      </x:c>
      <x:c r="J735" s="2" t="n">
        <x:v>17500</x:v>
      </x:c>
      <x:c r="K735" s="2" t="n">
        <x:v>0</x:v>
      </x:c>
      <x:c r="L735" s="2" t="str">
        <x:v> RETURNED </x:v>
      </x:c>
    </x:row>
    <x:row r="736" ht="21" customHeight="1">
      <x:c r="A736" s="2" t="n">
        <x:v>731</x:v>
      </x:c>
      <x:c r="B736" s="2" t="str">
        <x:v>TXN-00731</x:v>
      </x:c>
      <x:c r="C736" s="2" t="str">
        <x:v>2025-07-13</x:v>
      </x:c>
      <x:c r="D736" s="2" t="str">
        <x:v>Port Harcourt</x:v>
      </x:c>
      <x:c r="E736" s="2" t="str">
        <x:v>Fashion</x:v>
      </x:c>
      <x:c r="F736" s="2" t="str">
        <x:v>T-shirt</x:v>
      </x:c>
      <x:c r="G736" s="2" t="str">
        <x:v>Online</x:v>
      </x:c>
      <x:c r="H736" s="2" t="n">
        <x:v>1</x:v>
      </x:c>
      <x:c r="I736" s="2" t="n">
        <x:v>9000</x:v>
      </x:c>
      <x:c r="J736" s="2" t="n">
        <x:v>5000</x:v>
      </x:c>
      <x:c r="K736" s="2" t="n">
        <x:v>0</x:v>
      </x:c>
      <x:c r="L736" s="2" t="str">
        <x:v>Completed</x:v>
      </x:c>
    </x:row>
    <x:row r="737" ht="21" customHeight="1">
      <x:c r="A737" s="2" t="n">
        <x:v>732</x:v>
      </x:c>
      <x:c r="B737" s="2" t="str">
        <x:v>TXN-00732</x:v>
      </x:c>
      <x:c r="C737" s="2" t="str">
        <x:v>2025-07-08</x:v>
      </x:c>
      <x:c r="D737" s="2" t="str">
        <x:v>Port Harcourt</x:v>
      </x:c>
      <x:c r="E737" s="2" t="str">
        <x:v>Home</x:v>
      </x:c>
      <x:c r="F737" s="2" t="str">
        <x:v>Desk lamp</x:v>
      </x:c>
      <x:c r="G737" s="2" t="str">
        <x:v>Online</x:v>
      </x:c>
      <x:c r="H737" s="2" t="n">
        <x:v>1</x:v>
      </x:c>
      <x:c r="I737" s="2" t="n">
        <x:v>12000</x:v>
      </x:c>
      <x:c r="J737" s="2" t="n">
        <x:v>7200</x:v>
      </x:c>
      <x:c r="K737" s="2" t="n">
        <x:v>0.05</x:v>
      </x:c>
      <x:c r="L737" s="2" t="str">
        <x:v>Completed</x:v>
      </x:c>
    </x:row>
    <x:row r="738" ht="21" customHeight="1">
      <x:c r="A738" s="2" t="n">
        <x:v>733</x:v>
      </x:c>
      <x:c r="B738" s="2" t="str">
        <x:v>TXN-00733</x:v>
      </x:c>
      <x:c r="C738" s="2" t="str">
        <x:v>2025-07-15</x:v>
      </x:c>
      <x:c r="D738" s="2" t="str">
        <x:v>Abuja</x:v>
      </x:c>
      <x:c r="E738" s="2" t="str">
        <x:v>Home</x:v>
      </x:c>
      <x:c r="F738" s="2" t="str">
        <x:v>Desk lamp</x:v>
      </x:c>
      <x:c r="G738" s="2" t="str">
        <x:v>In-store</x:v>
      </x:c>
      <x:c r="H738" s="2" t="n">
        <x:v>1</x:v>
      </x:c>
      <x:c r="I738" s="2" t="n">
        <x:v>12000</x:v>
      </x:c>
      <x:c r="J738" s="2" t="n">
        <x:v>7200</x:v>
      </x:c>
      <x:c r="K738" s="2" t="n">
        <x:v>0</x:v>
      </x:c>
      <x:c r="L738" s="2" t="str">
        <x:v>Completed</x:v>
      </x:c>
    </x:row>
    <x:row r="739" ht="21" customHeight="1">
      <x:c r="A739" s="2" t="n">
        <x:v>734</x:v>
      </x:c>
      <x:c r="B739" s="2" t="str">
        <x:v>TXN-00734</x:v>
      </x:c>
      <x:c r="C739" s="2" t="str">
        <x:v>2025-07-11</x:v>
      </x:c>
      <x:c r="D739" s="2" t="str">
        <x:v>Abuja</x:v>
      </x:c>
      <x:c r="E739" s="2" t="str">
        <x:v>Home</x:v>
      </x:c>
      <x:c r="F739" s="2" t="str">
        <x:v>Cookware set</x:v>
      </x:c>
      <x:c r="G739" s="2" t="str">
        <x:v>Online</x:v>
      </x:c>
      <x:c r="H739" s="2" t="n">
        <x:v>1</x:v>
      </x:c>
      <x:c r="I739" s="2" t="n">
        <x:v>35000</x:v>
      </x:c>
      <x:c r="J739" s="2" t="n">
        <x:v>22500</x:v>
      </x:c>
      <x:c r="K739" s="2" t="n">
        <x:v>0</x:v>
      </x:c>
      <x:c r="L739" s="2" t="str">
        <x:v>Completed</x:v>
      </x:c>
    </x:row>
    <x:row r="740" ht="21" customHeight="1">
      <x:c r="A740" s="2" t="n">
        <x:v>735</x:v>
      </x:c>
      <x:c r="B740" s="2" t="str">
        <x:v>TXN-00735</x:v>
      </x:c>
      <x:c r="C740" s="2" t="str">
        <x:v>2025-07-26</x:v>
      </x:c>
      <x:c r="D740" s="2" t="str">
        <x:v>Abuja</x:v>
      </x:c>
      <x:c r="E740" s="2" t="str">
        <x:v>Fashion</x:v>
      </x:c>
      <x:c r="F740" s="2" t="str">
        <x:v>Handbag</x:v>
      </x:c>
      <x:c r="G740" s="2" t="str">
        <x:v>Online</x:v>
      </x:c>
      <x:c r="H740" s="2" t="n">
        <x:v>1</x:v>
      </x:c>
      <x:c r="I740" s="2" t="n">
        <x:v>22000</x:v>
      </x:c>
      <x:c r="J740" s="2" t="n">
        <x:v>13500</x:v>
      </x:c>
      <x:c r="K740" s="2" t="n">
        <x:v>0.1</x:v>
      </x:c>
      <x:c r="L740" s="2" t="str">
        <x:v>Returned</x:v>
      </x:c>
    </x:row>
    <x:row r="741" ht="21" customHeight="1">
      <x:c r="A741" s="2" t="n">
        <x:v>736</x:v>
      </x:c>
      <x:c r="B741" s="2" t="str">
        <x:v>TXN-00736</x:v>
      </x:c>
      <x:c r="C741" s="2" t="str">
        <x:v>2025-07-03</x:v>
      </x:c>
      <x:c r="D741" s="2" t="str">
        <x:v> lagos </x:v>
      </x:c>
      <x:c r="E741" s="2" t="str">
        <x:v>Home</x:v>
      </x:c>
      <x:c r="F741" s="2" t="str">
        <x:v>Desk lamp</x:v>
      </x:c>
      <x:c r="G741" s="2" t="str">
        <x:v>In-store</x:v>
      </x:c>
      <x:c r="H741" s="2" t="n">
        <x:v>3</x:v>
      </x:c>
      <x:c r="I741" s="2" t="n">
        <x:v>12000</x:v>
      </x:c>
      <x:c r="J741" s="2" t="n">
        <x:v>7200</x:v>
      </x:c>
      <x:c r="K741" s="2" t="n">
        <x:v>0</x:v>
      </x:c>
      <x:c r="L741" s="2" t="str">
        <x:v>Completed</x:v>
      </x:c>
    </x:row>
    <x:row r="742" ht="21" customHeight="1">
      <x:c r="A742" s="2" t="n">
        <x:v>737</x:v>
      </x:c>
      <x:c r="B742" s="2" t="str">
        <x:v>TXN-00737</x:v>
      </x:c>
      <x:c r="C742" s="2" t="str">
        <x:v>2025-07-26</x:v>
      </x:c>
      <x:c r="D742" s="2" t="str">
        <x:v>Kano</x:v>
      </x:c>
      <x:c r="E742" s="2" t="str">
        <x:v>Fashion</x:v>
      </x:c>
      <x:c r="F742" s="2" t="str">
        <x:v>Sneakers</x:v>
      </x:c>
      <x:c r="G742" s="2" t="str">
        <x:v>Online</x:v>
      </x:c>
      <x:c r="H742" s="2" t="n">
        <x:v>1</x:v>
      </x:c>
      <x:c r="I742" s="2" t="n">
        <x:v>28000</x:v>
      </x:c>
      <x:c r="J742" s="2" t="n">
        <x:v>17500</x:v>
      </x:c>
      <x:c r="K742" s="2" t="n">
        <x:v>0.05</x:v>
      </x:c>
      <x:c r="L742" s="2" t="str">
        <x:v>Completed</x:v>
      </x:c>
    </x:row>
    <x:row r="743" ht="21" customHeight="1">
      <x:c r="A743" s="2" t="n">
        <x:v>738</x:v>
      </x:c>
      <x:c r="B743" s="2" t="str">
        <x:v>TXN-00738</x:v>
      </x:c>
      <x:c r="C743" s="2" t="str">
        <x:v>2025-07-15</x:v>
      </x:c>
      <x:c r="D743" s="2" t="str">
        <x:v>Abuja</x:v>
      </x:c>
      <x:c r="E743" s="2" t="str">
        <x:v>Home</x:v>
      </x:c>
      <x:c r="F743" s="2" t="str">
        <x:v>Desk lamp</x:v>
      </x:c>
      <x:c r="G743" s="2" t="str">
        <x:v> online </x:v>
      </x:c>
      <x:c r="H743" s="2" t="n">
        <x:v>2</x:v>
      </x:c>
      <x:c r="I743" s="2" t="n">
        <x:v>12000</x:v>
      </x:c>
      <x:c r="J743" s="2" t="n">
        <x:v>7200</x:v>
      </x:c>
      <x:c r="K743" s="2" t="n">
        <x:v>0</x:v>
      </x:c>
      <x:c r="L743" s="2" t="str">
        <x:v>Completed</x:v>
      </x:c>
    </x:row>
    <x:row r="744" ht="21" customHeight="1">
      <x:c r="A744" s="2" t="n">
        <x:v>739</x:v>
      </x:c>
      <x:c r="B744" s="2" t="str">
        <x:v>TXN-00739</x:v>
      </x:c>
      <x:c r="C744" s="2" t="str">
        <x:v>2025-07-23</x:v>
      </x:c>
      <x:c r="D744" s="2" t="str">
        <x:v>Lagos</x:v>
      </x:c>
      <x:c r="E744" s="2" t="str">
        <x:v>Electronics</x:v>
      </x:c>
      <x:c r="F744" s="2" t="str">
        <x:v>Power bank</x:v>
      </x:c>
      <x:c r="G744" s="2" t="str">
        <x:v>In-store</x:v>
      </x:c>
      <x:c r="H744" s="2" t="n">
        <x:v>3</x:v>
      </x:c>
      <x:c r="I744" s="2" t="n">
        <x:v>15000</x:v>
      </x:c>
      <x:c r="J744" s="2" t="n">
        <x:v>9500</x:v>
      </x:c>
      <x:c r="K744" s="2" t="n">
        <x:v>0.05</x:v>
      </x:c>
      <x:c r="L744" s="2" t="str">
        <x:v> COMPLETED </x:v>
      </x:c>
    </x:row>
    <x:row r="745" ht="21" customHeight="1">
      <x:c r="A745" s="2" t="n">
        <x:v>740</x:v>
      </x:c>
      <x:c r="B745" s="2" t="str">
        <x:v>TXN-00740</x:v>
      </x:c>
      <x:c r="C745" s="2" t="str">
        <x:v>2025-07-02</x:v>
      </x:c>
      <x:c r="D745" s="2" t="str">
        <x:v>Kano</x:v>
      </x:c>
      <x:c r="E745" s="2" t="str">
        <x:v>Home</x:v>
      </x:c>
      <x:c r="F745" s="2" t="str">
        <x:v>Bedsheet</x:v>
      </x:c>
      <x:c r="G745" s="2" t="str">
        <x:v>Online</x:v>
      </x:c>
      <x:c r="H745" s="2" t="n">
        <x:v>1</x:v>
      </x:c>
      <x:c r="I745" s="2" t="n">
        <x:v>14000</x:v>
      </x:c>
      <x:c r="J745" s="2" t="n">
        <x:v>8500</x:v>
      </x:c>
      <x:c r="K745" s="2" t="n">
        <x:v>0.1</x:v>
      </x:c>
      <x:c r="L745" s="2" t="str">
        <x:v>Completed</x:v>
      </x:c>
    </x:row>
    <x:row r="746" ht="21" customHeight="1">
      <x:c r="A746" s="2" t="n">
        <x:v>741</x:v>
      </x:c>
      <x:c r="B746" s="2" t="str">
        <x:v>TXN-00741</x:v>
      </x:c>
      <x:c r="C746" s="2" t="str">
        <x:v>2025-07-01</x:v>
      </x:c>
      <x:c r="D746" s="2" t="str">
        <x:v>Lagos</x:v>
      </x:c>
      <x:c r="E746" s="2" t="str">
        <x:v>Electronics</x:v>
      </x:c>
      <x:c r="F746" s="2" t="str">
        <x:v>Headphones</x:v>
      </x:c>
      <x:c r="G746" s="2" t="str">
        <x:v>In-store</x:v>
      </x:c>
      <x:c r="H746" s="2" t="n">
        <x:v>1</x:v>
      </x:c>
      <x:c r="I746" s="2" t="n">
        <x:v>18000</x:v>
      </x:c>
      <x:c r="J746" s="2" t="n">
        <x:v>10500</x:v>
      </x:c>
      <x:c r="K746" s="2" t="n">
        <x:v>0</x:v>
      </x:c>
      <x:c r="L746" s="2" t="str">
        <x:v>Completed</x:v>
      </x:c>
    </x:row>
    <x:row r="747" ht="21" customHeight="1">
      <x:c r="A747" s="2" t="n">
        <x:v>742</x:v>
      </x:c>
      <x:c r="B747" s="2" t="str">
        <x:v>TXN-00742</x:v>
      </x:c>
      <x:c r="C747" s="2" t="str">
        <x:v>2025-07-09</x:v>
      </x:c>
      <x:c r="D747" s="2" t="str">
        <x:v>Kano</x:v>
      </x:c>
      <x:c r="E747" s="2" t="str">
        <x:v>Beauty</x:v>
      </x:c>
      <x:c r="F747" s="2" t="str">
        <x:v>Moisturizer</x:v>
      </x:c>
      <x:c r="G747" s="2" t="str">
        <x:v>Online</x:v>
      </x:c>
      <x:c r="H747" s="2" t="n">
        <x:v>1</x:v>
      </x:c>
      <x:c r="I747" s="2" t="n">
        <x:v>6500</x:v>
      </x:c>
      <x:c r="J747" s="2" t="n">
        <x:v>3500</x:v>
      </x:c>
      <x:c r="K747" s="2" t="n">
        <x:v>0</x:v>
      </x:c>
      <x:c r="L747" s="2" t="str">
        <x:v>Completed</x:v>
      </x:c>
    </x:row>
    <x:row r="748" ht="21" customHeight="1">
      <x:c r="A748" s="2" t="n">
        <x:v>743</x:v>
      </x:c>
      <x:c r="B748" s="2" t="str">
        <x:v>TXN-00743</x:v>
      </x:c>
      <x:c r="C748" s="2" t="str">
        <x:v>2025-07-17</x:v>
      </x:c>
      <x:c r="D748" s="2" t="str">
        <x:v> abuja </x:v>
      </x:c>
      <x:c r="E748" s="2" t="str">
        <x:v>Home</x:v>
      </x:c>
      <x:c r="F748" s="2" t="str">
        <x:v>Desk lamp</x:v>
      </x:c>
      <x:c r="G748" s="2" t="str">
        <x:v>Online</x:v>
      </x:c>
      <x:c r="H748" s="2" t="n">
        <x:v>4</x:v>
      </x:c>
      <x:c r="I748" s="2" t="n">
        <x:v>12000</x:v>
      </x:c>
      <x:c r="J748" s="2" t="n">
        <x:v>7200</x:v>
      </x:c>
      <x:c r="K748" s="2" t="n">
        <x:v>0</x:v>
      </x:c>
      <x:c r="L748" s="2" t="str">
        <x:v>Completed</x:v>
      </x:c>
    </x:row>
    <x:row r="749" ht="21" customHeight="1">
      <x:c r="A749" s="2" t="n">
        <x:v>744</x:v>
      </x:c>
      <x:c r="B749" s="2" t="str">
        <x:v>TXN-00744</x:v>
      </x:c>
      <x:c r="C749" s="2" t="str">
        <x:v>2025-07-24</x:v>
      </x:c>
      <x:c r="D749" s="2" t="str">
        <x:v>Port Harcourt</x:v>
      </x:c>
      <x:c r="E749" s="2" t="str">
        <x:v>Fashion</x:v>
      </x:c>
      <x:c r="F749" s="2" t="str">
        <x:v>T-shirt</x:v>
      </x:c>
      <x:c r="G749" s="2" t="str">
        <x:v>In-store</x:v>
      </x:c>
      <x:c r="H749" s="2" t="n">
        <x:v>1</x:v>
      </x:c>
      <x:c r="I749" s="2" t="n">
        <x:v>9000</x:v>
      </x:c>
      <x:c r="J749" s="2" t="n">
        <x:v>5000</x:v>
      </x:c>
      <x:c r="K749" s="2" t="n">
        <x:v>0</x:v>
      </x:c>
      <x:c r="L749" s="2" t="str">
        <x:v>Completed</x:v>
      </x:c>
    </x:row>
    <x:row r="750" ht="21" customHeight="1">
      <x:c r="A750" s="2" t="n">
        <x:v>745</x:v>
      </x:c>
      <x:c r="B750" s="2" t="str">
        <x:v>TXN-00745</x:v>
      </x:c>
      <x:c r="C750" s="2" t="str">
        <x:v>2025-07-09</x:v>
      </x:c>
      <x:c r="D750" s="2" t="str">
        <x:v>Lagos</x:v>
      </x:c>
      <x:c r="E750" s="2" t="str">
        <x:v>Beauty</x:v>
      </x:c>
      <x:c r="F750" s="2" t="str">
        <x:v>Perfume</x:v>
      </x:c>
      <x:c r="G750" s="2" t="str">
        <x:v>In-store</x:v>
      </x:c>
      <x:c r="H750" s="2" t="n">
        <x:v>1</x:v>
      </x:c>
      <x:c r="I750" s="2" t="n">
        <x:v>17000</x:v>
      </x:c>
      <x:c r="J750" s="2" t="n">
        <x:v>9000</x:v>
      </x:c>
      <x:c r="K750" s="2" t="n">
        <x:v>0</x:v>
      </x:c>
      <x:c r="L750" s="2" t="str">
        <x:v>Completed</x:v>
      </x:c>
    </x:row>
    <x:row r="751" ht="21" customHeight="1">
      <x:c r="A751" s="2" t="n">
        <x:v>746</x:v>
      </x:c>
      <x:c r="B751" s="2" t="str">
        <x:v>TXN-00746</x:v>
      </x:c>
      <x:c r="C751" s="2" t="str">
        <x:v>2025-07-09</x:v>
      </x:c>
      <x:c r="D751" s="2" t="str">
        <x:v>Lagos</x:v>
      </x:c>
      <x:c r="E751" s="2" t="str">
        <x:v>Electronics</x:v>
      </x:c>
      <x:c r="F751" s="2" t="str">
        <x:v>Headphones</x:v>
      </x:c>
      <x:c r="G751" s="2" t="str">
        <x:v>In-store</x:v>
      </x:c>
      <x:c r="H751" s="2" t="n">
        <x:v>1</x:v>
      </x:c>
      <x:c r="I751" s="2" t="n">
        <x:v>18000</x:v>
      </x:c>
      <x:c r="J751" s="2" t="n">
        <x:v>10500</x:v>
      </x:c>
      <x:c r="K751" s="2" t="n">
        <x:v>0.05</x:v>
      </x:c>
      <x:c r="L751" s="2" t="str">
        <x:v>Returned</x:v>
      </x:c>
    </x:row>
    <x:row r="752" ht="21" customHeight="1">
      <x:c r="A752" s="2" t="n">
        <x:v>747</x:v>
      </x:c>
      <x:c r="B752" s="2" t="str">
        <x:v>TXN-00747</x:v>
      </x:c>
      <x:c r="C752" s="2" t="str">
        <x:v>2025-07-24</x:v>
      </x:c>
      <x:c r="D752" s="2" t="str">
        <x:v>Lagos</x:v>
      </x:c>
      <x:c r="E752" s="2" t="str">
        <x:v>Home</x:v>
      </x:c>
      <x:c r="F752" s="2" t="str">
        <x:v>Bedsheet</x:v>
      </x:c>
      <x:c r="G752" s="2" t="str">
        <x:v>In-store</x:v>
      </x:c>
      <x:c r="H752" s="2" t="n">
        <x:v>3</x:v>
      </x:c>
      <x:c r="I752" s="2" t="n">
        <x:v>14000</x:v>
      </x:c>
      <x:c r="J752" s="2" t="n">
        <x:v>8500</x:v>
      </x:c>
      <x:c r="K752" s="2" t="n">
        <x:v>0.1</x:v>
      </x:c>
      <x:c r="L752" s="2" t="str">
        <x:v>Completed</x:v>
      </x:c>
    </x:row>
    <x:row r="753" ht="21" customHeight="1">
      <x:c r="A753" s="2" t="n">
        <x:v>748</x:v>
      </x:c>
      <x:c r="B753" s="2" t="str">
        <x:v>TXN-00748</x:v>
      </x:c>
      <x:c r="C753" s="2" t="str">
        <x:v>2025-07-26</x:v>
      </x:c>
      <x:c r="D753" s="2" t="str">
        <x:v>Abuja</x:v>
      </x:c>
      <x:c r="E753" s="2" t="str">
        <x:v>Beauty</x:v>
      </x:c>
      <x:c r="F753" s="2" t="str">
        <x:v>Body wash</x:v>
      </x:c>
      <x:c r="G753" s="2" t="str">
        <x:v>In-store</x:v>
      </x:c>
      <x:c r="H753" s="2" t="n">
        <x:v>1</x:v>
      </x:c>
      <x:c r="I753" s="2" t="n">
        <x:v>4500</x:v>
      </x:c>
      <x:c r="J753" s="2" t="n">
        <x:v>2300</x:v>
      </x:c>
      <x:c r="K753" s="2" t="n">
        <x:v>0</x:v>
      </x:c>
      <x:c r="L753" s="2" t="str">
        <x:v> COMPLETED </x:v>
      </x:c>
    </x:row>
    <x:row r="754" ht="21" customHeight="1">
      <x:c r="A754" s="2" t="n">
        <x:v>749</x:v>
      </x:c>
      <x:c r="B754" s="2" t="str">
        <x:v>TXN-00749</x:v>
      </x:c>
      <x:c r="C754" s="2" t="str">
        <x:v>2025-07-02</x:v>
      </x:c>
      <x:c r="D754" s="2" t="str">
        <x:v>Abuja</x:v>
      </x:c>
      <x:c r="E754" s="2" t="str">
        <x:v>Electronics</x:v>
      </x:c>
      <x:c r="F754" s="2" t="str">
        <x:v>Headphones</x:v>
      </x:c>
      <x:c r="G754" s="2" t="str">
        <x:v> in-store </x:v>
      </x:c>
      <x:c r="H754" s="2" t="n">
        <x:v>1</x:v>
      </x:c>
      <x:c r="I754" s="2" t="n">
        <x:v>18000</x:v>
      </x:c>
      <x:c r="J754" s="2" t="n">
        <x:v>10500</x:v>
      </x:c>
      <x:c r="K754" s="2" t="n">
        <x:v>0.05</x:v>
      </x:c>
      <x:c r="L754" s="2" t="str">
        <x:v>Completed</x:v>
      </x:c>
    </x:row>
    <x:row r="755" ht="21" customHeight="1">
      <x:c r="A755" s="2" t="n">
        <x:v>750</x:v>
      </x:c>
      <x:c r="B755" s="2" t="str">
        <x:v>TXN-00750</x:v>
      </x:c>
      <x:c r="C755" s="2" t="str">
        <x:v>2025-07-16</x:v>
      </x:c>
      <x:c r="D755" s="2" t="str">
        <x:v> kano </x:v>
      </x:c>
      <x:c r="E755" s="2" t="str">
        <x:v>Home</x:v>
      </x:c>
      <x:c r="F755" s="2" t="str">
        <x:v>Bedsheet</x:v>
      </x:c>
      <x:c r="G755" s="2" t="str">
        <x:v>Online</x:v>
      </x:c>
      <x:c r="H755" s="2" t="n">
        <x:v>1</x:v>
      </x:c>
      <x:c r="I755" s="2" t="n">
        <x:v>14000</x:v>
      </x:c>
      <x:c r="J755" s="2" t="n">
        <x:v>8500</x:v>
      </x:c>
      <x:c r="K755" s="2" t="n">
        <x:v>0</x:v>
      </x:c>
      <x:c r="L755" s="2" t="str">
        <x:v>Completed</x:v>
      </x:c>
    </x:row>
    <x:row r="756" ht="21" customHeight="1">
      <x:c r="A756" s="2" t="n">
        <x:v>751</x:v>
      </x:c>
      <x:c r="B756" s="2" t="str">
        <x:v>TXN-00751</x:v>
      </x:c>
      <x:c r="C756" s="2" t="str">
        <x:v>2025-07-07</x:v>
      </x:c>
      <x:c r="D756" s="2" t="str">
        <x:v>Abuja</x:v>
      </x:c>
      <x:c r="E756" s="2" t="str">
        <x:v>Electronics</x:v>
      </x:c>
      <x:c r="F756" s="2" t="str">
        <x:v>Bluetooth speaker</x:v>
      </x:c>
      <x:c r="G756" s="2" t="str">
        <x:v>Online</x:v>
      </x:c>
      <x:c r="H756" s="2" t="n">
        <x:v>1</x:v>
      </x:c>
      <x:c r="I756" s="2" t="n">
        <x:v>26000</x:v>
      </x:c>
      <x:c r="J756" s="2" t="n">
        <x:v>17000</x:v>
      </x:c>
      <x:c r="K756" s="2" t="n">
        <x:v>0.1</x:v>
      </x:c>
      <x:c r="L756" s="2" t="str">
        <x:v>Completed</x:v>
      </x:c>
    </x:row>
    <x:row r="757" ht="21" customHeight="1">
      <x:c r="A757" s="2" t="n">
        <x:v>752</x:v>
      </x:c>
      <x:c r="B757" s="2" t="str">
        <x:v>TXN-00752</x:v>
      </x:c>
      <x:c r="C757" s="2" t="str">
        <x:v>2025-07-30</x:v>
      </x:c>
      <x:c r="D757" s="2" t="str">
        <x:v>Kano</x:v>
      </x:c>
      <x:c r="E757" s="2" t="str">
        <x:v>Electronics</x:v>
      </x:c>
      <x:c r="F757" s="2" t="str">
        <x:v>Power bank</x:v>
      </x:c>
      <x:c r="G757" s="2" t="str">
        <x:v>In-store</x:v>
      </x:c>
      <x:c r="H757" s="2" t="n">
        <x:v>2</x:v>
      </x:c>
      <x:c r="I757" s="2" t="n">
        <x:v>15000</x:v>
      </x:c>
      <x:c r="J757" s="2" t="n">
        <x:v>9500</x:v>
      </x:c>
      <x:c r="K757" s="2" t="n">
        <x:v>0</x:v>
      </x:c>
      <x:c r="L757" s="2" t="str">
        <x:v>Completed</x:v>
      </x:c>
    </x:row>
    <x:row r="758" ht="21" customHeight="1">
      <x:c r="A758" s="2" t="n">
        <x:v>753</x:v>
      </x:c>
      <x:c r="B758" s="2" t="str">
        <x:v>TXN-00753</x:v>
      </x:c>
      <x:c r="C758" s="2" t="str">
        <x:v>2025-07-25</x:v>
      </x:c>
      <x:c r="D758" s="2" t="str">
        <x:v>Lagos</x:v>
      </x:c>
      <x:c r="E758" s="2" t="str">
        <x:v>Fashion</x:v>
      </x:c>
      <x:c r="F758" s="2" t="str">
        <x:v>Handbag</x:v>
      </x:c>
      <x:c r="G758" s="2" t="str">
        <x:v>In-store</x:v>
      </x:c>
      <x:c r="H758" s="2" t="n">
        <x:v>2</x:v>
      </x:c>
      <x:c r="I758" s="2" t="n">
        <x:v>22000</x:v>
      </x:c>
      <x:c r="J758" s="2" t="n">
        <x:v>13500</x:v>
      </x:c>
      <x:c r="K758" s="2" t="n">
        <x:v>0.05</x:v>
      </x:c>
      <x:c r="L758" s="2" t="str">
        <x:v>Completed</x:v>
      </x:c>
    </x:row>
    <x:row r="759" ht="21" customHeight="1">
      <x:c r="A759" s="2" t="n">
        <x:v>754</x:v>
      </x:c>
      <x:c r="B759" s="2" t="str">
        <x:v>TXN-00754</x:v>
      </x:c>
      <x:c r="C759" s="2" t="str">
        <x:v>2025-07-09</x:v>
      </x:c>
      <x:c r="D759" s="2" t="str">
        <x:v>Lagos</x:v>
      </x:c>
      <x:c r="E759" s="2" t="str">
        <x:v>Beauty</x:v>
      </x:c>
      <x:c r="F759" s="2" t="str">
        <x:v>Perfume</x:v>
      </x:c>
      <x:c r="G759" s="2" t="str">
        <x:v>In-store</x:v>
      </x:c>
      <x:c r="H759" s="2" t="n">
        <x:v>1</x:v>
      </x:c>
      <x:c r="I759" s="2" t="n">
        <x:v>17000</x:v>
      </x:c>
      <x:c r="J759" s="2" t="n">
        <x:v>9000</x:v>
      </x:c>
      <x:c r="K759" s="2" t="n">
        <x:v>0.05</x:v>
      </x:c>
      <x:c r="L759" s="2" t="str">
        <x:v>Completed</x:v>
      </x:c>
    </x:row>
    <x:row r="760" ht="21" customHeight="1">
      <x:c r="A760" s="2" t="n">
        <x:v>755</x:v>
      </x:c>
      <x:c r="B760" s="2" t="str">
        <x:v>TXN-00755</x:v>
      </x:c>
      <x:c r="C760" s="2" t="str">
        <x:v>2025-07-09</x:v>
      </x:c>
      <x:c r="D760" s="2" t="str">
        <x:v>Lagos</x:v>
      </x:c>
      <x:c r="E760" s="2" t="str">
        <x:v>Fashion</x:v>
      </x:c>
      <x:c r="F760" s="2" t="str">
        <x:v>Sneakers</x:v>
      </x:c>
      <x:c r="G760" s="2" t="str">
        <x:v>Online</x:v>
      </x:c>
      <x:c r="H760" s="2" t="n">
        <x:v>1</x:v>
      </x:c>
      <x:c r="I760" s="2" t="n">
        <x:v>28000</x:v>
      </x:c>
      <x:c r="J760" s="2" t="n">
        <x:v>17500</x:v>
      </x:c>
      <x:c r="K760" s="2" t="n">
        <x:v>0.1</x:v>
      </x:c>
      <x:c r="L760" s="2" t="str">
        <x:v>Completed</x:v>
      </x:c>
    </x:row>
    <x:row r="761" ht="21" customHeight="1">
      <x:c r="A761" s="2" t="n">
        <x:v>756</x:v>
      </x:c>
      <x:c r="B761" s="2" t="str">
        <x:v>TXN-00756</x:v>
      </x:c>
      <x:c r="C761" s="2" t="str">
        <x:v>2025-07-16</x:v>
      </x:c>
      <x:c r="D761" s="2" t="str">
        <x:v>Lagos</x:v>
      </x:c>
      <x:c r="E761" s="2" t="str">
        <x:v>Beauty</x:v>
      </x:c>
      <x:c r="F761" s="2" t="str">
        <x:v>Body wash</x:v>
      </x:c>
      <x:c r="G761" s="2" t="str">
        <x:v>In-store</x:v>
      </x:c>
      <x:c r="H761" s="2" t="n">
        <x:v>2</x:v>
      </x:c>
      <x:c r="I761" s="2" t="n">
        <x:v>4500</x:v>
      </x:c>
      <x:c r="J761" s="2" t="n">
        <x:v>2300</x:v>
      </x:c>
      <x:c r="K761" s="2" t="n">
        <x:v>0.1</x:v>
      </x:c>
      <x:c r="L761" s="2" t="str">
        <x:v>Completed</x:v>
      </x:c>
    </x:row>
    <x:row r="762" ht="21" customHeight="1">
      <x:c r="A762" s="2" t="n">
        <x:v>757</x:v>
      </x:c>
      <x:c r="B762" s="2" t="str">
        <x:v>TXN-00757</x:v>
      </x:c>
      <x:c r="C762" s="2" t="str">
        <x:v>2025-07-20</x:v>
      </x:c>
      <x:c r="D762" s="2" t="str">
        <x:v> abuja </x:v>
      </x:c>
      <x:c r="E762" s="2" t="str">
        <x:v>Home</x:v>
      </x:c>
      <x:c r="F762" s="2" t="str">
        <x:v>Cookware set</x:v>
      </x:c>
      <x:c r="G762" s="2" t="str">
        <x:v>In-store</x:v>
      </x:c>
      <x:c r="H762" s="2" t="n">
        <x:v>1</x:v>
      </x:c>
      <x:c r="I762" s="2" t="n">
        <x:v>35000</x:v>
      </x:c>
      <x:c r="J762" s="2" t="n">
        <x:v>22500</x:v>
      </x:c>
      <x:c r="K762" s="2" t="n">
        <x:v>0</x:v>
      </x:c>
      <x:c r="L762" s="2" t="str">
        <x:v> COMPLETED </x:v>
      </x:c>
    </x:row>
    <x:row r="763" ht="21" customHeight="1">
      <x:c r="A763" s="2" t="n">
        <x:v>758</x:v>
      </x:c>
      <x:c r="B763" s="2" t="str">
        <x:v>TXN-00758</x:v>
      </x:c>
      <x:c r="C763" s="2" t="str">
        <x:v>2025-07-15</x:v>
      </x:c>
      <x:c r="D763" s="2" t="str">
        <x:v>Lagos</x:v>
      </x:c>
      <x:c r="E763" s="2" t="str">
        <x:v>Electronics</x:v>
      </x:c>
      <x:c r="F763" s="2" t="str">
        <x:v>Bluetooth speaker</x:v>
      </x:c>
      <x:c r="G763" s="2" t="str">
        <x:v>In-store</x:v>
      </x:c>
      <x:c r="H763" s="2" t="n">
        <x:v>1</x:v>
      </x:c>
      <x:c r="I763" s="2" t="n">
        <x:v>26000</x:v>
      </x:c>
      <x:c r="J763" s="2" t="n">
        <x:v>17000</x:v>
      </x:c>
      <x:c r="K763" s="2" t="n">
        <x:v>0.1</x:v>
      </x:c>
      <x:c r="L763" s="2" t="str">
        <x:v>Completed</x:v>
      </x:c>
    </x:row>
    <x:row r="764" ht="21" customHeight="1">
      <x:c r="A764" s="2" t="n">
        <x:v>759</x:v>
      </x:c>
      <x:c r="B764" s="2" t="str">
        <x:v>TXN-00759</x:v>
      </x:c>
      <x:c r="C764" s="2" t="str">
        <x:v>2025-07-13</x:v>
      </x:c>
      <x:c r="D764" s="2" t="str">
        <x:v>Port Harcourt</x:v>
      </x:c>
      <x:c r="E764" s="2" t="str">
        <x:v>Fashion</x:v>
      </x:c>
      <x:c r="F764" s="2" t="str">
        <x:v>Handbag</x:v>
      </x:c>
      <x:c r="G764" s="2" t="str">
        <x:v>Online</x:v>
      </x:c>
      <x:c r="H764" s="2" t="n">
        <x:v>1</x:v>
      </x:c>
      <x:c r="I764" s="2" t="n">
        <x:v>22000</x:v>
      </x:c>
      <x:c r="J764" s="2" t="n">
        <x:v>13500</x:v>
      </x:c>
      <x:c r="K764" s="2" t="n">
        <x:v>0.05</x:v>
      </x:c>
      <x:c r="L764" s="2" t="str">
        <x:v>Returned</x:v>
      </x:c>
    </x:row>
    <x:row r="765" ht="21" customHeight="1">
      <x:c r="A765" s="2" t="n">
        <x:v>760</x:v>
      </x:c>
      <x:c r="B765" s="2" t="str">
        <x:v>TXN-00760</x:v>
      </x:c>
      <x:c r="C765" s="2" t="str">
        <x:v>2025-07-07</x:v>
      </x:c>
      <x:c r="D765" s="2" t="str">
        <x:v>Kano</x:v>
      </x:c>
      <x:c r="E765" s="2" t="str">
        <x:v>Home</x:v>
      </x:c>
      <x:c r="F765" s="2" t="str">
        <x:v>Desk lamp</x:v>
      </x:c>
      <x:c r="G765" s="2" t="str">
        <x:v> online </x:v>
      </x:c>
      <x:c r="H765" s="2" t="n">
        <x:v>1</x:v>
      </x:c>
      <x:c r="I765" s="2" t="n">
        <x:v>12000</x:v>
      </x:c>
      <x:c r="J765" s="2" t="n">
        <x:v>7200</x:v>
      </x:c>
      <x:c r="K765" s="2" t="n">
        <x:v>0.1</x:v>
      </x:c>
      <x:c r="L765" s="2" t="str">
        <x:v>Completed</x:v>
      </x:c>
    </x:row>
    <x:row r="766" ht="21" customHeight="1">
      <x:c r="A766" s="2" t="n">
        <x:v>761</x:v>
      </x:c>
      <x:c r="B766" s="2" t="str">
        <x:v>TXN-00761</x:v>
      </x:c>
      <x:c r="C766" s="2" t="str">
        <x:v>2025-07-19</x:v>
      </x:c>
      <x:c r="D766" s="2" t="str">
        <x:v>Abuja</x:v>
      </x:c>
      <x:c r="E766" s="2" t="str">
        <x:v>Electronics</x:v>
      </x:c>
      <x:c r="F766" s="2" t="str">
        <x:v>Bluetooth speaker</x:v>
      </x:c>
      <x:c r="G766" s="2" t="str">
        <x:v>Online</x:v>
      </x:c>
      <x:c r="H766" s="2" t="n">
        <x:v>1</x:v>
      </x:c>
      <x:c r="I766" s="2" t="n">
        <x:v>26000</x:v>
      </x:c>
      <x:c r="J766" s="2" t="n">
        <x:v>17000</x:v>
      </x:c>
      <x:c r="K766" s="2" t="n">
        <x:v>0</x:v>
      </x:c>
      <x:c r="L766" s="2" t="str">
        <x:v>Completed</x:v>
      </x:c>
    </x:row>
    <x:row r="767" ht="21" customHeight="1">
      <x:c r="A767" s="2" t="n">
        <x:v>762</x:v>
      </x:c>
      <x:c r="B767" s="2" t="str">
        <x:v>TXN-00762</x:v>
      </x:c>
      <x:c r="C767" s="2" t="str">
        <x:v>2025-07-12</x:v>
      </x:c>
      <x:c r="D767" s="2" t="str">
        <x:v>Port Harcourt</x:v>
      </x:c>
      <x:c r="E767" s="2" t="str">
        <x:v>Electronics</x:v>
      </x:c>
      <x:c r="F767" s="2" t="str">
        <x:v>Headphones</x:v>
      </x:c>
      <x:c r="G767" s="2" t="str">
        <x:v>Online</x:v>
      </x:c>
      <x:c r="H767" s="2" t="n">
        <x:v>1</x:v>
      </x:c>
      <x:c r="I767" s="2" t="n">
        <x:v>18000</x:v>
      </x:c>
      <x:c r="J767" s="2" t="n">
        <x:v>10500</x:v>
      </x:c>
      <x:c r="K767" s="2" t="n">
        <x:v>0.05</x:v>
      </x:c>
      <x:c r="L767" s="2" t="str">
        <x:v>Completed</x:v>
      </x:c>
    </x:row>
    <x:row r="768" ht="21" customHeight="1">
      <x:c r="A768" s="2" t="n">
        <x:v>763</x:v>
      </x:c>
      <x:c r="B768" s="2" t="str">
        <x:v>TXN-00763</x:v>
      </x:c>
      <x:c r="C768" s="2" t="str">
        <x:v>2025-07-04</x:v>
      </x:c>
      <x:c r="D768" s="2" t="str">
        <x:v>Lagos</x:v>
      </x:c>
      <x:c r="E768" s="2" t="str">
        <x:v>Fashion</x:v>
      </x:c>
      <x:c r="F768" s="2" t="str">
        <x:v>T-shirt</x:v>
      </x:c>
      <x:c r="G768" s="2" t="str">
        <x:v>In-store</x:v>
      </x:c>
      <x:c r="H768" s="2" t="n">
        <x:v>1</x:v>
      </x:c>
      <x:c r="I768" s="2" t="n">
        <x:v>9000</x:v>
      </x:c>
      <x:c r="J768" s="2" t="n">
        <x:v>5000</x:v>
      </x:c>
      <x:c r="K768" s="2" t="n">
        <x:v>0</x:v>
      </x:c>
      <x:c r="L768" s="2" t="str">
        <x:v>Returned</x:v>
      </x:c>
    </x:row>
    <x:row r="769" ht="21" customHeight="1">
      <x:c r="A769" s="2" t="n">
        <x:v>764</x:v>
      </x:c>
      <x:c r="B769" s="2" t="str">
        <x:v>TXN-00764</x:v>
      </x:c>
      <x:c r="C769" s="2" t="str">
        <x:v>2025-07-06</x:v>
      </x:c>
      <x:c r="D769" s="2" t="str">
        <x:v> lagos </x:v>
      </x:c>
      <x:c r="E769" s="2" t="str">
        <x:v>Home</x:v>
      </x:c>
      <x:c r="F769" s="2" t="str">
        <x:v>Cookware set</x:v>
      </x:c>
      <x:c r="G769" s="2" t="str">
        <x:v>Online</x:v>
      </x:c>
      <x:c r="H769" s="2" t="n">
        <x:v>1</x:v>
      </x:c>
      <x:c r="I769" s="2" t="n">
        <x:v>35000</x:v>
      </x:c>
      <x:c r="J769" s="2" t="n">
        <x:v>22500</x:v>
      </x:c>
      <x:c r="K769" s="2" t="n">
        <x:v>0.05</x:v>
      </x:c>
      <x:c r="L769" s="2" t="str">
        <x:v>Completed</x:v>
      </x:c>
    </x:row>
    <x:row r="770" ht="21" customHeight="1">
      <x:c r="A770" s="2" t="n">
        <x:v>765</x:v>
      </x:c>
      <x:c r="B770" s="2" t="str">
        <x:v>TXN-00765</x:v>
      </x:c>
      <x:c r="C770" s="2" t="str">
        <x:v>2025-07-28</x:v>
      </x:c>
      <x:c r="D770" s="2" t="str">
        <x:v>Lagos</x:v>
      </x:c>
      <x:c r="E770" s="2" t="str">
        <x:v>Electronics</x:v>
      </x:c>
      <x:c r="F770" s="2" t="str">
        <x:v>Power bank</x:v>
      </x:c>
      <x:c r="G770" s="2" t="str">
        <x:v>Online</x:v>
      </x:c>
      <x:c r="H770" s="2" t="n">
        <x:v>1</x:v>
      </x:c>
      <x:c r="I770" s="2" t="n">
        <x:v>15000</x:v>
      </x:c>
      <x:c r="J770" s="2" t="n">
        <x:v>9500</x:v>
      </x:c>
      <x:c r="K770" s="2" t="n">
        <x:v>0</x:v>
      </x:c>
      <x:c r="L770" s="2" t="str">
        <x:v>Completed</x:v>
      </x:c>
    </x:row>
    <x:row r="771" ht="21" customHeight="1">
      <x:c r="A771" s="2" t="n">
        <x:v>766</x:v>
      </x:c>
      <x:c r="B771" s="2" t="str">
        <x:v>TXN-00766</x:v>
      </x:c>
      <x:c r="C771" s="2" t="str">
        <x:v>2025-07-26</x:v>
      </x:c>
      <x:c r="D771" s="2" t="str">
        <x:v>Lagos</x:v>
      </x:c>
      <x:c r="E771" s="2" t="str">
        <x:v>Electronics</x:v>
      </x:c>
      <x:c r="F771" s="2" t="str">
        <x:v>Power bank</x:v>
      </x:c>
      <x:c r="G771" s="2" t="str">
        <x:v>Online</x:v>
      </x:c>
      <x:c r="H771" s="2" t="n">
        <x:v>2</x:v>
      </x:c>
      <x:c r="I771" s="2" t="n">
        <x:v>15000</x:v>
      </x:c>
      <x:c r="J771" s="2" t="n">
        <x:v>9500</x:v>
      </x:c>
      <x:c r="K771" s="2" t="n">
        <x:v>0</x:v>
      </x:c>
      <x:c r="L771" s="2" t="str">
        <x:v> COMPLETED </x:v>
      </x:c>
    </x:row>
    <x:row r="772" ht="21" customHeight="1">
      <x:c r="A772" s="2" t="n">
        <x:v>767</x:v>
      </x:c>
      <x:c r="B772" s="2" t="str">
        <x:v>TXN-00767</x:v>
      </x:c>
      <x:c r="C772" s="2" t="str">
        <x:v>2025-07-11</x:v>
      </x:c>
      <x:c r="D772" s="2" t="str">
        <x:v>Lagos</x:v>
      </x:c>
      <x:c r="E772" s="2" t="str">
        <x:v>Electronics</x:v>
      </x:c>
      <x:c r="F772" s="2" t="str">
        <x:v>Bluetooth speaker</x:v>
      </x:c>
      <x:c r="G772" s="2" t="str">
        <x:v>In-store</x:v>
      </x:c>
      <x:c r="H772" s="2" t="n">
        <x:v>1</x:v>
      </x:c>
      <x:c r="I772" s="2" t="n">
        <x:v>26000</x:v>
      </x:c>
      <x:c r="J772" s="2" t="n">
        <x:v>17000</x:v>
      </x:c>
      <x:c r="K772" s="2" t="str"/>
      <x:c r="L772" s="2" t="str">
        <x:v>Completed</x:v>
      </x:c>
    </x:row>
    <x:row r="773" ht="21" customHeight="1">
      <x:c r="A773" s="2" t="n">
        <x:v>768</x:v>
      </x:c>
      <x:c r="B773" s="2" t="str">
        <x:v>TXN-00768</x:v>
      </x:c>
      <x:c r="C773" s="2" t="str">
        <x:v>2025-07-01</x:v>
      </x:c>
      <x:c r="D773" s="2" t="str">
        <x:v>Lagos</x:v>
      </x:c>
      <x:c r="E773" s="2" t="str">
        <x:v>Beauty</x:v>
      </x:c>
      <x:c r="F773" s="2" t="str">
        <x:v>Perfume</x:v>
      </x:c>
      <x:c r="G773" s="2" t="str">
        <x:v>Online</x:v>
      </x:c>
      <x:c r="H773" s="2" t="n">
        <x:v>2</x:v>
      </x:c>
      <x:c r="I773" s="2" t="n">
        <x:v>17000</x:v>
      </x:c>
      <x:c r="J773" s="2" t="n">
        <x:v>9000</x:v>
      </x:c>
      <x:c r="K773" s="2" t="n">
        <x:v>0</x:v>
      </x:c>
      <x:c r="L773" s="2" t="str">
        <x:v>Completed</x:v>
      </x:c>
    </x:row>
    <x:row r="774" ht="21" customHeight="1">
      <x:c r="A774" s="2" t="n">
        <x:v>769</x:v>
      </x:c>
      <x:c r="B774" s="2" t="str">
        <x:v>TXN-00769</x:v>
      </x:c>
      <x:c r="C774" s="2" t="str">
        <x:v>2025-07-01</x:v>
      </x:c>
      <x:c r="D774" s="2" t="str">
        <x:v>Lagos</x:v>
      </x:c>
      <x:c r="E774" s="2" t="str">
        <x:v>Electronics</x:v>
      </x:c>
      <x:c r="F774" s="2" t="str">
        <x:v>Power bank</x:v>
      </x:c>
      <x:c r="G774" s="2" t="str">
        <x:v>Online</x:v>
      </x:c>
      <x:c r="H774" s="2" t="n">
        <x:v>1</x:v>
      </x:c>
      <x:c r="I774" s="2" t="n">
        <x:v>15000</x:v>
      </x:c>
      <x:c r="J774" s="2" t="n">
        <x:v>9500</x:v>
      </x:c>
      <x:c r="K774" s="2" t="n">
        <x:v>0.1</x:v>
      </x:c>
      <x:c r="L774" s="2" t="str">
        <x:v>Completed</x:v>
      </x:c>
    </x:row>
    <x:row r="775" ht="21" customHeight="1">
      <x:c r="A775" s="2" t="n">
        <x:v>770</x:v>
      </x:c>
      <x:c r="B775" s="2" t="str">
        <x:v>TXN-00770</x:v>
      </x:c>
      <x:c r="C775" s="2" t="str">
        <x:v>2025-07-07</x:v>
      </x:c>
      <x:c r="D775" s="2" t="str">
        <x:v>Port Harcourt</x:v>
      </x:c>
      <x:c r="E775" s="2" t="str">
        <x:v>Electronics</x:v>
      </x:c>
      <x:c r="F775" s="2" t="str">
        <x:v>Bluetooth speaker</x:v>
      </x:c>
      <x:c r="G775" s="2" t="str">
        <x:v>Online</x:v>
      </x:c>
      <x:c r="H775" s="2" t="n">
        <x:v>1</x:v>
      </x:c>
      <x:c r="I775" s="2" t="n">
        <x:v>26000</x:v>
      </x:c>
      <x:c r="J775" s="2" t="n">
        <x:v>17000</x:v>
      </x:c>
      <x:c r="K775" s="2" t="n">
        <x:v>0.15</x:v>
      </x:c>
      <x:c r="L775" s="2" t="str">
        <x:v>Completed</x:v>
      </x:c>
    </x:row>
    <x:row r="776" ht="21" customHeight="1">
      <x:c r="A776" s="2" t="n">
        <x:v>771</x:v>
      </x:c>
      <x:c r="B776" s="2" t="str">
        <x:v>TXN-00771</x:v>
      </x:c>
      <x:c r="C776" s="2" t="str">
        <x:v>2025-07-27</x:v>
      </x:c>
      <x:c r="D776" s="2" t="str">
        <x:v> kano </x:v>
      </x:c>
      <x:c r="E776" s="2" t="str">
        <x:v>Beauty</x:v>
      </x:c>
      <x:c r="F776" s="2" t="str">
        <x:v>Body wash</x:v>
      </x:c>
      <x:c r="G776" s="2" t="str">
        <x:v> online </x:v>
      </x:c>
      <x:c r="H776" s="2" t="n">
        <x:v>1</x:v>
      </x:c>
      <x:c r="I776" s="2" t="n">
        <x:v>4500</x:v>
      </x:c>
      <x:c r="J776" s="2" t="n">
        <x:v>2300</x:v>
      </x:c>
      <x:c r="K776" s="2" t="n">
        <x:v>0</x:v>
      </x:c>
      <x:c r="L776" s="2" t="str">
        <x:v>Completed</x:v>
      </x:c>
    </x:row>
    <x:row r="777" ht="21" customHeight="1">
      <x:c r="A777" s="2" t="n">
        <x:v>772</x:v>
      </x:c>
      <x:c r="B777" s="2" t="str">
        <x:v>TXN-00772</x:v>
      </x:c>
      <x:c r="C777" s="2" t="str">
        <x:v>2025-07-28</x:v>
      </x:c>
      <x:c r="D777" s="2" t="str">
        <x:v>Abuja</x:v>
      </x:c>
      <x:c r="E777" s="2" t="str">
        <x:v>Fashion</x:v>
      </x:c>
      <x:c r="F777" s="2" t="str">
        <x:v>T-shirt</x:v>
      </x:c>
      <x:c r="G777" s="2" t="str">
        <x:v>Online</x:v>
      </x:c>
      <x:c r="H777" s="2" t="n">
        <x:v>1</x:v>
      </x:c>
      <x:c r="I777" s="2" t="n">
        <x:v>9000</x:v>
      </x:c>
      <x:c r="J777" s="2" t="n">
        <x:v>5000</x:v>
      </x:c>
      <x:c r="K777" s="2" t="n">
        <x:v>0</x:v>
      </x:c>
      <x:c r="L777" s="2" t="str">
        <x:v>Completed</x:v>
      </x:c>
    </x:row>
    <x:row r="778" ht="21" customHeight="1">
      <x:c r="A778" s="2" t="n">
        <x:v>773</x:v>
      </x:c>
      <x:c r="B778" s="2" t="str">
        <x:v>TXN-00773</x:v>
      </x:c>
      <x:c r="C778" s="2" t="str">
        <x:v>2025-07-14</x:v>
      </x:c>
      <x:c r="D778" s="2" t="str">
        <x:v>Lagos</x:v>
      </x:c>
      <x:c r="E778" s="2" t="str">
        <x:v>Home</x:v>
      </x:c>
      <x:c r="F778" s="2" t="str">
        <x:v>Cookware set</x:v>
      </x:c>
      <x:c r="G778" s="2" t="str">
        <x:v>In-store</x:v>
      </x:c>
      <x:c r="H778" s="2" t="n">
        <x:v>1</x:v>
      </x:c>
      <x:c r="I778" s="2" t="n">
        <x:v>35000</x:v>
      </x:c>
      <x:c r="J778" s="2" t="n">
        <x:v>22500</x:v>
      </x:c>
      <x:c r="K778" s="2" t="n">
        <x:v>0.05</x:v>
      </x:c>
      <x:c r="L778" s="2" t="str">
        <x:v>Completed</x:v>
      </x:c>
    </x:row>
    <x:row r="779" ht="21" customHeight="1">
      <x:c r="A779" s="2" t="n">
        <x:v>774</x:v>
      </x:c>
      <x:c r="B779" s="2" t="str">
        <x:v>TXN-00774</x:v>
      </x:c>
      <x:c r="C779" s="2" t="str">
        <x:v>2025-07-05</x:v>
      </x:c>
      <x:c r="D779" s="2" t="str">
        <x:v>Kano</x:v>
      </x:c>
      <x:c r="E779" s="2" t="str">
        <x:v>Fashion</x:v>
      </x:c>
      <x:c r="F779" s="2" t="str">
        <x:v>Sneakers</x:v>
      </x:c>
      <x:c r="G779" s="2" t="str">
        <x:v>In-store</x:v>
      </x:c>
      <x:c r="H779" s="2" t="n">
        <x:v>2</x:v>
      </x:c>
      <x:c r="I779" s="2" t="n">
        <x:v>28000</x:v>
      </x:c>
      <x:c r="J779" s="2" t="n">
        <x:v>17500</x:v>
      </x:c>
      <x:c r="K779" s="2" t="n">
        <x:v>0.05</x:v>
      </x:c>
      <x:c r="L779" s="2" t="str">
        <x:v>Completed</x:v>
      </x:c>
    </x:row>
    <x:row r="780" ht="21" customHeight="1">
      <x:c r="A780" s="2" t="n">
        <x:v>775</x:v>
      </x:c>
      <x:c r="B780" s="2" t="str">
        <x:v>TXN-00775</x:v>
      </x:c>
      <x:c r="C780" s="2" t="str">
        <x:v>2025-07-01</x:v>
      </x:c>
      <x:c r="D780" s="2" t="str">
        <x:v>Kano</x:v>
      </x:c>
      <x:c r="E780" s="2" t="str">
        <x:v>Beauty</x:v>
      </x:c>
      <x:c r="F780" s="2" t="str">
        <x:v>Moisturizer</x:v>
      </x:c>
      <x:c r="G780" s="2" t="str">
        <x:v>Online</x:v>
      </x:c>
      <x:c r="H780" s="2" t="n">
        <x:v>1</x:v>
      </x:c>
      <x:c r="I780" s="2" t="n">
        <x:v>6500</x:v>
      </x:c>
      <x:c r="J780" s="2" t="n">
        <x:v>3500</x:v>
      </x:c>
      <x:c r="K780" s="2" t="n">
        <x:v>0</x:v>
      </x:c>
      <x:c r="L780" s="2" t="str">
        <x:v> COMPLETED </x:v>
      </x:c>
    </x:row>
    <x:row r="781" ht="21" customHeight="1">
      <x:c r="A781" s="2" t="n">
        <x:v>776</x:v>
      </x:c>
      <x:c r="B781" s="2" t="str">
        <x:v>TXN-00776</x:v>
      </x:c>
      <x:c r="C781" s="2" t="str">
        <x:v>2025-07-16</x:v>
      </x:c>
      <x:c r="D781" s="2" t="str">
        <x:v>Kano</x:v>
      </x:c>
      <x:c r="E781" s="2" t="str">
        <x:v>Electronics</x:v>
      </x:c>
      <x:c r="F781" s="2" t="str">
        <x:v>Power bank</x:v>
      </x:c>
      <x:c r="G781" s="2" t="str">
        <x:v>Online</x:v>
      </x:c>
      <x:c r="H781" s="2" t="n">
        <x:v>1</x:v>
      </x:c>
      <x:c r="I781" s="2" t="n">
        <x:v>15000</x:v>
      </x:c>
      <x:c r="J781" s="2" t="n">
        <x:v>9500</x:v>
      </x:c>
      <x:c r="K781" s="2" t="n">
        <x:v>0.1</x:v>
      </x:c>
      <x:c r="L781" s="2" t="str">
        <x:v>Completed</x:v>
      </x:c>
    </x:row>
    <x:row r="782" ht="21" customHeight="1">
      <x:c r="A782" s="2" t="n">
        <x:v>777</x:v>
      </x:c>
      <x:c r="B782" s="2" t="str">
        <x:v>TXN-00777</x:v>
      </x:c>
      <x:c r="C782" s="2" t="str">
        <x:v>2025-07-05</x:v>
      </x:c>
      <x:c r="D782" s="2" t="str">
        <x:v>Kano</x:v>
      </x:c>
      <x:c r="E782" s="2" t="str">
        <x:v>Home</x:v>
      </x:c>
      <x:c r="F782" s="2" t="str">
        <x:v>Desk lamp</x:v>
      </x:c>
      <x:c r="G782" s="2" t="str">
        <x:v>Online</x:v>
      </x:c>
      <x:c r="H782" s="2" t="n">
        <x:v>3</x:v>
      </x:c>
      <x:c r="I782" s="2" t="n">
        <x:v>12000</x:v>
      </x:c>
      <x:c r="J782" s="2" t="n">
        <x:v>7200</x:v>
      </x:c>
      <x:c r="K782" s="2" t="n">
        <x:v>0</x:v>
      </x:c>
      <x:c r="L782" s="2" t="str">
        <x:v>Completed</x:v>
      </x:c>
    </x:row>
    <x:row r="783" ht="21" customHeight="1">
      <x:c r="A783" s="2" t="n">
        <x:v>778</x:v>
      </x:c>
      <x:c r="B783" s="2" t="str">
        <x:v>TXN-00778</x:v>
      </x:c>
      <x:c r="C783" s="2" t="str">
        <x:v>2025-07-05</x:v>
      </x:c>
      <x:c r="D783" s="2" t="str">
        <x:v> abuja </x:v>
      </x:c>
      <x:c r="E783" s="2" t="str">
        <x:v>Beauty</x:v>
      </x:c>
      <x:c r="F783" s="2" t="str">
        <x:v>Perfume</x:v>
      </x:c>
      <x:c r="G783" s="2" t="str">
        <x:v>In-store</x:v>
      </x:c>
      <x:c r="H783" s="2" t="n">
        <x:v>1</x:v>
      </x:c>
      <x:c r="I783" s="2" t="n">
        <x:v>17000</x:v>
      </x:c>
      <x:c r="J783" s="2" t="n">
        <x:v>9000</x:v>
      </x:c>
      <x:c r="K783" s="2" t="n">
        <x:v>0</x:v>
      </x:c>
      <x:c r="L783" s="2" t="str">
        <x:v>Completed</x:v>
      </x:c>
    </x:row>
    <x:row r="784" ht="21" customHeight="1">
      <x:c r="A784" s="2" t="n">
        <x:v>779</x:v>
      </x:c>
      <x:c r="B784" s="2" t="str">
        <x:v>TXN-00779</x:v>
      </x:c>
      <x:c r="C784" s="2" t="str">
        <x:v>2025-07-01</x:v>
      </x:c>
      <x:c r="D784" s="2" t="str">
        <x:v>Port Harcourt</x:v>
      </x:c>
      <x:c r="E784" s="2" t="str">
        <x:v>Beauty</x:v>
      </x:c>
      <x:c r="F784" s="2" t="str">
        <x:v>Moisturizer</x:v>
      </x:c>
      <x:c r="G784" s="2" t="str">
        <x:v>In-store</x:v>
      </x:c>
      <x:c r="H784" s="2" t="n">
        <x:v>1</x:v>
      </x:c>
      <x:c r="I784" s="2" t="n">
        <x:v>6500</x:v>
      </x:c>
      <x:c r="J784" s="2" t="n">
        <x:v>3500</x:v>
      </x:c>
      <x:c r="K784" s="2" t="n">
        <x:v>0</x:v>
      </x:c>
      <x:c r="L784" s="2" t="str">
        <x:v>Completed</x:v>
      </x:c>
    </x:row>
    <x:row r="785" ht="21" customHeight="1">
      <x:c r="A785" s="2" t="n">
        <x:v>780</x:v>
      </x:c>
      <x:c r="B785" s="2" t="str">
        <x:v>TXN-00780</x:v>
      </x:c>
      <x:c r="C785" s="2" t="str">
        <x:v>2025-07-08</x:v>
      </x:c>
      <x:c r="D785" s="2" t="str">
        <x:v>Lagos</x:v>
      </x:c>
      <x:c r="E785" s="2" t="str">
        <x:v>Beauty</x:v>
      </x:c>
      <x:c r="F785" s="2" t="str">
        <x:v>Perfume</x:v>
      </x:c>
      <x:c r="G785" s="2" t="str">
        <x:v>In-store</x:v>
      </x:c>
      <x:c r="H785" s="2" t="n">
        <x:v>1</x:v>
      </x:c>
      <x:c r="I785" s="2" t="n">
        <x:v>17000</x:v>
      </x:c>
      <x:c r="J785" s="2" t="n">
        <x:v>9000</x:v>
      </x:c>
      <x:c r="K785" s="2" t="n">
        <x:v>0</x:v>
      </x:c>
      <x:c r="L785" s="2" t="str">
        <x:v>Completed</x:v>
      </x:c>
    </x:row>
    <x:row r="786" ht="21" customHeight="1">
      <x:c r="A786" s="2" t="n">
        <x:v>781</x:v>
      </x:c>
      <x:c r="B786" s="2" t="str">
        <x:v>TXN-00781</x:v>
      </x:c>
      <x:c r="C786" s="2" t="str">
        <x:v>2025-07-20</x:v>
      </x:c>
      <x:c r="D786" s="2" t="str">
        <x:v>Port Harcourt</x:v>
      </x:c>
      <x:c r="E786" s="2" t="str">
        <x:v>Electronics</x:v>
      </x:c>
      <x:c r="F786" s="2" t="str">
        <x:v>Headphones</x:v>
      </x:c>
      <x:c r="G786" s="2" t="str">
        <x:v>In-store</x:v>
      </x:c>
      <x:c r="H786" s="2" t="n">
        <x:v>1</x:v>
      </x:c>
      <x:c r="I786" s="2" t="n">
        <x:v>18000</x:v>
      </x:c>
      <x:c r="J786" s="2" t="n">
        <x:v>10500</x:v>
      </x:c>
      <x:c r="K786" s="2" t="n">
        <x:v>0.05</x:v>
      </x:c>
      <x:c r="L786" s="2" t="str">
        <x:v>Completed</x:v>
      </x:c>
    </x:row>
    <x:row r="787" ht="21" customHeight="1">
      <x:c r="A787" s="2" t="n">
        <x:v>782</x:v>
      </x:c>
      <x:c r="B787" s="2" t="str">
        <x:v>TXN-00782</x:v>
      </x:c>
      <x:c r="C787" s="2" t="str">
        <x:v>2025-08-23</x:v>
      </x:c>
      <x:c r="D787" s="2" t="str">
        <x:v>Lagos</x:v>
      </x:c>
      <x:c r="E787" s="2" t="str">
        <x:v>Electronics</x:v>
      </x:c>
      <x:c r="F787" s="2" t="str">
        <x:v>Headphones</x:v>
      </x:c>
      <x:c r="G787" s="2" t="str">
        <x:v> online </x:v>
      </x:c>
      <x:c r="H787" s="2" t="n">
        <x:v>1</x:v>
      </x:c>
      <x:c r="I787" s="2" t="n">
        <x:v>18000</x:v>
      </x:c>
      <x:c r="J787" s="2" t="n">
        <x:v>10500</x:v>
      </x:c>
      <x:c r="K787" s="2" t="n">
        <x:v>0</x:v>
      </x:c>
      <x:c r="L787" s="2" t="str">
        <x:v>Completed</x:v>
      </x:c>
    </x:row>
    <x:row r="788" ht="21" customHeight="1">
      <x:c r="A788" s="2" t="n">
        <x:v>783</x:v>
      </x:c>
      <x:c r="B788" s="2" t="str">
        <x:v>TXN-00783</x:v>
      </x:c>
      <x:c r="C788" s="2" t="str">
        <x:v>2025-08-23</x:v>
      </x:c>
      <x:c r="D788" s="2" t="str">
        <x:v>Port Harcourt</x:v>
      </x:c>
      <x:c r="E788" s="2" t="str">
        <x:v>Beauty</x:v>
      </x:c>
      <x:c r="F788" s="2" t="str">
        <x:v>Body wash</x:v>
      </x:c>
      <x:c r="G788" s="2" t="str">
        <x:v>In-store</x:v>
      </x:c>
      <x:c r="H788" s="2" t="n">
        <x:v>1</x:v>
      </x:c>
      <x:c r="I788" s="2" t="n">
        <x:v>4500</x:v>
      </x:c>
      <x:c r="J788" s="2" t="n">
        <x:v>2300</x:v>
      </x:c>
      <x:c r="K788" s="2" t="n">
        <x:v>0.05</x:v>
      </x:c>
      <x:c r="L788" s="2" t="str">
        <x:v>Completed</x:v>
      </x:c>
    </x:row>
    <x:row r="789" ht="21" customHeight="1">
      <x:c r="A789" s="2" t="n">
        <x:v>784</x:v>
      </x:c>
      <x:c r="B789" s="2" t="str">
        <x:v>TXN-00784</x:v>
      </x:c>
      <x:c r="C789" s="2" t="str">
        <x:v>2025-08-12</x:v>
      </x:c>
      <x:c r="D789" s="2" t="str">
        <x:v>Abuja</x:v>
      </x:c>
      <x:c r="E789" s="2" t="str">
        <x:v>Home</x:v>
      </x:c>
      <x:c r="F789" s="2" t="str">
        <x:v>Desk lamp</x:v>
      </x:c>
      <x:c r="G789" s="2" t="str">
        <x:v>Online</x:v>
      </x:c>
      <x:c r="H789" s="2" t="n">
        <x:v>1</x:v>
      </x:c>
      <x:c r="I789" s="2" t="n">
        <x:v>12000</x:v>
      </x:c>
      <x:c r="J789" s="2" t="n">
        <x:v>7200</x:v>
      </x:c>
      <x:c r="K789" s="2" t="n">
        <x:v>0</x:v>
      </x:c>
      <x:c r="L789" s="2" t="str">
        <x:v> COMPLETED </x:v>
      </x:c>
    </x:row>
    <x:row r="790" ht="21" customHeight="1">
      <x:c r="A790" s="2" t="n">
        <x:v>785</x:v>
      </x:c>
      <x:c r="B790" s="2" t="str">
        <x:v>TXN-00785</x:v>
      </x:c>
      <x:c r="C790" s="2" t="str">
        <x:v>2025-08-30</x:v>
      </x:c>
      <x:c r="D790" s="2" t="str">
        <x:v> lagos </x:v>
      </x:c>
      <x:c r="E790" s="2" t="str">
        <x:v>Electronics</x:v>
      </x:c>
      <x:c r="F790" s="2" t="str">
        <x:v>Power bank</x:v>
      </x:c>
      <x:c r="G790" s="2" t="str">
        <x:v>Online</x:v>
      </x:c>
      <x:c r="H790" s="2" t="n">
        <x:v>2</x:v>
      </x:c>
      <x:c r="I790" s="2" t="n">
        <x:v>15000</x:v>
      </x:c>
      <x:c r="J790" s="2" t="n">
        <x:v>9500</x:v>
      </x:c>
      <x:c r="K790" s="2" t="n">
        <x:v>0.15</x:v>
      </x:c>
      <x:c r="L790" s="2" t="str">
        <x:v>Completed</x:v>
      </x:c>
    </x:row>
    <x:row r="791" ht="21" customHeight="1">
      <x:c r="A791" s="2" t="n">
        <x:v>786</x:v>
      </x:c>
      <x:c r="B791" s="2" t="str">
        <x:v>TXN-00786</x:v>
      </x:c>
      <x:c r="C791" s="2" t="str">
        <x:v>2025-08-21</x:v>
      </x:c>
      <x:c r="D791" s="2" t="str">
        <x:v>Lagos</x:v>
      </x:c>
      <x:c r="E791" s="2" t="str">
        <x:v>Fashion</x:v>
      </x:c>
      <x:c r="F791" s="2" t="str">
        <x:v>Sneakers</x:v>
      </x:c>
      <x:c r="G791" s="2" t="str">
        <x:v>In-store</x:v>
      </x:c>
      <x:c r="H791" s="2" t="n">
        <x:v>1</x:v>
      </x:c>
      <x:c r="I791" s="2" t="n">
        <x:v>28000</x:v>
      </x:c>
      <x:c r="J791" s="2" t="n">
        <x:v>17500</x:v>
      </x:c>
      <x:c r="K791" s="2" t="n">
        <x:v>0</x:v>
      </x:c>
      <x:c r="L791" s="2" t="str">
        <x:v>Completed</x:v>
      </x:c>
    </x:row>
    <x:row r="792" ht="21" customHeight="1">
      <x:c r="A792" s="2" t="n">
        <x:v>787</x:v>
      </x:c>
      <x:c r="B792" s="2" t="str">
        <x:v>TXN-00787</x:v>
      </x:c>
      <x:c r="C792" s="2" t="str">
        <x:v>2025-08-07</x:v>
      </x:c>
      <x:c r="D792" s="2" t="str">
        <x:v>Kano</x:v>
      </x:c>
      <x:c r="E792" s="2" t="str">
        <x:v>Fashion</x:v>
      </x:c>
      <x:c r="F792" s="2" t="str">
        <x:v>Handbag</x:v>
      </x:c>
      <x:c r="G792" s="2" t="str">
        <x:v>Online</x:v>
      </x:c>
      <x:c r="H792" s="2" t="n">
        <x:v>1</x:v>
      </x:c>
      <x:c r="I792" s="2" t="n">
        <x:v>22000</x:v>
      </x:c>
      <x:c r="J792" s="2" t="n">
        <x:v>13500</x:v>
      </x:c>
      <x:c r="K792" s="2" t="n">
        <x:v>0</x:v>
      </x:c>
      <x:c r="L792" s="2" t="str">
        <x:v>Completed</x:v>
      </x:c>
    </x:row>
    <x:row r="793" ht="21" customHeight="1">
      <x:c r="A793" s="2" t="n">
        <x:v>788</x:v>
      </x:c>
      <x:c r="B793" s="2" t="str">
        <x:v>TXN-00788</x:v>
      </x:c>
      <x:c r="C793" s="2" t="str">
        <x:v>2025-08-18</x:v>
      </x:c>
      <x:c r="D793" s="2" t="str">
        <x:v>Lagos</x:v>
      </x:c>
      <x:c r="E793" s="2" t="str">
        <x:v>Home</x:v>
      </x:c>
      <x:c r="F793" s="2" t="str">
        <x:v>Bedsheet</x:v>
      </x:c>
      <x:c r="G793" s="2" t="str">
        <x:v>Online</x:v>
      </x:c>
      <x:c r="H793" s="2" t="n">
        <x:v>1</x:v>
      </x:c>
      <x:c r="I793" s="2" t="n">
        <x:v>14000</x:v>
      </x:c>
      <x:c r="J793" s="2" t="n">
        <x:v>8500</x:v>
      </x:c>
      <x:c r="K793" s="2" t="n">
        <x:v>0</x:v>
      </x:c>
      <x:c r="L793" s="2" t="str">
        <x:v>Completed</x:v>
      </x:c>
    </x:row>
    <x:row r="794" ht="21" customHeight="1">
      <x:c r="A794" s="2" t="n">
        <x:v>789</x:v>
      </x:c>
      <x:c r="B794" s="2" t="str">
        <x:v>TXN-00789</x:v>
      </x:c>
      <x:c r="C794" s="2" t="str">
        <x:v>2025-08-17</x:v>
      </x:c>
      <x:c r="D794" s="2" t="str">
        <x:v>Abuja</x:v>
      </x:c>
      <x:c r="E794" s="2" t="str">
        <x:v>Home</x:v>
      </x:c>
      <x:c r="F794" s="2" t="str">
        <x:v>Cookware set</x:v>
      </x:c>
      <x:c r="G794" s="2" t="str">
        <x:v>Online</x:v>
      </x:c>
      <x:c r="H794" s="2" t="n">
        <x:v>4</x:v>
      </x:c>
      <x:c r="I794" s="2" t="n">
        <x:v>35000</x:v>
      </x:c>
      <x:c r="J794" s="2" t="n">
        <x:v>22500</x:v>
      </x:c>
      <x:c r="K794" s="2" t="n">
        <x:v>0.05</x:v>
      </x:c>
      <x:c r="L794" s="2" t="str">
        <x:v>Completed</x:v>
      </x:c>
    </x:row>
    <x:row r="795" ht="21" customHeight="1">
      <x:c r="A795" s="2" t="n">
        <x:v>790</x:v>
      </x:c>
      <x:c r="B795" s="2" t="str">
        <x:v>TXN-00790</x:v>
      </x:c>
      <x:c r="C795" s="2" t="str">
        <x:v>2025-08-05</x:v>
      </x:c>
      <x:c r="D795" s="2" t="str">
        <x:v>Port Harcourt</x:v>
      </x:c>
      <x:c r="E795" s="2" t="str">
        <x:v>Beauty</x:v>
      </x:c>
      <x:c r="F795" s="2" t="str">
        <x:v>Perfume</x:v>
      </x:c>
      <x:c r="G795" s="2" t="str">
        <x:v>Online</x:v>
      </x:c>
      <x:c r="H795" s="2" t="n">
        <x:v>1</x:v>
      </x:c>
      <x:c r="I795" s="2" t="n">
        <x:v>17000</x:v>
      </x:c>
      <x:c r="J795" s="2" t="n">
        <x:v>9000</x:v>
      </x:c>
      <x:c r="K795" s="2" t="n">
        <x:v>0</x:v>
      </x:c>
      <x:c r="L795" s="2" t="str">
        <x:v>Completed</x:v>
      </x:c>
    </x:row>
    <x:row r="796" ht="21" customHeight="1">
      <x:c r="A796" s="2" t="n">
        <x:v>791</x:v>
      </x:c>
      <x:c r="B796" s="2" t="str">
        <x:v>TXN-00791</x:v>
      </x:c>
      <x:c r="C796" s="2" t="str">
        <x:v>2025-08-01</x:v>
      </x:c>
      <x:c r="D796" s="2" t="str">
        <x:v>Lagos</x:v>
      </x:c>
      <x:c r="E796" s="2" t="str">
        <x:v>Beauty</x:v>
      </x:c>
      <x:c r="F796" s="2" t="str">
        <x:v>Perfume</x:v>
      </x:c>
      <x:c r="G796" s="2" t="str">
        <x:v>In-store</x:v>
      </x:c>
      <x:c r="H796" s="2" t="n">
        <x:v>2</x:v>
      </x:c>
      <x:c r="I796" s="2" t="n">
        <x:v>17000</x:v>
      </x:c>
      <x:c r="J796" s="2" t="n">
        <x:v>9000</x:v>
      </x:c>
      <x:c r="K796" s="2" t="n">
        <x:v>0</x:v>
      </x:c>
      <x:c r="L796" s="2" t="str">
        <x:v>Completed</x:v>
      </x:c>
    </x:row>
    <x:row r="797" ht="21" customHeight="1">
      <x:c r="A797" s="2" t="n">
        <x:v>792</x:v>
      </x:c>
      <x:c r="B797" s="2" t="str">
        <x:v>TXN-00792</x:v>
      </x:c>
      <x:c r="C797" s="2" t="str">
        <x:v>2025-08-04</x:v>
      </x:c>
      <x:c r="D797" s="2" t="str">
        <x:v> lagos </x:v>
      </x:c>
      <x:c r="E797" s="2" t="str">
        <x:v>Electronics</x:v>
      </x:c>
      <x:c r="F797" s="2" t="str">
        <x:v>Bluetooth speaker</x:v>
      </x:c>
      <x:c r="G797" s="2" t="str">
        <x:v>Online</x:v>
      </x:c>
      <x:c r="H797" s="2" t="n">
        <x:v>1</x:v>
      </x:c>
      <x:c r="I797" s="2" t="n">
        <x:v>26000</x:v>
      </x:c>
      <x:c r="J797" s="2" t="n">
        <x:v>17000</x:v>
      </x:c>
      <x:c r="K797" s="2" t="n">
        <x:v>0</x:v>
      </x:c>
      <x:c r="L797" s="2" t="str">
        <x:v>Completed</x:v>
      </x:c>
    </x:row>
    <x:row r="798" ht="21" customHeight="1">
      <x:c r="A798" s="2" t="n">
        <x:v>793</x:v>
      </x:c>
      <x:c r="B798" s="2" t="str">
        <x:v>TXN-00793</x:v>
      </x:c>
      <x:c r="C798" s="2" t="str">
        <x:v>2025-08-24</x:v>
      </x:c>
      <x:c r="D798" s="2" t="str">
        <x:v>Lagos</x:v>
      </x:c>
      <x:c r="E798" s="2" t="str">
        <x:v>Beauty</x:v>
      </x:c>
      <x:c r="F798" s="2" t="str">
        <x:v>Moisturizer</x:v>
      </x:c>
      <x:c r="G798" s="2" t="str">
        <x:v> in-store </x:v>
      </x:c>
      <x:c r="H798" s="2" t="n">
        <x:v>1</x:v>
      </x:c>
      <x:c r="I798" s="2" t="n">
        <x:v>6500</x:v>
      </x:c>
      <x:c r="J798" s="2" t="n">
        <x:v>3500</x:v>
      </x:c>
      <x:c r="K798" s="2" t="n">
        <x:v>0</x:v>
      </x:c>
      <x:c r="L798" s="2" t="str">
        <x:v> COMPLETED </x:v>
      </x:c>
    </x:row>
    <x:row r="799" ht="21" customHeight="1">
      <x:c r="A799" s="2" t="n">
        <x:v>794</x:v>
      </x:c>
      <x:c r="B799" s="2" t="str">
        <x:v>TXN-00794</x:v>
      </x:c>
      <x:c r="C799" s="2" t="str">
        <x:v>2025-08-21</x:v>
      </x:c>
      <x:c r="D799" s="2" t="str">
        <x:v>Lagos</x:v>
      </x:c>
      <x:c r="E799" s="2" t="str">
        <x:v>Electronics</x:v>
      </x:c>
      <x:c r="F799" s="2" t="str">
        <x:v>Headphones</x:v>
      </x:c>
      <x:c r="G799" s="2" t="str">
        <x:v>In-store</x:v>
      </x:c>
      <x:c r="H799" s="2" t="n">
        <x:v>1</x:v>
      </x:c>
      <x:c r="I799" s="2" t="n">
        <x:v>18000</x:v>
      </x:c>
      <x:c r="J799" s="2" t="n">
        <x:v>10500</x:v>
      </x:c>
      <x:c r="K799" s="2" t="n">
        <x:v>0</x:v>
      </x:c>
      <x:c r="L799" s="2" t="str">
        <x:v>Completed</x:v>
      </x:c>
    </x:row>
    <x:row r="800" ht="21" customHeight="1">
      <x:c r="A800" s="2" t="n">
        <x:v>795</x:v>
      </x:c>
      <x:c r="B800" s="2" t="str">
        <x:v>TXN-00795</x:v>
      </x:c>
      <x:c r="C800" s="2" t="str">
        <x:v>2025-08-30</x:v>
      </x:c>
      <x:c r="D800" s="2" t="str">
        <x:v>Lagos</x:v>
      </x:c>
      <x:c r="E800" s="2" t="str">
        <x:v>Fashion</x:v>
      </x:c>
      <x:c r="F800" s="2" t="str">
        <x:v>T-shirt</x:v>
      </x:c>
      <x:c r="G800" s="2" t="str">
        <x:v>In-store</x:v>
      </x:c>
      <x:c r="H800" s="2" t="n">
        <x:v>1</x:v>
      </x:c>
      <x:c r="I800" s="2" t="n">
        <x:v>9000</x:v>
      </x:c>
      <x:c r="J800" s="2" t="n">
        <x:v>5000</x:v>
      </x:c>
      <x:c r="K800" s="2" t="n">
        <x:v>0</x:v>
      </x:c>
      <x:c r="L800" s="2" t="str">
        <x:v>Completed</x:v>
      </x:c>
    </x:row>
    <x:row r="801" ht="21" customHeight="1">
      <x:c r="A801" s="2" t="n">
        <x:v>796</x:v>
      </x:c>
      <x:c r="B801" s="2" t="str">
        <x:v>TXN-00796</x:v>
      </x:c>
      <x:c r="C801" s="2" t="str">
        <x:v>2025-08-03</x:v>
      </x:c>
      <x:c r="D801" s="2" t="str">
        <x:v>Port Harcourt</x:v>
      </x:c>
      <x:c r="E801" s="2" t="str">
        <x:v>Electronics</x:v>
      </x:c>
      <x:c r="F801" s="2" t="str">
        <x:v>Headphones</x:v>
      </x:c>
      <x:c r="G801" s="2" t="str">
        <x:v>Online</x:v>
      </x:c>
      <x:c r="H801" s="2" t="n">
        <x:v>2</x:v>
      </x:c>
      <x:c r="I801" s="2" t="n">
        <x:v>18000</x:v>
      </x:c>
      <x:c r="J801" s="2" t="n">
        <x:v>10500</x:v>
      </x:c>
      <x:c r="K801" s="2" t="str"/>
      <x:c r="L801" s="2" t="str">
        <x:v>Completed</x:v>
      </x:c>
    </x:row>
    <x:row r="802" ht="21" customHeight="1">
      <x:c r="A802" s="2" t="n">
        <x:v>797</x:v>
      </x:c>
      <x:c r="B802" s="2" t="str">
        <x:v>TXN-00797</x:v>
      </x:c>
      <x:c r="C802" s="2" t="str">
        <x:v>2025-08-09</x:v>
      </x:c>
      <x:c r="D802" s="2" t="str">
        <x:v>Abuja</x:v>
      </x:c>
      <x:c r="E802" s="2" t="str">
        <x:v>Beauty</x:v>
      </x:c>
      <x:c r="F802" s="2" t="str">
        <x:v>Perfume</x:v>
      </x:c>
      <x:c r="G802" s="2" t="str">
        <x:v>Online</x:v>
      </x:c>
      <x:c r="H802" s="2" t="n">
        <x:v>1</x:v>
      </x:c>
      <x:c r="I802" s="2" t="n">
        <x:v>17000</x:v>
      </x:c>
      <x:c r="J802" s="2" t="n">
        <x:v>9000</x:v>
      </x:c>
      <x:c r="K802" s="2" t="n">
        <x:v>0</x:v>
      </x:c>
      <x:c r="L802" s="2" t="str">
        <x:v>Completed</x:v>
      </x:c>
    </x:row>
    <x:row r="803" ht="21" customHeight="1">
      <x:c r="A803" s="2" t="n">
        <x:v>798</x:v>
      </x:c>
      <x:c r="B803" s="2" t="str">
        <x:v>TXN-00798</x:v>
      </x:c>
      <x:c r="C803" s="2" t="str">
        <x:v>2025-08-04</x:v>
      </x:c>
      <x:c r="D803" s="2" t="str">
        <x:v>Lagos</x:v>
      </x:c>
      <x:c r="E803" s="2" t="str">
        <x:v>Fashion</x:v>
      </x:c>
      <x:c r="F803" s="2" t="str">
        <x:v>Sneakers</x:v>
      </x:c>
      <x:c r="G803" s="2" t="str">
        <x:v>Online</x:v>
      </x:c>
      <x:c r="H803" s="2" t="n">
        <x:v>1</x:v>
      </x:c>
      <x:c r="I803" s="2" t="n">
        <x:v>28000</x:v>
      </x:c>
      <x:c r="J803" s="2" t="n">
        <x:v>17500</x:v>
      </x:c>
      <x:c r="K803" s="2" t="n">
        <x:v>0.05</x:v>
      </x:c>
      <x:c r="L803" s="2" t="str">
        <x:v>Completed</x:v>
      </x:c>
    </x:row>
    <x:row r="804" ht="21" customHeight="1">
      <x:c r="A804" s="2" t="n">
        <x:v>799</x:v>
      </x:c>
      <x:c r="B804" s="2" t="str">
        <x:v>TXN-00799</x:v>
      </x:c>
      <x:c r="C804" s="2" t="str">
        <x:v>2025-08-13</x:v>
      </x:c>
      <x:c r="D804" s="2" t="str">
        <x:v> kano </x:v>
      </x:c>
      <x:c r="E804" s="2" t="str">
        <x:v>Beauty</x:v>
      </x:c>
      <x:c r="F804" s="2" t="str">
        <x:v>Body wash</x:v>
      </x:c>
      <x:c r="G804" s="2" t="str">
        <x:v>Online</x:v>
      </x:c>
      <x:c r="H804" s="2" t="n">
        <x:v>1</x:v>
      </x:c>
      <x:c r="I804" s="2" t="n">
        <x:v>4500</x:v>
      </x:c>
      <x:c r="J804" s="2" t="n">
        <x:v>2300</x:v>
      </x:c>
      <x:c r="K804" s="2" t="n">
        <x:v>0.05</x:v>
      </x:c>
      <x:c r="L804" s="2" t="str">
        <x:v>Completed</x:v>
      </x:c>
    </x:row>
    <x:row r="805" ht="21" customHeight="1">
      <x:c r="A805" s="2" t="n">
        <x:v>800</x:v>
      </x:c>
      <x:c r="B805" s="2" t="str">
        <x:v>TXN-00800</x:v>
      </x:c>
      <x:c r="C805" s="2" t="str">
        <x:v>2025-08-15</x:v>
      </x:c>
      <x:c r="D805" s="2" t="str">
        <x:v>Lagos</x:v>
      </x:c>
      <x:c r="E805" s="2" t="str">
        <x:v>Fashion</x:v>
      </x:c>
      <x:c r="F805" s="2" t="str">
        <x:v>T-shirt</x:v>
      </x:c>
      <x:c r="G805" s="2" t="str">
        <x:v>Online</x:v>
      </x:c>
      <x:c r="H805" s="2" t="n">
        <x:v>1</x:v>
      </x:c>
      <x:c r="I805" s="2" t="n">
        <x:v>9000</x:v>
      </x:c>
      <x:c r="J805" s="2" t="n">
        <x:v>5000</x:v>
      </x:c>
      <x:c r="K805" s="2" t="n">
        <x:v>0.15</x:v>
      </x:c>
      <x:c r="L805" s="2" t="str">
        <x:v>Completed</x:v>
      </x:c>
    </x:row>
    <x:row r="806" ht="21" customHeight="1">
      <x:c r="A806" s="2" t="n">
        <x:v>801</x:v>
      </x:c>
      <x:c r="B806" s="2" t="str">
        <x:v>TXN-00801</x:v>
      </x:c>
      <x:c r="C806" s="2" t="str">
        <x:v>2025-08-16</x:v>
      </x:c>
      <x:c r="D806" s="2" t="str">
        <x:v>Lagos</x:v>
      </x:c>
      <x:c r="E806" s="2" t="str">
        <x:v>Beauty</x:v>
      </x:c>
      <x:c r="F806" s="2" t="str">
        <x:v>Body wash</x:v>
      </x:c>
      <x:c r="G806" s="2" t="str">
        <x:v>Online</x:v>
      </x:c>
      <x:c r="H806" s="2" t="n">
        <x:v>1</x:v>
      </x:c>
      <x:c r="I806" s="2" t="n">
        <x:v>4500</x:v>
      </x:c>
      <x:c r="J806" s="2" t="n">
        <x:v>2300</x:v>
      </x:c>
      <x:c r="K806" s="2" t="n">
        <x:v>0.05</x:v>
      </x:c>
      <x:c r="L806" s="2" t="str">
        <x:v>Completed</x:v>
      </x:c>
    </x:row>
    <x:row r="807" ht="21" customHeight="1">
      <x:c r="A807" s="2" t="n">
        <x:v>802</x:v>
      </x:c>
      <x:c r="B807" s="2" t="str">
        <x:v>TXN-00802</x:v>
      </x:c>
      <x:c r="C807" s="2" t="str">
        <x:v>2025-08-10</x:v>
      </x:c>
      <x:c r="D807" s="2" t="str">
        <x:v>Abuja</x:v>
      </x:c>
      <x:c r="E807" s="2" t="str">
        <x:v>Beauty</x:v>
      </x:c>
      <x:c r="F807" s="2" t="str">
        <x:v>Moisturizer</x:v>
      </x:c>
      <x:c r="G807" s="2" t="str">
        <x:v>Online</x:v>
      </x:c>
      <x:c r="H807" s="2" t="n">
        <x:v>1</x:v>
      </x:c>
      <x:c r="I807" s="2" t="n">
        <x:v>6500</x:v>
      </x:c>
      <x:c r="J807" s="2" t="n">
        <x:v>3500</x:v>
      </x:c>
      <x:c r="K807" s="2" t="n">
        <x:v>0</x:v>
      </x:c>
      <x:c r="L807" s="2" t="str">
        <x:v> COMPLETED </x:v>
      </x:c>
    </x:row>
    <x:row r="808" ht="21" customHeight="1">
      <x:c r="A808" s="2" t="n">
        <x:v>803</x:v>
      </x:c>
      <x:c r="B808" s="2" t="str">
        <x:v>TXN-00803</x:v>
      </x:c>
      <x:c r="C808" s="2" t="str">
        <x:v>2025-08-29</x:v>
      </x:c>
      <x:c r="D808" s="2" t="str">
        <x:v>Port Harcourt</x:v>
      </x:c>
      <x:c r="E808" s="2" t="str">
        <x:v>Fashion</x:v>
      </x:c>
      <x:c r="F808" s="2" t="str">
        <x:v>T-shirt</x:v>
      </x:c>
      <x:c r="G808" s="2" t="str">
        <x:v>Online</x:v>
      </x:c>
      <x:c r="H808" s="2" t="n">
        <x:v>1</x:v>
      </x:c>
      <x:c r="I808" s="2" t="n">
        <x:v>9000</x:v>
      </x:c>
      <x:c r="J808" s="2" t="n">
        <x:v>5000</x:v>
      </x:c>
      <x:c r="K808" s="2" t="n">
        <x:v>0</x:v>
      </x:c>
      <x:c r="L808" s="2" t="str">
        <x:v>Returned</x:v>
      </x:c>
    </x:row>
    <x:row r="809" ht="21" customHeight="1">
      <x:c r="A809" s="2" t="n">
        <x:v>804</x:v>
      </x:c>
      <x:c r="B809" s="2" t="str">
        <x:v>TXN-00804</x:v>
      </x:c>
      <x:c r="C809" s="2" t="str">
        <x:v>2025-08-29</x:v>
      </x:c>
      <x:c r="D809" s="2" t="str">
        <x:v>Abuja</x:v>
      </x:c>
      <x:c r="E809" s="2" t="str">
        <x:v>Electronics</x:v>
      </x:c>
      <x:c r="F809" s="2" t="str">
        <x:v>Power bank</x:v>
      </x:c>
      <x:c r="G809" s="2" t="str">
        <x:v> in-store </x:v>
      </x:c>
      <x:c r="H809" s="2" t="n">
        <x:v>1</x:v>
      </x:c>
      <x:c r="I809" s="2" t="n">
        <x:v>15000</x:v>
      </x:c>
      <x:c r="J809" s="2" t="n">
        <x:v>9500</x:v>
      </x:c>
      <x:c r="K809" s="2" t="n">
        <x:v>0</x:v>
      </x:c>
      <x:c r="L809" s="2" t="str">
        <x:v>Completed</x:v>
      </x:c>
    </x:row>
    <x:row r="810" ht="21" customHeight="1">
      <x:c r="A810" s="2" t="n">
        <x:v>805</x:v>
      </x:c>
      <x:c r="B810" s="2" t="str">
        <x:v>TXN-00805</x:v>
      </x:c>
      <x:c r="C810" s="2" t="str">
        <x:v>2025-08-10</x:v>
      </x:c>
      <x:c r="D810" s="2" t="str">
        <x:v>Lagos</x:v>
      </x:c>
      <x:c r="E810" s="2" t="str">
        <x:v>Beauty</x:v>
      </x:c>
      <x:c r="F810" s="2" t="str">
        <x:v>Body wash</x:v>
      </x:c>
      <x:c r="G810" s="2" t="str">
        <x:v>Online</x:v>
      </x:c>
      <x:c r="H810" s="2" t="n">
        <x:v>1</x:v>
      </x:c>
      <x:c r="I810" s="2" t="n">
        <x:v>4500</x:v>
      </x:c>
      <x:c r="J810" s="2" t="n">
        <x:v>2300</x:v>
      </x:c>
      <x:c r="K810" s="2" t="n">
        <x:v>0.1</x:v>
      </x:c>
      <x:c r="L810" s="2" t="str">
        <x:v>Completed</x:v>
      </x:c>
    </x:row>
    <x:row r="811" ht="21" customHeight="1">
      <x:c r="A811" s="2" t="n">
        <x:v>806</x:v>
      </x:c>
      <x:c r="B811" s="2" t="str">
        <x:v>TXN-00806</x:v>
      </x:c>
      <x:c r="C811" s="2" t="str">
        <x:v>2025-08-14</x:v>
      </x:c>
      <x:c r="D811" s="2" t="str">
        <x:v> port harcourt </x:v>
      </x:c>
      <x:c r="E811" s="2" t="str">
        <x:v>Fashion</x:v>
      </x:c>
      <x:c r="F811" s="2" t="str">
        <x:v>T-shirt</x:v>
      </x:c>
      <x:c r="G811" s="2" t="str">
        <x:v>Online</x:v>
      </x:c>
      <x:c r="H811" s="2" t="n">
        <x:v>2</x:v>
      </x:c>
      <x:c r="I811" s="2" t="n">
        <x:v>9000</x:v>
      </x:c>
      <x:c r="J811" s="2" t="n">
        <x:v>5000</x:v>
      </x:c>
      <x:c r="K811" s="2" t="n">
        <x:v>0.1</x:v>
      </x:c>
      <x:c r="L811" s="2" t="str">
        <x:v>Completed</x:v>
      </x:c>
    </x:row>
    <x:row r="812" ht="21" customHeight="1">
      <x:c r="A812" s="2" t="n">
        <x:v>807</x:v>
      </x:c>
      <x:c r="B812" s="2" t="str">
        <x:v>TXN-00807</x:v>
      </x:c>
      <x:c r="C812" s="2" t="str">
        <x:v>2025-08-16</x:v>
      </x:c>
      <x:c r="D812" s="2" t="str">
        <x:v>Lagos</x:v>
      </x:c>
      <x:c r="E812" s="2" t="str">
        <x:v>Home</x:v>
      </x:c>
      <x:c r="F812" s="2" t="str">
        <x:v>Bedsheet</x:v>
      </x:c>
      <x:c r="G812" s="2" t="str">
        <x:v>In-store</x:v>
      </x:c>
      <x:c r="H812" s="2" t="n">
        <x:v>4</x:v>
      </x:c>
      <x:c r="I812" s="2" t="n">
        <x:v>14000</x:v>
      </x:c>
      <x:c r="J812" s="2" t="n">
        <x:v>8500</x:v>
      </x:c>
      <x:c r="K812" s="2" t="n">
        <x:v>0.05</x:v>
      </x:c>
      <x:c r="L812" s="2" t="str">
        <x:v>Completed</x:v>
      </x:c>
    </x:row>
    <x:row r="813" ht="21" customHeight="1">
      <x:c r="A813" s="2" t="n">
        <x:v>808</x:v>
      </x:c>
      <x:c r="B813" s="2" t="str">
        <x:v>TXN-00808</x:v>
      </x:c>
      <x:c r="C813" s="2" t="str">
        <x:v>2025-08-19</x:v>
      </x:c>
      <x:c r="D813" s="2" t="str">
        <x:v>Lagos</x:v>
      </x:c>
      <x:c r="E813" s="2" t="str">
        <x:v>Electronics</x:v>
      </x:c>
      <x:c r="F813" s="2" t="str">
        <x:v>Power bank</x:v>
      </x:c>
      <x:c r="G813" s="2" t="str">
        <x:v>In-store</x:v>
      </x:c>
      <x:c r="H813" s="2" t="n">
        <x:v>1</x:v>
      </x:c>
      <x:c r="I813" s="2" t="n">
        <x:v>15000</x:v>
      </x:c>
      <x:c r="J813" s="2" t="n">
        <x:v>9500</x:v>
      </x:c>
      <x:c r="K813" s="2" t="n">
        <x:v>0</x:v>
      </x:c>
      <x:c r="L813" s="2" t="str">
        <x:v>Completed</x:v>
      </x:c>
    </x:row>
    <x:row r="814" ht="21" customHeight="1">
      <x:c r="A814" s="2" t="n">
        <x:v>809</x:v>
      </x:c>
      <x:c r="B814" s="2" t="str">
        <x:v>TXN-00809</x:v>
      </x:c>
      <x:c r="C814" s="2" t="str">
        <x:v>2025-08-14</x:v>
      </x:c>
      <x:c r="D814" s="2" t="str">
        <x:v>Lagos</x:v>
      </x:c>
      <x:c r="E814" s="2" t="str">
        <x:v>Fashion</x:v>
      </x:c>
      <x:c r="F814" s="2" t="str">
        <x:v>Sneakers</x:v>
      </x:c>
      <x:c r="G814" s="2" t="str">
        <x:v>In-store</x:v>
      </x:c>
      <x:c r="H814" s="2" t="n">
        <x:v>2</x:v>
      </x:c>
      <x:c r="I814" s="2" t="n">
        <x:v>28000</x:v>
      </x:c>
      <x:c r="J814" s="2" t="n">
        <x:v>17500</x:v>
      </x:c>
      <x:c r="K814" s="2" t="n">
        <x:v>0.05</x:v>
      </x:c>
      <x:c r="L814" s="2" t="str">
        <x:v>Returned</x:v>
      </x:c>
    </x:row>
    <x:row r="815" ht="21" customHeight="1">
      <x:c r="A815" s="2" t="n">
        <x:v>810</x:v>
      </x:c>
      <x:c r="B815" s="2" t="str">
        <x:v>TXN-00810</x:v>
      </x:c>
      <x:c r="C815" s="2" t="str">
        <x:v>2025-08-23</x:v>
      </x:c>
      <x:c r="D815" s="2" t="str">
        <x:v>Port Harcourt</x:v>
      </x:c>
      <x:c r="E815" s="2" t="str">
        <x:v>Fashion</x:v>
      </x:c>
      <x:c r="F815" s="2" t="str">
        <x:v>T-shirt</x:v>
      </x:c>
      <x:c r="G815" s="2" t="str">
        <x:v>In-store</x:v>
      </x:c>
      <x:c r="H815" s="2" t="n">
        <x:v>2</x:v>
      </x:c>
      <x:c r="I815" s="2" t="n">
        <x:v>9000</x:v>
      </x:c>
      <x:c r="J815" s="2" t="n">
        <x:v>5000</x:v>
      </x:c>
      <x:c r="K815" s="2" t="n">
        <x:v>0.1</x:v>
      </x:c>
      <x:c r="L815" s="2" t="str">
        <x:v>Completed</x:v>
      </x:c>
    </x:row>
    <x:row r="816" ht="21" customHeight="1">
      <x:c r="A816" s="2" t="n">
        <x:v>811</x:v>
      </x:c>
      <x:c r="B816" s="2" t="str">
        <x:v>TXN-00811</x:v>
      </x:c>
      <x:c r="C816" s="2" t="str">
        <x:v>2025-08-01</x:v>
      </x:c>
      <x:c r="D816" s="2" t="str">
        <x:v>Abuja</x:v>
      </x:c>
      <x:c r="E816" s="2" t="str">
        <x:v>Beauty</x:v>
      </x:c>
      <x:c r="F816" s="2" t="str">
        <x:v>Perfume</x:v>
      </x:c>
      <x:c r="G816" s="2" t="str">
        <x:v>Online</x:v>
      </x:c>
      <x:c r="H816" s="2" t="n">
        <x:v>2</x:v>
      </x:c>
      <x:c r="I816" s="2" t="n">
        <x:v>17000</x:v>
      </x:c>
      <x:c r="J816" s="2" t="n">
        <x:v>9000</x:v>
      </x:c>
      <x:c r="K816" s="2" t="str"/>
      <x:c r="L816" s="2" t="str">
        <x:v> COMPLETED </x:v>
      </x:c>
    </x:row>
    <x:row r="817" ht="21" customHeight="1">
      <x:c r="A817" s="2" t="n">
        <x:v>812</x:v>
      </x:c>
      <x:c r="B817" s="2" t="str">
        <x:v>TXN-00812</x:v>
      </x:c>
      <x:c r="C817" s="2" t="str">
        <x:v>2025-08-27</x:v>
      </x:c>
      <x:c r="D817" s="2" t="str">
        <x:v>Kano</x:v>
      </x:c>
      <x:c r="E817" s="2" t="str">
        <x:v>Beauty</x:v>
      </x:c>
      <x:c r="F817" s="2" t="str">
        <x:v>Body wash</x:v>
      </x:c>
      <x:c r="G817" s="2" t="str">
        <x:v>In-store</x:v>
      </x:c>
      <x:c r="H817" s="2" t="n">
        <x:v>1</x:v>
      </x:c>
      <x:c r="I817" s="2" t="n">
        <x:v>4500</x:v>
      </x:c>
      <x:c r="J817" s="2" t="n">
        <x:v>2300</x:v>
      </x:c>
      <x:c r="K817" s="2" t="n">
        <x:v>0</x:v>
      </x:c>
      <x:c r="L817" s="2" t="str">
        <x:v>Completed</x:v>
      </x:c>
    </x:row>
    <x:row r="818" ht="21" customHeight="1">
      <x:c r="A818" s="2" t="n">
        <x:v>813</x:v>
      </x:c>
      <x:c r="B818" s="2" t="str">
        <x:v>TXN-00813</x:v>
      </x:c>
      <x:c r="C818" s="2" t="str">
        <x:v>2025-08-30</x:v>
      </x:c>
      <x:c r="D818" s="2" t="str">
        <x:v> kano </x:v>
      </x:c>
      <x:c r="E818" s="2" t="str">
        <x:v>Beauty</x:v>
      </x:c>
      <x:c r="F818" s="2" t="str">
        <x:v>Body wash</x:v>
      </x:c>
      <x:c r="G818" s="2" t="str">
        <x:v>Online</x:v>
      </x:c>
      <x:c r="H818" s="2" t="n">
        <x:v>1</x:v>
      </x:c>
      <x:c r="I818" s="2" t="n">
        <x:v>4500</x:v>
      </x:c>
      <x:c r="J818" s="2" t="n">
        <x:v>2300</x:v>
      </x:c>
      <x:c r="K818" s="2" t="n">
        <x:v>0</x:v>
      </x:c>
      <x:c r="L818" s="2" t="str">
        <x:v>Completed</x:v>
      </x:c>
    </x:row>
    <x:row r="819" ht="21" customHeight="1">
      <x:c r="A819" s="2" t="n">
        <x:v>814</x:v>
      </x:c>
      <x:c r="B819" s="2" t="str">
        <x:v>TXN-00814</x:v>
      </x:c>
      <x:c r="C819" s="2" t="str">
        <x:v>2025-08-26</x:v>
      </x:c>
      <x:c r="D819" s="2" t="str">
        <x:v>Abuja</x:v>
      </x:c>
      <x:c r="E819" s="2" t="str">
        <x:v>Fashion</x:v>
      </x:c>
      <x:c r="F819" s="2" t="str">
        <x:v>Sneakers</x:v>
      </x:c>
      <x:c r="G819" s="2" t="str">
        <x:v>Online</x:v>
      </x:c>
      <x:c r="H819" s="2" t="n">
        <x:v>1</x:v>
      </x:c>
      <x:c r="I819" s="2" t="n">
        <x:v>28000</x:v>
      </x:c>
      <x:c r="J819" s="2" t="n">
        <x:v>17500</x:v>
      </x:c>
      <x:c r="K819" s="2" t="n">
        <x:v>0</x:v>
      </x:c>
      <x:c r="L819" s="2" t="str">
        <x:v>Returned</x:v>
      </x:c>
    </x:row>
    <x:row r="820" ht="21" customHeight="1">
      <x:c r="A820" s="2" t="n">
        <x:v>815</x:v>
      </x:c>
      <x:c r="B820" s="2" t="str">
        <x:v>TXN-00815</x:v>
      </x:c>
      <x:c r="C820" s="2" t="str">
        <x:v>2025-08-18</x:v>
      </x:c>
      <x:c r="D820" s="2" t="str">
        <x:v>Abuja</x:v>
      </x:c>
      <x:c r="E820" s="2" t="str">
        <x:v>Beauty</x:v>
      </x:c>
      <x:c r="F820" s="2" t="str">
        <x:v>Perfume</x:v>
      </x:c>
      <x:c r="G820" s="2" t="str">
        <x:v> online </x:v>
      </x:c>
      <x:c r="H820" s="2" t="n">
        <x:v>4</x:v>
      </x:c>
      <x:c r="I820" s="2" t="n">
        <x:v>17000</x:v>
      </x:c>
      <x:c r="J820" s="2" t="n">
        <x:v>9000</x:v>
      </x:c>
      <x:c r="K820" s="2" t="n">
        <x:v>0</x:v>
      </x:c>
      <x:c r="L820" s="2" t="str">
        <x:v>Completed</x:v>
      </x:c>
    </x:row>
    <x:row r="821" ht="21" customHeight="1">
      <x:c r="A821" s="2" t="n">
        <x:v>816</x:v>
      </x:c>
      <x:c r="B821" s="2" t="str">
        <x:v>TXN-00816</x:v>
      </x:c>
      <x:c r="C821" s="2" t="str">
        <x:v>2025-08-02</x:v>
      </x:c>
      <x:c r="D821" s="2" t="str">
        <x:v>Lagos</x:v>
      </x:c>
      <x:c r="E821" s="2" t="str">
        <x:v>Home</x:v>
      </x:c>
      <x:c r="F821" s="2" t="str">
        <x:v>Cookware set</x:v>
      </x:c>
      <x:c r="G821" s="2" t="str">
        <x:v>Online</x:v>
      </x:c>
      <x:c r="H821" s="2" t="n">
        <x:v>2</x:v>
      </x:c>
      <x:c r="I821" s="2" t="n">
        <x:v>35000</x:v>
      </x:c>
      <x:c r="J821" s="2" t="n">
        <x:v>22500</x:v>
      </x:c>
      <x:c r="K821" s="2" t="n">
        <x:v>0.1</x:v>
      </x:c>
      <x:c r="L821" s="2" t="str">
        <x:v>Completed</x:v>
      </x:c>
    </x:row>
    <x:row r="822" ht="21" customHeight="1">
      <x:c r="A822" s="2" t="n">
        <x:v>817</x:v>
      </x:c>
      <x:c r="B822" s="2" t="str">
        <x:v>TXN-00817</x:v>
      </x:c>
      <x:c r="C822" s="2" t="str">
        <x:v>2025-08-02</x:v>
      </x:c>
      <x:c r="D822" s="2" t="str">
        <x:v>Abuja</x:v>
      </x:c>
      <x:c r="E822" s="2" t="str">
        <x:v>Home</x:v>
      </x:c>
      <x:c r="F822" s="2" t="str">
        <x:v>Bedsheet</x:v>
      </x:c>
      <x:c r="G822" s="2" t="str">
        <x:v>In-store</x:v>
      </x:c>
      <x:c r="H822" s="2" t="n">
        <x:v>3</x:v>
      </x:c>
      <x:c r="I822" s="2" t="n">
        <x:v>14000</x:v>
      </x:c>
      <x:c r="J822" s="2" t="n">
        <x:v>8500</x:v>
      </x:c>
      <x:c r="K822" s="2" t="n">
        <x:v>0.1</x:v>
      </x:c>
      <x:c r="L822" s="2" t="str">
        <x:v>Completed</x:v>
      </x:c>
    </x:row>
    <x:row r="823" ht="21" customHeight="1">
      <x:c r="A823" s="2" t="n">
        <x:v>818</x:v>
      </x:c>
      <x:c r="B823" s="2" t="str">
        <x:v>TXN-00818</x:v>
      </x:c>
      <x:c r="C823" s="2" t="str">
        <x:v>2025-08-06</x:v>
      </x:c>
      <x:c r="D823" s="2" t="str">
        <x:v>Port Harcourt</x:v>
      </x:c>
      <x:c r="E823" s="2" t="str">
        <x:v>Beauty</x:v>
      </x:c>
      <x:c r="F823" s="2" t="str">
        <x:v>Perfume</x:v>
      </x:c>
      <x:c r="G823" s="2" t="str">
        <x:v>Online</x:v>
      </x:c>
      <x:c r="H823" s="2" t="n">
        <x:v>1</x:v>
      </x:c>
      <x:c r="I823" s="2" t="n">
        <x:v>17000</x:v>
      </x:c>
      <x:c r="J823" s="2" t="n">
        <x:v>9000</x:v>
      </x:c>
      <x:c r="K823" s="2" t="n">
        <x:v>0</x:v>
      </x:c>
      <x:c r="L823" s="2" t="str">
        <x:v>Completed</x:v>
      </x:c>
    </x:row>
    <x:row r="824" ht="21" customHeight="1">
      <x:c r="A824" s="2" t="n">
        <x:v>819</x:v>
      </x:c>
      <x:c r="B824" s="2" t="str">
        <x:v>TXN-00819</x:v>
      </x:c>
      <x:c r="C824" s="2" t="str">
        <x:v>2025-08-31</x:v>
      </x:c>
      <x:c r="D824" s="2" t="str">
        <x:v>Lagos</x:v>
      </x:c>
      <x:c r="E824" s="2" t="str">
        <x:v>Beauty</x:v>
      </x:c>
      <x:c r="F824" s="2" t="str">
        <x:v>Body wash</x:v>
      </x:c>
      <x:c r="G824" s="2" t="str">
        <x:v>Online</x:v>
      </x:c>
      <x:c r="H824" s="2" t="n">
        <x:v>1</x:v>
      </x:c>
      <x:c r="I824" s="2" t="n">
        <x:v>4500</x:v>
      </x:c>
      <x:c r="J824" s="2" t="n">
        <x:v>2300</x:v>
      </x:c>
      <x:c r="K824" s="2" t="n">
        <x:v>0</x:v>
      </x:c>
      <x:c r="L824" s="2" t="str">
        <x:v>Completed</x:v>
      </x:c>
    </x:row>
    <x:row r="825" ht="21" customHeight="1">
      <x:c r="A825" s="2" t="n">
        <x:v>820</x:v>
      </x:c>
      <x:c r="B825" s="2" t="str">
        <x:v>TXN-00820</x:v>
      </x:c>
      <x:c r="C825" s="2" t="str">
        <x:v>2025-08-19</x:v>
      </x:c>
      <x:c r="D825" s="2" t="str">
        <x:v> abuja </x:v>
      </x:c>
      <x:c r="E825" s="2" t="str">
        <x:v>Electronics</x:v>
      </x:c>
      <x:c r="F825" s="2" t="str">
        <x:v>Power bank</x:v>
      </x:c>
      <x:c r="G825" s="2" t="str">
        <x:v>In-store</x:v>
      </x:c>
      <x:c r="H825" s="2" t="n">
        <x:v>1</x:v>
      </x:c>
      <x:c r="I825" s="2" t="n">
        <x:v>15000</x:v>
      </x:c>
      <x:c r="J825" s="2" t="n">
        <x:v>9500</x:v>
      </x:c>
      <x:c r="K825" s="2" t="n">
        <x:v>0.1</x:v>
      </x:c>
      <x:c r="L825" s="2" t="str">
        <x:v> COMPLETED </x:v>
      </x:c>
    </x:row>
    <x:row r="826" ht="21" customHeight="1">
      <x:c r="A826" s="2" t="n">
        <x:v>821</x:v>
      </x:c>
      <x:c r="B826" s="2" t="str">
        <x:v>TXN-00821</x:v>
      </x:c>
      <x:c r="C826" s="2" t="str">
        <x:v>2025-08-20</x:v>
      </x:c>
      <x:c r="D826" s="2" t="str">
        <x:v>Kano</x:v>
      </x:c>
      <x:c r="E826" s="2" t="str">
        <x:v>Home</x:v>
      </x:c>
      <x:c r="F826" s="2" t="str">
        <x:v>Desk lamp</x:v>
      </x:c>
      <x:c r="G826" s="2" t="str">
        <x:v>In-store</x:v>
      </x:c>
      <x:c r="H826" s="2" t="n">
        <x:v>1</x:v>
      </x:c>
      <x:c r="I826" s="2" t="n">
        <x:v>12000</x:v>
      </x:c>
      <x:c r="J826" s="2" t="n">
        <x:v>7200</x:v>
      </x:c>
      <x:c r="K826" s="2" t="n">
        <x:v>0.1</x:v>
      </x:c>
      <x:c r="L826" s="2" t="str">
        <x:v>Completed</x:v>
      </x:c>
    </x:row>
    <x:row r="827" ht="21" customHeight="1">
      <x:c r="A827" s="2" t="n">
        <x:v>822</x:v>
      </x:c>
      <x:c r="B827" s="2" t="str">
        <x:v>TXN-00822</x:v>
      </x:c>
      <x:c r="C827" s="2" t="str">
        <x:v>2025-08-31</x:v>
      </x:c>
      <x:c r="D827" s="2" t="str">
        <x:v>Abuja</x:v>
      </x:c>
      <x:c r="E827" s="2" t="str">
        <x:v>Fashion</x:v>
      </x:c>
      <x:c r="F827" s="2" t="str">
        <x:v>Handbag</x:v>
      </x:c>
      <x:c r="G827" s="2" t="str">
        <x:v>In-store</x:v>
      </x:c>
      <x:c r="H827" s="2" t="n">
        <x:v>3</x:v>
      </x:c>
      <x:c r="I827" s="2" t="n">
        <x:v>22000</x:v>
      </x:c>
      <x:c r="J827" s="2" t="n">
        <x:v>13500</x:v>
      </x:c>
      <x:c r="K827" s="2" t="n">
        <x:v>0.05</x:v>
      </x:c>
      <x:c r="L827" s="2" t="str">
        <x:v>Completed</x:v>
      </x:c>
    </x:row>
    <x:row r="828" ht="21" customHeight="1">
      <x:c r="A828" s="2" t="n">
        <x:v>823</x:v>
      </x:c>
      <x:c r="B828" s="2" t="str">
        <x:v>TXN-00823</x:v>
      </x:c>
      <x:c r="C828" s="2" t="str">
        <x:v>2025-08-04</x:v>
      </x:c>
      <x:c r="D828" s="2" t="str">
        <x:v>Lagos</x:v>
      </x:c>
      <x:c r="E828" s="2" t="str">
        <x:v>Home</x:v>
      </x:c>
      <x:c r="F828" s="2" t="str">
        <x:v>Cookware set</x:v>
      </x:c>
      <x:c r="G828" s="2" t="str">
        <x:v>Online</x:v>
      </x:c>
      <x:c r="H828" s="2" t="n">
        <x:v>1</x:v>
      </x:c>
      <x:c r="I828" s="2" t="n">
        <x:v>35000</x:v>
      </x:c>
      <x:c r="J828" s="2" t="n">
        <x:v>22500</x:v>
      </x:c>
      <x:c r="K828" s="2" t="n">
        <x:v>0</x:v>
      </x:c>
      <x:c r="L828" s="2" t="str">
        <x:v>Completed</x:v>
      </x:c>
    </x:row>
    <x:row r="829" ht="21" customHeight="1">
      <x:c r="A829" s="2" t="n">
        <x:v>824</x:v>
      </x:c>
      <x:c r="B829" s="2" t="str">
        <x:v>TXN-00824</x:v>
      </x:c>
      <x:c r="C829" s="2" t="str">
        <x:v>2025-08-06</x:v>
      </x:c>
      <x:c r="D829" s="2" t="str">
        <x:v>Lagos</x:v>
      </x:c>
      <x:c r="E829" s="2" t="str">
        <x:v>Home</x:v>
      </x:c>
      <x:c r="F829" s="2" t="str">
        <x:v>Bedsheet</x:v>
      </x:c>
      <x:c r="G829" s="2" t="str">
        <x:v>Online</x:v>
      </x:c>
      <x:c r="H829" s="2" t="n">
        <x:v>1</x:v>
      </x:c>
      <x:c r="I829" s="2" t="n">
        <x:v>14000</x:v>
      </x:c>
      <x:c r="J829" s="2" t="n">
        <x:v>8500</x:v>
      </x:c>
      <x:c r="K829" s="2" t="n">
        <x:v>0.05</x:v>
      </x:c>
      <x:c r="L829" s="2" t="str">
        <x:v>Completed</x:v>
      </x:c>
    </x:row>
    <x:row r="830" ht="21" customHeight="1">
      <x:c r="A830" s="2" t="n">
        <x:v>825</x:v>
      </x:c>
      <x:c r="B830" s="2" t="str">
        <x:v>TXN-00825</x:v>
      </x:c>
      <x:c r="C830" s="2" t="str">
        <x:v>2025-08-12</x:v>
      </x:c>
      <x:c r="D830" s="2" t="str">
        <x:v>Lagos</x:v>
      </x:c>
      <x:c r="E830" s="2" t="str">
        <x:v>Electronics</x:v>
      </x:c>
      <x:c r="F830" s="2" t="str">
        <x:v>Power bank</x:v>
      </x:c>
      <x:c r="G830" s="2" t="str">
        <x:v>Online</x:v>
      </x:c>
      <x:c r="H830" s="2" t="n">
        <x:v>1</x:v>
      </x:c>
      <x:c r="I830" s="2" t="n">
        <x:v>15000</x:v>
      </x:c>
      <x:c r="J830" s="2" t="n">
        <x:v>9500</x:v>
      </x:c>
      <x:c r="K830" s="2" t="n">
        <x:v>0.1</x:v>
      </x:c>
      <x:c r="L830" s="2" t="str">
        <x:v>Returned</x:v>
      </x:c>
    </x:row>
    <x:row r="831" ht="21" customHeight="1">
      <x:c r="A831" s="2" t="n">
        <x:v>826</x:v>
      </x:c>
      <x:c r="B831" s="2" t="str">
        <x:v>TXN-00826</x:v>
      </x:c>
      <x:c r="C831" s="2" t="str">
        <x:v>2025-08-11</x:v>
      </x:c>
      <x:c r="D831" s="2" t="str">
        <x:v>Lagos</x:v>
      </x:c>
      <x:c r="E831" s="2" t="str">
        <x:v>Beauty</x:v>
      </x:c>
      <x:c r="F831" s="2" t="str">
        <x:v>Body wash</x:v>
      </x:c>
      <x:c r="G831" s="2" t="str">
        <x:v> in-store </x:v>
      </x:c>
      <x:c r="H831" s="2" t="n">
        <x:v>1</x:v>
      </x:c>
      <x:c r="I831" s="2" t="n">
        <x:v>4500</x:v>
      </x:c>
      <x:c r="J831" s="2" t="n">
        <x:v>2300</x:v>
      </x:c>
      <x:c r="K831" s="2" t="n">
        <x:v>0</x:v>
      </x:c>
      <x:c r="L831" s="2" t="str">
        <x:v>Completed</x:v>
      </x:c>
    </x:row>
    <x:row r="832" ht="21" customHeight="1">
      <x:c r="A832" s="2" t="n">
        <x:v>827</x:v>
      </x:c>
      <x:c r="B832" s="2" t="str">
        <x:v>TXN-00827</x:v>
      </x:c>
      <x:c r="C832" s="2" t="str">
        <x:v>2025-08-06</x:v>
      </x:c>
      <x:c r="D832" s="2" t="str">
        <x:v> lagos </x:v>
      </x:c>
      <x:c r="E832" s="2" t="str">
        <x:v>Beauty</x:v>
      </x:c>
      <x:c r="F832" s="2" t="str">
        <x:v>Perfume</x:v>
      </x:c>
      <x:c r="G832" s="2" t="str">
        <x:v>Online</x:v>
      </x:c>
      <x:c r="H832" s="2" t="n">
        <x:v>1</x:v>
      </x:c>
      <x:c r="I832" s="2" t="n">
        <x:v>17000</x:v>
      </x:c>
      <x:c r="J832" s="2" t="n">
        <x:v>9000</x:v>
      </x:c>
      <x:c r="K832" s="2" t="n">
        <x:v>0</x:v>
      </x:c>
      <x:c r="L832" s="2" t="str">
        <x:v>Completed</x:v>
      </x:c>
    </x:row>
    <x:row r="833" ht="21" customHeight="1">
      <x:c r="A833" s="2" t="n">
        <x:v>828</x:v>
      </x:c>
      <x:c r="B833" s="2" t="str">
        <x:v>TXN-00828</x:v>
      </x:c>
      <x:c r="C833" s="2" t="str">
        <x:v>2025-08-03</x:v>
      </x:c>
      <x:c r="D833" s="2" t="str">
        <x:v>Port Harcourt</x:v>
      </x:c>
      <x:c r="E833" s="2" t="str">
        <x:v>Electronics</x:v>
      </x:c>
      <x:c r="F833" s="2" t="str">
        <x:v>Bluetooth speaker</x:v>
      </x:c>
      <x:c r="G833" s="2" t="str">
        <x:v>In-store</x:v>
      </x:c>
      <x:c r="H833" s="2" t="n">
        <x:v>2</x:v>
      </x:c>
      <x:c r="I833" s="2" t="n">
        <x:v>26000</x:v>
      </x:c>
      <x:c r="J833" s="2" t="n">
        <x:v>17000</x:v>
      </x:c>
      <x:c r="K833" s="2" t="n">
        <x:v>0</x:v>
      </x:c>
      <x:c r="L833" s="2" t="str">
        <x:v>Completed</x:v>
      </x:c>
    </x:row>
    <x:row r="834" ht="21" customHeight="1">
      <x:c r="A834" s="2" t="n">
        <x:v>829</x:v>
      </x:c>
      <x:c r="B834" s="2" t="str">
        <x:v>TXN-00829</x:v>
      </x:c>
      <x:c r="C834" s="2" t="str">
        <x:v>2025-08-09</x:v>
      </x:c>
      <x:c r="D834" s="2" t="str">
        <x:v>Port Harcourt</x:v>
      </x:c>
      <x:c r="E834" s="2" t="str">
        <x:v>Fashion</x:v>
      </x:c>
      <x:c r="F834" s="2" t="str">
        <x:v>Handbag</x:v>
      </x:c>
      <x:c r="G834" s="2" t="str">
        <x:v>Online</x:v>
      </x:c>
      <x:c r="H834" s="2" t="n">
        <x:v>2</x:v>
      </x:c>
      <x:c r="I834" s="2" t="n">
        <x:v>22000</x:v>
      </x:c>
      <x:c r="J834" s="2" t="n">
        <x:v>13500</x:v>
      </x:c>
      <x:c r="K834" s="2" t="n">
        <x:v>0</x:v>
      </x:c>
      <x:c r="L834" s="2" t="str">
        <x:v> COMPLETED </x:v>
      </x:c>
    </x:row>
    <x:row r="835" ht="21" customHeight="1">
      <x:c r="A835" s="2" t="n">
        <x:v>830</x:v>
      </x:c>
      <x:c r="B835" s="2" t="str">
        <x:v>TXN-00830</x:v>
      </x:c>
      <x:c r="C835" s="2" t="str">
        <x:v>2025-08-14</x:v>
      </x:c>
      <x:c r="D835" s="2" t="str">
        <x:v>Lagos</x:v>
      </x:c>
      <x:c r="E835" s="2" t="str">
        <x:v>Beauty</x:v>
      </x:c>
      <x:c r="F835" s="2" t="str">
        <x:v>Perfume</x:v>
      </x:c>
      <x:c r="G835" s="2" t="str">
        <x:v>Online</x:v>
      </x:c>
      <x:c r="H835" s="2" t="n">
        <x:v>2</x:v>
      </x:c>
      <x:c r="I835" s="2" t="n">
        <x:v>17000</x:v>
      </x:c>
      <x:c r="J835" s="2" t="n">
        <x:v>9000</x:v>
      </x:c>
      <x:c r="K835" s="2" t="n">
        <x:v>0</x:v>
      </x:c>
      <x:c r="L835" s="2" t="str">
        <x:v>Completed</x:v>
      </x:c>
    </x:row>
    <x:row r="836" ht="21" customHeight="1">
      <x:c r="A836" s="2" t="n">
        <x:v>831</x:v>
      </x:c>
      <x:c r="B836" s="2" t="str">
        <x:v>TXN-00831</x:v>
      </x:c>
      <x:c r="C836" s="2" t="str">
        <x:v>2025-08-30</x:v>
      </x:c>
      <x:c r="D836" s="2" t="str">
        <x:v>Lagos</x:v>
      </x:c>
      <x:c r="E836" s="2" t="str">
        <x:v>Electronics</x:v>
      </x:c>
      <x:c r="F836" s="2" t="str">
        <x:v>Power bank</x:v>
      </x:c>
      <x:c r="G836" s="2" t="str">
        <x:v>Online</x:v>
      </x:c>
      <x:c r="H836" s="2" t="n">
        <x:v>3</x:v>
      </x:c>
      <x:c r="I836" s="2" t="n">
        <x:v>15000</x:v>
      </x:c>
      <x:c r="J836" s="2" t="n">
        <x:v>9500</x:v>
      </x:c>
      <x:c r="K836" s="2" t="n">
        <x:v>0.1</x:v>
      </x:c>
      <x:c r="L836" s="2" t="str">
        <x:v>Completed</x:v>
      </x:c>
    </x:row>
    <x:row r="837" ht="21" customHeight="1">
      <x:c r="A837" s="2" t="n">
        <x:v>832</x:v>
      </x:c>
      <x:c r="B837" s="2" t="str">
        <x:v>TXN-00832</x:v>
      </x:c>
      <x:c r="C837" s="2" t="str">
        <x:v>2025-08-21</x:v>
      </x:c>
      <x:c r="D837" s="2" t="str">
        <x:v>Lagos</x:v>
      </x:c>
      <x:c r="E837" s="2" t="str">
        <x:v>Fashion</x:v>
      </x:c>
      <x:c r="F837" s="2" t="str">
        <x:v>Sneakers</x:v>
      </x:c>
      <x:c r="G837" s="2" t="str">
        <x:v>In-store</x:v>
      </x:c>
      <x:c r="H837" s="2" t="n">
        <x:v>1</x:v>
      </x:c>
      <x:c r="I837" s="2" t="n">
        <x:v>28000</x:v>
      </x:c>
      <x:c r="J837" s="2" t="n">
        <x:v>17500</x:v>
      </x:c>
      <x:c r="K837" s="2" t="n">
        <x:v>0.1</x:v>
      </x:c>
      <x:c r="L837" s="2" t="str">
        <x:v>Completed</x:v>
      </x:c>
    </x:row>
    <x:row r="838" ht="21" customHeight="1">
      <x:c r="A838" s="2" t="n">
        <x:v>833</x:v>
      </x:c>
      <x:c r="B838" s="2" t="str">
        <x:v>TXN-00833</x:v>
      </x:c>
      <x:c r="C838" s="2" t="str">
        <x:v>2025-08-31</x:v>
      </x:c>
      <x:c r="D838" s="2" t="str">
        <x:v>Lagos</x:v>
      </x:c>
      <x:c r="E838" s="2" t="str">
        <x:v>Electronics</x:v>
      </x:c>
      <x:c r="F838" s="2" t="str">
        <x:v>Power bank</x:v>
      </x:c>
      <x:c r="G838" s="2" t="str">
        <x:v>In-store</x:v>
      </x:c>
      <x:c r="H838" s="2" t="n">
        <x:v>2</x:v>
      </x:c>
      <x:c r="I838" s="2" t="n">
        <x:v>15000</x:v>
      </x:c>
      <x:c r="J838" s="2" t="n">
        <x:v>9500</x:v>
      </x:c>
      <x:c r="K838" s="2" t="n">
        <x:v>0</x:v>
      </x:c>
      <x:c r="L838" s="2" t="str">
        <x:v>Completed</x:v>
      </x:c>
    </x:row>
    <x:row r="839" ht="21" customHeight="1">
      <x:c r="A839" s="2" t="n">
        <x:v>834</x:v>
      </x:c>
      <x:c r="B839" s="2" t="str">
        <x:v>TXN-00834</x:v>
      </x:c>
      <x:c r="C839" s="2" t="str">
        <x:v>2025-08-11</x:v>
      </x:c>
      <x:c r="D839" s="2" t="str">
        <x:v> abuja </x:v>
      </x:c>
      <x:c r="E839" s="2" t="str">
        <x:v>Electronics</x:v>
      </x:c>
      <x:c r="F839" s="2" t="str">
        <x:v>Bluetooth speaker</x:v>
      </x:c>
      <x:c r="G839" s="2" t="str">
        <x:v>In-store</x:v>
      </x:c>
      <x:c r="H839" s="2" t="n">
        <x:v>1</x:v>
      </x:c>
      <x:c r="I839" s="2" t="n">
        <x:v>26000</x:v>
      </x:c>
      <x:c r="J839" s="2" t="n">
        <x:v>17000</x:v>
      </x:c>
      <x:c r="K839" s="2" t="n">
        <x:v>0.05</x:v>
      </x:c>
      <x:c r="L839" s="2" t="str">
        <x:v>Completed</x:v>
      </x:c>
    </x:row>
    <x:row r="840" ht="21" customHeight="1">
      <x:c r="A840" s="2" t="n">
        <x:v>835</x:v>
      </x:c>
      <x:c r="B840" s="2" t="str">
        <x:v>TXN-00835</x:v>
      </x:c>
      <x:c r="C840" s="2" t="str">
        <x:v>2025-08-07</x:v>
      </x:c>
      <x:c r="D840" s="2" t="str">
        <x:v>Lagos</x:v>
      </x:c>
      <x:c r="E840" s="2" t="str">
        <x:v>Electronics</x:v>
      </x:c>
      <x:c r="F840" s="2" t="str">
        <x:v>Bluetooth speaker</x:v>
      </x:c>
      <x:c r="G840" s="2" t="str">
        <x:v>In-store</x:v>
      </x:c>
      <x:c r="H840" s="2" t="n">
        <x:v>2</x:v>
      </x:c>
      <x:c r="I840" s="2" t="n">
        <x:v>26000</x:v>
      </x:c>
      <x:c r="J840" s="2" t="n">
        <x:v>17000</x:v>
      </x:c>
      <x:c r="K840" s="2" t="n">
        <x:v>0</x:v>
      </x:c>
      <x:c r="L840" s="2" t="str">
        <x:v>Completed</x:v>
      </x:c>
    </x:row>
    <x:row r="841" ht="21" customHeight="1">
      <x:c r="A841" s="2" t="n">
        <x:v>836</x:v>
      </x:c>
      <x:c r="B841" s="2" t="str">
        <x:v>TXN-00836</x:v>
      </x:c>
      <x:c r="C841" s="2" t="str">
        <x:v>2025-08-28</x:v>
      </x:c>
      <x:c r="D841" s="2" t="str">
        <x:v>Lagos</x:v>
      </x:c>
      <x:c r="E841" s="2" t="str">
        <x:v>Electronics</x:v>
      </x:c>
      <x:c r="F841" s="2" t="str">
        <x:v>Bluetooth speaker</x:v>
      </x:c>
      <x:c r="G841" s="2" t="str">
        <x:v>Online</x:v>
      </x:c>
      <x:c r="H841" s="2" t="n">
        <x:v>1</x:v>
      </x:c>
      <x:c r="I841" s="2" t="n">
        <x:v>26000</x:v>
      </x:c>
      <x:c r="J841" s="2" t="n">
        <x:v>17000</x:v>
      </x:c>
      <x:c r="K841" s="2" t="n">
        <x:v>0</x:v>
      </x:c>
      <x:c r="L841" s="2" t="str">
        <x:v>Completed</x:v>
      </x:c>
    </x:row>
    <x:row r="842" ht="21" customHeight="1">
      <x:c r="A842" s="2" t="n">
        <x:v>837</x:v>
      </x:c>
      <x:c r="B842" s="2" t="str">
        <x:v>TXN-00837</x:v>
      </x:c>
      <x:c r="C842" s="2" t="str">
        <x:v>2025-08-31</x:v>
      </x:c>
      <x:c r="D842" s="2" t="str">
        <x:v>Kano</x:v>
      </x:c>
      <x:c r="E842" s="2" t="str">
        <x:v>Electronics</x:v>
      </x:c>
      <x:c r="F842" s="2" t="str">
        <x:v>Bluetooth speaker</x:v>
      </x:c>
      <x:c r="G842" s="2" t="str">
        <x:v> online </x:v>
      </x:c>
      <x:c r="H842" s="2" t="n">
        <x:v>1</x:v>
      </x:c>
      <x:c r="I842" s="2" t="n">
        <x:v>26000</x:v>
      </x:c>
      <x:c r="J842" s="2" t="n">
        <x:v>17000</x:v>
      </x:c>
      <x:c r="K842" s="2" t="n">
        <x:v>0.05</x:v>
      </x:c>
      <x:c r="L842" s="2" t="str">
        <x:v>Completed</x:v>
      </x:c>
    </x:row>
    <x:row r="843" ht="21" customHeight="1">
      <x:c r="A843" s="2" t="n">
        <x:v>838</x:v>
      </x:c>
      <x:c r="B843" s="2" t="str">
        <x:v>TXN-00838</x:v>
      </x:c>
      <x:c r="C843" s="2" t="str">
        <x:v>2025-08-15</x:v>
      </x:c>
      <x:c r="D843" s="2" t="str">
        <x:v>Abuja</x:v>
      </x:c>
      <x:c r="E843" s="2" t="str">
        <x:v>Fashion</x:v>
      </x:c>
      <x:c r="F843" s="2" t="str">
        <x:v>Sneakers</x:v>
      </x:c>
      <x:c r="G843" s="2" t="str">
        <x:v>In-store</x:v>
      </x:c>
      <x:c r="H843" s="2" t="n">
        <x:v>2</x:v>
      </x:c>
      <x:c r="I843" s="2" t="n">
        <x:v>28000</x:v>
      </x:c>
      <x:c r="J843" s="2" t="n">
        <x:v>17500</x:v>
      </x:c>
      <x:c r="K843" s="2" t="n">
        <x:v>0</x:v>
      </x:c>
      <x:c r="L843" s="2" t="str">
        <x:v> COMPLETED </x:v>
      </x:c>
    </x:row>
    <x:row r="844" ht="21" customHeight="1">
      <x:c r="A844" s="2" t="n">
        <x:v>839</x:v>
      </x:c>
      <x:c r="B844" s="2" t="str">
        <x:v>TXN-00839</x:v>
      </x:c>
      <x:c r="C844" s="2" t="str">
        <x:v>2025-08-13</x:v>
      </x:c>
      <x:c r="D844" s="2" t="str">
        <x:v>Lagos</x:v>
      </x:c>
      <x:c r="E844" s="2" t="str">
        <x:v>Home</x:v>
      </x:c>
      <x:c r="F844" s="2" t="str">
        <x:v>Desk lamp</x:v>
      </x:c>
      <x:c r="G844" s="2" t="str">
        <x:v>Online</x:v>
      </x:c>
      <x:c r="H844" s="2" t="n">
        <x:v>2</x:v>
      </x:c>
      <x:c r="I844" s="2" t="n">
        <x:v>12000</x:v>
      </x:c>
      <x:c r="J844" s="2" t="n">
        <x:v>7200</x:v>
      </x:c>
      <x:c r="K844" s="2" t="n">
        <x:v>0.05</x:v>
      </x:c>
      <x:c r="L844" s="2" t="str">
        <x:v>Completed</x:v>
      </x:c>
    </x:row>
    <x:row r="845" ht="21" customHeight="1">
      <x:c r="A845" s="2" t="n">
        <x:v>840</x:v>
      </x:c>
      <x:c r="B845" s="2" t="str">
        <x:v>TXN-00840</x:v>
      </x:c>
      <x:c r="C845" s="2" t="str">
        <x:v>2025-08-18</x:v>
      </x:c>
      <x:c r="D845" s="2" t="str">
        <x:v>Port Harcourt</x:v>
      </x:c>
      <x:c r="E845" s="2" t="str">
        <x:v>Fashion</x:v>
      </x:c>
      <x:c r="F845" s="2" t="str">
        <x:v>T-shirt</x:v>
      </x:c>
      <x:c r="G845" s="2" t="str">
        <x:v>In-store</x:v>
      </x:c>
      <x:c r="H845" s="2" t="n">
        <x:v>1</x:v>
      </x:c>
      <x:c r="I845" s="2" t="n">
        <x:v>9000</x:v>
      </x:c>
      <x:c r="J845" s="2" t="n">
        <x:v>5000</x:v>
      </x:c>
      <x:c r="K845" s="2" t="n">
        <x:v>0.1</x:v>
      </x:c>
      <x:c r="L845" s="2" t="str">
        <x:v>Completed</x:v>
      </x:c>
    </x:row>
    <x:row r="846" ht="21" customHeight="1">
      <x:c r="A846" s="2" t="n">
        <x:v>841</x:v>
      </x:c>
      <x:c r="B846" s="2" t="str">
        <x:v>TXN-00841</x:v>
      </x:c>
      <x:c r="C846" s="2" t="str">
        <x:v>2025-08-13</x:v>
      </x:c>
      <x:c r="D846" s="2" t="str">
        <x:v> port harcourt </x:v>
      </x:c>
      <x:c r="E846" s="2" t="str">
        <x:v>Beauty</x:v>
      </x:c>
      <x:c r="F846" s="2" t="str">
        <x:v>Perfume</x:v>
      </x:c>
      <x:c r="G846" s="2" t="str">
        <x:v>Online</x:v>
      </x:c>
      <x:c r="H846" s="2" t="n">
        <x:v>4</x:v>
      </x:c>
      <x:c r="I846" s="2" t="n">
        <x:v>17000</x:v>
      </x:c>
      <x:c r="J846" s="2" t="n">
        <x:v>9000</x:v>
      </x:c>
      <x:c r="K846" s="2" t="n">
        <x:v>0.1</x:v>
      </x:c>
      <x:c r="L846" s="2" t="str">
        <x:v>Completed</x:v>
      </x:c>
    </x:row>
    <x:row r="847" ht="21" customHeight="1">
      <x:c r="A847" s="2" t="n">
        <x:v>842</x:v>
      </x:c>
      <x:c r="B847" s="2" t="str">
        <x:v>TXN-00842</x:v>
      </x:c>
      <x:c r="C847" s="2" t="str">
        <x:v>2025-08-31</x:v>
      </x:c>
      <x:c r="D847" s="2" t="str">
        <x:v>Lagos</x:v>
      </x:c>
      <x:c r="E847" s="2" t="str">
        <x:v>Beauty</x:v>
      </x:c>
      <x:c r="F847" s="2" t="str">
        <x:v>Body wash</x:v>
      </x:c>
      <x:c r="G847" s="2" t="str">
        <x:v>Online</x:v>
      </x:c>
      <x:c r="H847" s="2" t="n">
        <x:v>2</x:v>
      </x:c>
      <x:c r="I847" s="2" t="n">
        <x:v>4500</x:v>
      </x:c>
      <x:c r="J847" s="2" t="n">
        <x:v>2300</x:v>
      </x:c>
      <x:c r="K847" s="2" t="n">
        <x:v>0.1</x:v>
      </x:c>
      <x:c r="L847" s="2" t="str">
        <x:v>Completed</x:v>
      </x:c>
    </x:row>
    <x:row r="848" ht="21" customHeight="1">
      <x:c r="A848" s="2" t="n">
        <x:v>843</x:v>
      </x:c>
      <x:c r="B848" s="2" t="str">
        <x:v>TXN-00843</x:v>
      </x:c>
      <x:c r="C848" s="2" t="str">
        <x:v>2025-08-28</x:v>
      </x:c>
      <x:c r="D848" s="2" t="str">
        <x:v>Lagos</x:v>
      </x:c>
      <x:c r="E848" s="2" t="str">
        <x:v>Electronics</x:v>
      </x:c>
      <x:c r="F848" s="2" t="str">
        <x:v>Power bank</x:v>
      </x:c>
      <x:c r="G848" s="2" t="str">
        <x:v>Online</x:v>
      </x:c>
      <x:c r="H848" s="2" t="n">
        <x:v>2</x:v>
      </x:c>
      <x:c r="I848" s="2" t="n">
        <x:v>15000</x:v>
      </x:c>
      <x:c r="J848" s="2" t="n">
        <x:v>9500</x:v>
      </x:c>
      <x:c r="K848" s="2" t="n">
        <x:v>0.1</x:v>
      </x:c>
      <x:c r="L848" s="2" t="str">
        <x:v>Completed</x:v>
      </x:c>
    </x:row>
    <x:row r="849" ht="21" customHeight="1">
      <x:c r="A849" s="2" t="n">
        <x:v>844</x:v>
      </x:c>
      <x:c r="B849" s="2" t="str">
        <x:v>TXN-00844</x:v>
      </x:c>
      <x:c r="C849" s="2" t="str">
        <x:v>2025-08-06</x:v>
      </x:c>
      <x:c r="D849" s="2" t="str">
        <x:v>Lagos</x:v>
      </x:c>
      <x:c r="E849" s="2" t="str">
        <x:v>Fashion</x:v>
      </x:c>
      <x:c r="F849" s="2" t="str">
        <x:v>Handbag</x:v>
      </x:c>
      <x:c r="G849" s="2" t="str">
        <x:v>Online</x:v>
      </x:c>
      <x:c r="H849" s="2" t="n">
        <x:v>3</x:v>
      </x:c>
      <x:c r="I849" s="2" t="n">
        <x:v>22000</x:v>
      </x:c>
      <x:c r="J849" s="2" t="n">
        <x:v>13500</x:v>
      </x:c>
      <x:c r="K849" s="2" t="n">
        <x:v>0</x:v>
      </x:c>
      <x:c r="L849" s="2" t="str">
        <x:v>Completed</x:v>
      </x:c>
    </x:row>
    <x:row r="850" ht="21" customHeight="1">
      <x:c r="A850" s="2" t="n">
        <x:v>845</x:v>
      </x:c>
      <x:c r="B850" s="2" t="str">
        <x:v>TXN-00845</x:v>
      </x:c>
      <x:c r="C850" s="2" t="str">
        <x:v>2025-08-01</x:v>
      </x:c>
      <x:c r="D850" s="2" t="str">
        <x:v>Lagos</x:v>
      </x:c>
      <x:c r="E850" s="2" t="str">
        <x:v>Electronics</x:v>
      </x:c>
      <x:c r="F850" s="2" t="str">
        <x:v>Bluetooth speaker</x:v>
      </x:c>
      <x:c r="G850" s="2" t="str">
        <x:v>Online</x:v>
      </x:c>
      <x:c r="H850" s="2" t="n">
        <x:v>1</x:v>
      </x:c>
      <x:c r="I850" s="2" t="n">
        <x:v>26000</x:v>
      </x:c>
      <x:c r="J850" s="2" t="n">
        <x:v>17000</x:v>
      </x:c>
      <x:c r="K850" s="2" t="n">
        <x:v>0</x:v>
      </x:c>
      <x:c r="L850" s="2" t="str">
        <x:v>Completed</x:v>
      </x:c>
    </x:row>
    <x:row r="851" ht="21" customHeight="1">
      <x:c r="A851" s="2" t="n">
        <x:v>846</x:v>
      </x:c>
      <x:c r="B851" s="2" t="str">
        <x:v>TXN-00846</x:v>
      </x:c>
      <x:c r="C851" s="2" t="str">
        <x:v>2025-08-14</x:v>
      </x:c>
      <x:c r="D851" s="2" t="str">
        <x:v>Lagos</x:v>
      </x:c>
      <x:c r="E851" s="2" t="str">
        <x:v>Fashion</x:v>
      </x:c>
      <x:c r="F851" s="2" t="str">
        <x:v>Handbag</x:v>
      </x:c>
      <x:c r="G851" s="2" t="str">
        <x:v>In-store</x:v>
      </x:c>
      <x:c r="H851" s="2" t="n">
        <x:v>1</x:v>
      </x:c>
      <x:c r="I851" s="2" t="n">
        <x:v>22000</x:v>
      </x:c>
      <x:c r="J851" s="2" t="n">
        <x:v>13500</x:v>
      </x:c>
      <x:c r="K851" s="2" t="n">
        <x:v>0.15</x:v>
      </x:c>
      <x:c r="L851" s="2" t="str">
        <x:v>Completed</x:v>
      </x:c>
    </x:row>
    <x:row r="852" ht="21" customHeight="1">
      <x:c r="A852" s="2" t="n">
        <x:v>847</x:v>
      </x:c>
      <x:c r="B852" s="2" t="str">
        <x:v>TXN-00847</x:v>
      </x:c>
      <x:c r="C852" s="2" t="str">
        <x:v>2025-08-21</x:v>
      </x:c>
      <x:c r="D852" s="2" t="str">
        <x:v>Lagos</x:v>
      </x:c>
      <x:c r="E852" s="2" t="str">
        <x:v>Fashion</x:v>
      </x:c>
      <x:c r="F852" s="2" t="str">
        <x:v>Sneakers</x:v>
      </x:c>
      <x:c r="G852" s="2" t="str">
        <x:v>In-store</x:v>
      </x:c>
      <x:c r="H852" s="2" t="n">
        <x:v>4</x:v>
      </x:c>
      <x:c r="I852" s="2" t="n">
        <x:v>28000</x:v>
      </x:c>
      <x:c r="J852" s="2" t="n">
        <x:v>17500</x:v>
      </x:c>
      <x:c r="K852" s="2" t="n">
        <x:v>0</x:v>
      </x:c>
      <x:c r="L852" s="2" t="str">
        <x:v> COMPLETED </x:v>
      </x:c>
    </x:row>
    <x:row r="853" ht="21" customHeight="1">
      <x:c r="A853" s="2" t="n">
        <x:v>848</x:v>
      </x:c>
      <x:c r="B853" s="2" t="str">
        <x:v>TXN-00848</x:v>
      </x:c>
      <x:c r="C853" s="2" t="str">
        <x:v>2025-08-14</x:v>
      </x:c>
      <x:c r="D853" s="2" t="str">
        <x:v> abuja </x:v>
      </x:c>
      <x:c r="E853" s="2" t="str">
        <x:v>Electronics</x:v>
      </x:c>
      <x:c r="F853" s="2" t="str">
        <x:v>Bluetooth speaker</x:v>
      </x:c>
      <x:c r="G853" s="2" t="str">
        <x:v> in-store </x:v>
      </x:c>
      <x:c r="H853" s="2" t="n">
        <x:v>1</x:v>
      </x:c>
      <x:c r="I853" s="2" t="n">
        <x:v>26000</x:v>
      </x:c>
      <x:c r="J853" s="2" t="n">
        <x:v>17000</x:v>
      </x:c>
      <x:c r="K853" s="2" t="n">
        <x:v>0</x:v>
      </x:c>
      <x:c r="L853" s="2" t="str">
        <x:v>Completed</x:v>
      </x:c>
    </x:row>
    <x:row r="854" ht="21" customHeight="1">
      <x:c r="A854" s="2" t="n">
        <x:v>849</x:v>
      </x:c>
      <x:c r="B854" s="2" t="str">
        <x:v>TXN-00849</x:v>
      </x:c>
      <x:c r="C854" s="2" t="str">
        <x:v>2025-08-26</x:v>
      </x:c>
      <x:c r="D854" s="2" t="str">
        <x:v>Abuja</x:v>
      </x:c>
      <x:c r="E854" s="2" t="str">
        <x:v>Home</x:v>
      </x:c>
      <x:c r="F854" s="2" t="str">
        <x:v>Cookware set</x:v>
      </x:c>
      <x:c r="G854" s="2" t="str">
        <x:v>Online</x:v>
      </x:c>
      <x:c r="H854" s="2" t="n">
        <x:v>1</x:v>
      </x:c>
      <x:c r="I854" s="2" t="n">
        <x:v>35000</x:v>
      </x:c>
      <x:c r="J854" s="2" t="n">
        <x:v>22500</x:v>
      </x:c>
      <x:c r="K854" s="2" t="n">
        <x:v>0.05</x:v>
      </x:c>
      <x:c r="L854" s="2" t="str">
        <x:v>Returned</x:v>
      </x:c>
    </x:row>
    <x:row r="855" ht="21" customHeight="1">
      <x:c r="A855" s="2" t="n">
        <x:v>850</x:v>
      </x:c>
      <x:c r="B855" s="2" t="str">
        <x:v>TXN-00850</x:v>
      </x:c>
      <x:c r="C855" s="2" t="str">
        <x:v>2025-08-26</x:v>
      </x:c>
      <x:c r="D855" s="2" t="str">
        <x:v>Port Harcourt</x:v>
      </x:c>
      <x:c r="E855" s="2" t="str">
        <x:v>Electronics</x:v>
      </x:c>
      <x:c r="F855" s="2" t="str">
        <x:v>Power bank</x:v>
      </x:c>
      <x:c r="G855" s="2" t="str">
        <x:v>Online</x:v>
      </x:c>
      <x:c r="H855" s="2" t="n">
        <x:v>1</x:v>
      </x:c>
      <x:c r="I855" s="2" t="n">
        <x:v>15000</x:v>
      </x:c>
      <x:c r="J855" s="2" t="n">
        <x:v>9500</x:v>
      </x:c>
      <x:c r="K855" s="2" t="n">
        <x:v>0</x:v>
      </x:c>
      <x:c r="L855" s="2" t="str">
        <x:v>Completed</x:v>
      </x:c>
    </x:row>
    <x:row r="856" ht="21" customHeight="1">
      <x:c r="A856" s="2" t="n">
        <x:v>851</x:v>
      </x:c>
      <x:c r="B856" s="2" t="str">
        <x:v>TXN-00851</x:v>
      </x:c>
      <x:c r="C856" s="2" t="str">
        <x:v>2025-08-06</x:v>
      </x:c>
      <x:c r="D856" s="2" t="str">
        <x:v>Lagos</x:v>
      </x:c>
      <x:c r="E856" s="2" t="str">
        <x:v>Electronics</x:v>
      </x:c>
      <x:c r="F856" s="2" t="str">
        <x:v>Bluetooth speaker</x:v>
      </x:c>
      <x:c r="G856" s="2" t="str">
        <x:v>In-store</x:v>
      </x:c>
      <x:c r="H856" s="2" t="n">
        <x:v>2</x:v>
      </x:c>
      <x:c r="I856" s="2" t="n">
        <x:v>26000</x:v>
      </x:c>
      <x:c r="J856" s="2" t="n">
        <x:v>17000</x:v>
      </x:c>
      <x:c r="K856" s="2" t="n">
        <x:v>0</x:v>
      </x:c>
      <x:c r="L856" s="2" t="str">
        <x:v>Completed</x:v>
      </x:c>
    </x:row>
    <x:row r="857" ht="21" customHeight="1">
      <x:c r="A857" s="2" t="n">
        <x:v>852</x:v>
      </x:c>
      <x:c r="B857" s="2" t="str">
        <x:v>TXN-00852</x:v>
      </x:c>
      <x:c r="C857" s="2" t="str">
        <x:v>2025-08-05</x:v>
      </x:c>
      <x:c r="D857" s="2" t="str">
        <x:v>Port Harcourt</x:v>
      </x:c>
      <x:c r="E857" s="2" t="str">
        <x:v>Home</x:v>
      </x:c>
      <x:c r="F857" s="2" t="str">
        <x:v>Cookware set</x:v>
      </x:c>
      <x:c r="G857" s="2" t="str">
        <x:v>In-store</x:v>
      </x:c>
      <x:c r="H857" s="2" t="n">
        <x:v>1</x:v>
      </x:c>
      <x:c r="I857" s="2" t="n">
        <x:v>35000</x:v>
      </x:c>
      <x:c r="J857" s="2" t="n">
        <x:v>22500</x:v>
      </x:c>
      <x:c r="K857" s="2" t="n">
        <x:v>0</x:v>
      </x:c>
      <x:c r="L857" s="2" t="str">
        <x:v>Completed</x:v>
      </x:c>
    </x:row>
    <x:row r="858" ht="21" customHeight="1">
      <x:c r="A858" s="2" t="n">
        <x:v>853</x:v>
      </x:c>
      <x:c r="B858" s="2" t="str">
        <x:v>TXN-00853</x:v>
      </x:c>
      <x:c r="C858" s="2" t="str">
        <x:v>2025-08-08</x:v>
      </x:c>
      <x:c r="D858" s="2" t="str">
        <x:v>Port Harcourt</x:v>
      </x:c>
      <x:c r="E858" s="2" t="str">
        <x:v>Beauty</x:v>
      </x:c>
      <x:c r="F858" s="2" t="str">
        <x:v>Moisturizer</x:v>
      </x:c>
      <x:c r="G858" s="2" t="str">
        <x:v>In-store</x:v>
      </x:c>
      <x:c r="H858" s="2" t="n">
        <x:v>2</x:v>
      </x:c>
      <x:c r="I858" s="2" t="n">
        <x:v>6500</x:v>
      </x:c>
      <x:c r="J858" s="2" t="n">
        <x:v>3500</x:v>
      </x:c>
      <x:c r="K858" s="2" t="n">
        <x:v>0.1</x:v>
      </x:c>
      <x:c r="L858" s="2" t="str">
        <x:v>Completed</x:v>
      </x:c>
    </x:row>
    <x:row r="859" ht="21" customHeight="1">
      <x:c r="A859" s="2" t="n">
        <x:v>854</x:v>
      </x:c>
      <x:c r="B859" s="2" t="str">
        <x:v>TXN-00854</x:v>
      </x:c>
      <x:c r="C859" s="2" t="str">
        <x:v>2025-08-09</x:v>
      </x:c>
      <x:c r="D859" s="2" t="str">
        <x:v>Lagos</x:v>
      </x:c>
      <x:c r="E859" s="2" t="str">
        <x:v>Beauty</x:v>
      </x:c>
      <x:c r="F859" s="2" t="str">
        <x:v>Body wash</x:v>
      </x:c>
      <x:c r="G859" s="2" t="str">
        <x:v>Online</x:v>
      </x:c>
      <x:c r="H859" s="2" t="n">
        <x:v>1</x:v>
      </x:c>
      <x:c r="I859" s="2" t="n">
        <x:v>4500</x:v>
      </x:c>
      <x:c r="J859" s="2" t="n">
        <x:v>2300</x:v>
      </x:c>
      <x:c r="K859" s="2" t="n">
        <x:v>0.15</x:v>
      </x:c>
      <x:c r="L859" s="2" t="str">
        <x:v>Completed</x:v>
      </x:c>
    </x:row>
    <x:row r="860" ht="21" customHeight="1">
      <x:c r="A860" s="2" t="n">
        <x:v>855</x:v>
      </x:c>
      <x:c r="B860" s="2" t="str">
        <x:v>TXN-00855</x:v>
      </x:c>
      <x:c r="C860" s="2" t="str">
        <x:v>2025-08-12</x:v>
      </x:c>
      <x:c r="D860" s="2" t="str">
        <x:v> port harcourt </x:v>
      </x:c>
      <x:c r="E860" s="2" t="str">
        <x:v>Fashion</x:v>
      </x:c>
      <x:c r="F860" s="2" t="str">
        <x:v>Sneakers</x:v>
      </x:c>
      <x:c r="G860" s="2" t="str">
        <x:v>In-store</x:v>
      </x:c>
      <x:c r="H860" s="2" t="n">
        <x:v>1</x:v>
      </x:c>
      <x:c r="I860" s="2" t="n">
        <x:v>28000</x:v>
      </x:c>
      <x:c r="J860" s="2" t="n">
        <x:v>17500</x:v>
      </x:c>
      <x:c r="K860" s="2" t="n">
        <x:v>0.05</x:v>
      </x:c>
      <x:c r="L860" s="2" t="str">
        <x:v>Returned</x:v>
      </x:c>
    </x:row>
    <x:row r="861" ht="21" customHeight="1">
      <x:c r="A861" s="2" t="n">
        <x:v>856</x:v>
      </x:c>
      <x:c r="B861" s="2" t="str">
        <x:v>TXN-00856</x:v>
      </x:c>
      <x:c r="C861" s="2" t="str">
        <x:v>2025-08-31</x:v>
      </x:c>
      <x:c r="D861" s="2" t="str">
        <x:v>Lagos</x:v>
      </x:c>
      <x:c r="E861" s="2" t="str">
        <x:v>Beauty</x:v>
      </x:c>
      <x:c r="F861" s="2" t="str">
        <x:v>Perfume</x:v>
      </x:c>
      <x:c r="G861" s="2" t="str">
        <x:v>In-store</x:v>
      </x:c>
      <x:c r="H861" s="2" t="n">
        <x:v>1</x:v>
      </x:c>
      <x:c r="I861" s="2" t="n">
        <x:v>17000</x:v>
      </x:c>
      <x:c r="J861" s="2" t="n">
        <x:v>9000</x:v>
      </x:c>
      <x:c r="K861" s="2" t="n">
        <x:v>0.1</x:v>
      </x:c>
      <x:c r="L861" s="2" t="str">
        <x:v> COMPLETED </x:v>
      </x:c>
    </x:row>
    <x:row r="862" ht="21" customHeight="1">
      <x:c r="A862" s="2" t="n">
        <x:v>857</x:v>
      </x:c>
      <x:c r="B862" s="2" t="str">
        <x:v>TXN-00857</x:v>
      </x:c>
      <x:c r="C862" s="2" t="str">
        <x:v>2025-08-23</x:v>
      </x:c>
      <x:c r="D862" s="2" t="str">
        <x:v>Lagos</x:v>
      </x:c>
      <x:c r="E862" s="2" t="str">
        <x:v>Home</x:v>
      </x:c>
      <x:c r="F862" s="2" t="str">
        <x:v>Cookware set</x:v>
      </x:c>
      <x:c r="G862" s="2" t="str">
        <x:v>Online</x:v>
      </x:c>
      <x:c r="H862" s="2" t="n">
        <x:v>2</x:v>
      </x:c>
      <x:c r="I862" s="2" t="n">
        <x:v>35000</x:v>
      </x:c>
      <x:c r="J862" s="2" t="n">
        <x:v>22500</x:v>
      </x:c>
      <x:c r="K862" s="2" t="n">
        <x:v>0.1</x:v>
      </x:c>
      <x:c r="L862" s="2" t="str">
        <x:v>Returned</x:v>
      </x:c>
    </x:row>
    <x:row r="863" ht="21" customHeight="1">
      <x:c r="A863" s="2" t="n">
        <x:v>858</x:v>
      </x:c>
      <x:c r="B863" s="2" t="str">
        <x:v>TXN-00858</x:v>
      </x:c>
      <x:c r="C863" s="2" t="str">
        <x:v>2025-08-16</x:v>
      </x:c>
      <x:c r="D863" s="2" t="str">
        <x:v>Kano</x:v>
      </x:c>
      <x:c r="E863" s="2" t="str">
        <x:v>Beauty</x:v>
      </x:c>
      <x:c r="F863" s="2" t="str">
        <x:v>Moisturizer</x:v>
      </x:c>
      <x:c r="G863" s="2" t="str">
        <x:v>Online</x:v>
      </x:c>
      <x:c r="H863" s="2" t="n">
        <x:v>1</x:v>
      </x:c>
      <x:c r="I863" s="2" t="n">
        <x:v>6500</x:v>
      </x:c>
      <x:c r="J863" s="2" t="n">
        <x:v>3500</x:v>
      </x:c>
      <x:c r="K863" s="2" t="n">
        <x:v>0.1</x:v>
      </x:c>
      <x:c r="L863" s="2" t="str">
        <x:v>Completed</x:v>
      </x:c>
    </x:row>
    <x:row r="864" ht="21" customHeight="1">
      <x:c r="A864" s="2" t="n">
        <x:v>859</x:v>
      </x:c>
      <x:c r="B864" s="2" t="str">
        <x:v>TXN-00859</x:v>
      </x:c>
      <x:c r="C864" s="2" t="str">
        <x:v>2025-08-08</x:v>
      </x:c>
      <x:c r="D864" s="2" t="str">
        <x:v>Lagos</x:v>
      </x:c>
      <x:c r="E864" s="2" t="str">
        <x:v>Electronics</x:v>
      </x:c>
      <x:c r="F864" s="2" t="str">
        <x:v>Bluetooth speaker</x:v>
      </x:c>
      <x:c r="G864" s="2" t="str">
        <x:v> online </x:v>
      </x:c>
      <x:c r="H864" s="2" t="n">
        <x:v>3</x:v>
      </x:c>
      <x:c r="I864" s="2" t="n">
        <x:v>26000</x:v>
      </x:c>
      <x:c r="J864" s="2" t="n">
        <x:v>17000</x:v>
      </x:c>
      <x:c r="K864" s="2" t="n">
        <x:v>0</x:v>
      </x:c>
      <x:c r="L864" s="2" t="str">
        <x:v>Completed</x:v>
      </x:c>
    </x:row>
    <x:row r="865" ht="21" customHeight="1">
      <x:c r="A865" s="2" t="n">
        <x:v>860</x:v>
      </x:c>
      <x:c r="B865" s="2" t="str">
        <x:v>TXN-00860</x:v>
      </x:c>
      <x:c r="C865" s="2" t="str">
        <x:v>2025-08-22</x:v>
      </x:c>
      <x:c r="D865" s="2" t="str">
        <x:v>Lagos</x:v>
      </x:c>
      <x:c r="E865" s="2" t="str">
        <x:v>Beauty</x:v>
      </x:c>
      <x:c r="F865" s="2" t="str">
        <x:v>Body wash</x:v>
      </x:c>
      <x:c r="G865" s="2" t="str">
        <x:v>In-store</x:v>
      </x:c>
      <x:c r="H865" s="2" t="n">
        <x:v>1</x:v>
      </x:c>
      <x:c r="I865" s="2" t="n">
        <x:v>4500</x:v>
      </x:c>
      <x:c r="J865" s="2" t="n">
        <x:v>2300</x:v>
      </x:c>
      <x:c r="K865" s="2" t="n">
        <x:v>0</x:v>
      </x:c>
      <x:c r="L865" s="2" t="str">
        <x:v>Completed</x:v>
      </x:c>
    </x:row>
    <x:row r="866" ht="21" customHeight="1">
      <x:c r="A866" s="2" t="n">
        <x:v>861</x:v>
      </x:c>
      <x:c r="B866" s="2" t="str">
        <x:v>TXN-00861</x:v>
      </x:c>
      <x:c r="C866" s="2" t="str">
        <x:v>2025-08-06</x:v>
      </x:c>
      <x:c r="D866" s="2" t="str">
        <x:v>Abuja</x:v>
      </x:c>
      <x:c r="E866" s="2" t="str">
        <x:v>Beauty</x:v>
      </x:c>
      <x:c r="F866" s="2" t="str">
        <x:v>Moisturizer</x:v>
      </x:c>
      <x:c r="G866" s="2" t="str">
        <x:v>In-store</x:v>
      </x:c>
      <x:c r="H866" s="2" t="n">
        <x:v>1</x:v>
      </x:c>
      <x:c r="I866" s="2" t="n">
        <x:v>6500</x:v>
      </x:c>
      <x:c r="J866" s="2" t="n">
        <x:v>3500</x:v>
      </x:c>
      <x:c r="K866" s="2" t="n">
        <x:v>0</x:v>
      </x:c>
      <x:c r="L866" s="2" t="str">
        <x:v>Completed</x:v>
      </x:c>
    </x:row>
    <x:row r="867" ht="21" customHeight="1">
      <x:c r="A867" s="2" t="n">
        <x:v>862</x:v>
      </x:c>
      <x:c r="B867" s="2" t="str">
        <x:v>TXN-00862</x:v>
      </x:c>
      <x:c r="C867" s="2" t="str">
        <x:v>2025-08-13</x:v>
      </x:c>
      <x:c r="D867" s="2" t="str">
        <x:v> lagos </x:v>
      </x:c>
      <x:c r="E867" s="2" t="str">
        <x:v>Home</x:v>
      </x:c>
      <x:c r="F867" s="2" t="str">
        <x:v>Desk lamp</x:v>
      </x:c>
      <x:c r="G867" s="2" t="str">
        <x:v>Online</x:v>
      </x:c>
      <x:c r="H867" s="2" t="n">
        <x:v>2</x:v>
      </x:c>
      <x:c r="I867" s="2" t="n">
        <x:v>12000</x:v>
      </x:c>
      <x:c r="J867" s="2" t="n">
        <x:v>7200</x:v>
      </x:c>
      <x:c r="K867" s="2" t="n">
        <x:v>0.05</x:v>
      </x:c>
      <x:c r="L867" s="2" t="str">
        <x:v>Completed</x:v>
      </x:c>
    </x:row>
    <x:row r="868" ht="21" customHeight="1">
      <x:c r="A868" s="2" t="n">
        <x:v>863</x:v>
      </x:c>
      <x:c r="B868" s="2" t="str">
        <x:v>TXN-00863</x:v>
      </x:c>
      <x:c r="C868" s="2" t="str">
        <x:v>2025-08-01</x:v>
      </x:c>
      <x:c r="D868" s="2" t="str">
        <x:v>Abuja</x:v>
      </x:c>
      <x:c r="E868" s="2" t="str">
        <x:v>Beauty</x:v>
      </x:c>
      <x:c r="F868" s="2" t="str">
        <x:v>Perfume</x:v>
      </x:c>
      <x:c r="G868" s="2" t="str">
        <x:v>Online</x:v>
      </x:c>
      <x:c r="H868" s="2" t="n">
        <x:v>2</x:v>
      </x:c>
      <x:c r="I868" s="2" t="n">
        <x:v>17000</x:v>
      </x:c>
      <x:c r="J868" s="2" t="n">
        <x:v>9000</x:v>
      </x:c>
      <x:c r="K868" s="2" t="n">
        <x:v>0.05</x:v>
      </x:c>
      <x:c r="L868" s="2" t="str">
        <x:v>Completed</x:v>
      </x:c>
    </x:row>
    <x:row r="869" ht="21" customHeight="1">
      <x:c r="A869" s="2" t="n">
        <x:v>864</x:v>
      </x:c>
      <x:c r="B869" s="2" t="str">
        <x:v>TXN-00864</x:v>
      </x:c>
      <x:c r="C869" s="2" t="str">
        <x:v>2025-08-27</x:v>
      </x:c>
      <x:c r="D869" s="2" t="str">
        <x:v>Lagos</x:v>
      </x:c>
      <x:c r="E869" s="2" t="str">
        <x:v>Fashion</x:v>
      </x:c>
      <x:c r="F869" s="2" t="str">
        <x:v>Handbag</x:v>
      </x:c>
      <x:c r="G869" s="2" t="str">
        <x:v>Online</x:v>
      </x:c>
      <x:c r="H869" s="2" t="n">
        <x:v>1</x:v>
      </x:c>
      <x:c r="I869" s="2" t="n">
        <x:v>22000</x:v>
      </x:c>
      <x:c r="J869" s="2" t="n">
        <x:v>13500</x:v>
      </x:c>
      <x:c r="K869" s="2" t="n">
        <x:v>0</x:v>
      </x:c>
      <x:c r="L869" s="2" t="str">
        <x:v>Completed</x:v>
      </x:c>
    </x:row>
    <x:row r="870" ht="21" customHeight="1">
      <x:c r="A870" s="2" t="n">
        <x:v>865</x:v>
      </x:c>
      <x:c r="B870" s="2" t="str">
        <x:v>TXN-00865</x:v>
      </x:c>
      <x:c r="C870" s="2" t="str">
        <x:v>2025-08-02</x:v>
      </x:c>
      <x:c r="D870" s="2" t="str">
        <x:v>Lagos</x:v>
      </x:c>
      <x:c r="E870" s="2" t="str">
        <x:v>Fashion</x:v>
      </x:c>
      <x:c r="F870" s="2" t="str">
        <x:v>T-shirt</x:v>
      </x:c>
      <x:c r="G870" s="2" t="str">
        <x:v>Online</x:v>
      </x:c>
      <x:c r="H870" s="2" t="n">
        <x:v>1</x:v>
      </x:c>
      <x:c r="I870" s="2" t="n">
        <x:v>9000</x:v>
      </x:c>
      <x:c r="J870" s="2" t="n">
        <x:v>5000</x:v>
      </x:c>
      <x:c r="K870" s="2" t="n">
        <x:v>0.05</x:v>
      </x:c>
      <x:c r="L870" s="2" t="str">
        <x:v> COMPLETED </x:v>
      </x:c>
    </x:row>
    <x:row r="871" ht="21" customHeight="1">
      <x:c r="A871" s="2" t="n">
        <x:v>866</x:v>
      </x:c>
      <x:c r="B871" s="2" t="str">
        <x:v>TXN-00866</x:v>
      </x:c>
      <x:c r="C871" s="2" t="str">
        <x:v>2025-08-25</x:v>
      </x:c>
      <x:c r="D871" s="2" t="str"/>
      <x:c r="E871" s="2" t="str">
        <x:v>Electronics</x:v>
      </x:c>
      <x:c r="F871" s="2" t="str">
        <x:v>Power bank</x:v>
      </x:c>
      <x:c r="G871" s="2" t="str">
        <x:v>Online</x:v>
      </x:c>
      <x:c r="H871" s="2" t="n">
        <x:v>3</x:v>
      </x:c>
      <x:c r="I871" s="2" t="n">
        <x:v>15000</x:v>
      </x:c>
      <x:c r="J871" s="2" t="n">
        <x:v>9500</x:v>
      </x:c>
      <x:c r="K871" s="2" t="n">
        <x:v>0.1</x:v>
      </x:c>
      <x:c r="L871" s="2" t="str">
        <x:v>Completed</x:v>
      </x:c>
    </x:row>
    <x:row r="872" ht="21" customHeight="1">
      <x:c r="A872" s="2" t="n">
        <x:v>867</x:v>
      </x:c>
      <x:c r="B872" s="2" t="str">
        <x:v>TXN-00867</x:v>
      </x:c>
      <x:c r="C872" s="2" t="str">
        <x:v>2025-08-03</x:v>
      </x:c>
      <x:c r="D872" s="2" t="str">
        <x:v>Port Harcourt</x:v>
      </x:c>
      <x:c r="E872" s="2" t="str">
        <x:v>Beauty</x:v>
      </x:c>
      <x:c r="F872" s="2" t="str">
        <x:v>Body wash</x:v>
      </x:c>
      <x:c r="G872" s="2" t="str">
        <x:v>Online</x:v>
      </x:c>
      <x:c r="H872" s="2" t="n">
        <x:v>1</x:v>
      </x:c>
      <x:c r="I872" s="2" t="n">
        <x:v>4500</x:v>
      </x:c>
      <x:c r="J872" s="2" t="n">
        <x:v>2300</x:v>
      </x:c>
      <x:c r="K872" s="2" t="n">
        <x:v>0</x:v>
      </x:c>
      <x:c r="L872" s="2" t="str">
        <x:v>Completed</x:v>
      </x:c>
    </x:row>
    <x:row r="873" ht="21" customHeight="1">
      <x:c r="A873" s="2" t="n">
        <x:v>868</x:v>
      </x:c>
      <x:c r="B873" s="2" t="str">
        <x:v>TXN-00868</x:v>
      </x:c>
      <x:c r="C873" s="2" t="str">
        <x:v>2025-08-24</x:v>
      </x:c>
      <x:c r="D873" s="2" t="str">
        <x:v>Abuja</x:v>
      </x:c>
      <x:c r="E873" s="2" t="str">
        <x:v>Beauty</x:v>
      </x:c>
      <x:c r="F873" s="2" t="str">
        <x:v>Perfume</x:v>
      </x:c>
      <x:c r="G873" s="2" t="str">
        <x:v>Online</x:v>
      </x:c>
      <x:c r="H873" s="2" t="n">
        <x:v>1</x:v>
      </x:c>
      <x:c r="I873" s="2" t="n">
        <x:v>17000</x:v>
      </x:c>
      <x:c r="J873" s="2" t="n">
        <x:v>9000</x:v>
      </x:c>
      <x:c r="K873" s="2" t="n">
        <x:v>0.05</x:v>
      </x:c>
      <x:c r="L873" s="2" t="str">
        <x:v>Completed</x:v>
      </x:c>
    </x:row>
    <x:row r="874" ht="21" customHeight="1">
      <x:c r="A874" s="2" t="n">
        <x:v>869</x:v>
      </x:c>
      <x:c r="B874" s="2" t="str">
        <x:v>TXN-00869</x:v>
      </x:c>
      <x:c r="C874" s="2" t="str">
        <x:v>2025-08-01</x:v>
      </x:c>
      <x:c r="D874" s="2" t="str">
        <x:v> lagos </x:v>
      </x:c>
      <x:c r="E874" s="2" t="str">
        <x:v>Electronics</x:v>
      </x:c>
      <x:c r="F874" s="2" t="str">
        <x:v>Bluetooth speaker</x:v>
      </x:c>
      <x:c r="G874" s="2" t="str">
        <x:v>In-store</x:v>
      </x:c>
      <x:c r="H874" s="2" t="n">
        <x:v>2</x:v>
      </x:c>
      <x:c r="I874" s="2" t="n">
        <x:v>26000</x:v>
      </x:c>
      <x:c r="J874" s="2" t="n">
        <x:v>17000</x:v>
      </x:c>
      <x:c r="K874" s="2" t="n">
        <x:v>0</x:v>
      </x:c>
      <x:c r="L874" s="2" t="str">
        <x:v>Returned</x:v>
      </x:c>
    </x:row>
    <x:row r="875" ht="21" customHeight="1">
      <x:c r="A875" s="2" t="n">
        <x:v>870</x:v>
      </x:c>
      <x:c r="B875" s="2" t="str">
        <x:v>TXN-00870</x:v>
      </x:c>
      <x:c r="C875" s="2" t="str">
        <x:v>2025-08-05</x:v>
      </x:c>
      <x:c r="D875" s="2" t="str">
        <x:v>Abuja</x:v>
      </x:c>
      <x:c r="E875" s="2" t="str">
        <x:v>Electronics</x:v>
      </x:c>
      <x:c r="F875" s="2" t="str">
        <x:v>Headphones</x:v>
      </x:c>
      <x:c r="G875" s="2" t="str">
        <x:v> online </x:v>
      </x:c>
      <x:c r="H875" s="2" t="n">
        <x:v>2</x:v>
      </x:c>
      <x:c r="I875" s="2" t="n">
        <x:v>18000</x:v>
      </x:c>
      <x:c r="J875" s="2" t="n">
        <x:v>10500</x:v>
      </x:c>
      <x:c r="K875" s="2" t="n">
        <x:v>0.05</x:v>
      </x:c>
      <x:c r="L875" s="2" t="str">
        <x:v>Completed</x:v>
      </x:c>
    </x:row>
    <x:row r="876" ht="21" customHeight="1">
      <x:c r="A876" s="2" t="n">
        <x:v>871</x:v>
      </x:c>
      <x:c r="B876" s="2" t="str">
        <x:v>TXN-00871</x:v>
      </x:c>
      <x:c r="C876" s="2" t="str">
        <x:v>2025-08-27</x:v>
      </x:c>
      <x:c r="D876" s="2" t="str">
        <x:v>Lagos</x:v>
      </x:c>
      <x:c r="E876" s="2" t="str">
        <x:v>Fashion</x:v>
      </x:c>
      <x:c r="F876" s="2" t="str">
        <x:v>Handbag</x:v>
      </x:c>
      <x:c r="G876" s="2" t="str">
        <x:v>Online</x:v>
      </x:c>
      <x:c r="H876" s="2" t="n">
        <x:v>1</x:v>
      </x:c>
      <x:c r="I876" s="2" t="n">
        <x:v>22000</x:v>
      </x:c>
      <x:c r="J876" s="2" t="n">
        <x:v>13500</x:v>
      </x:c>
      <x:c r="K876" s="2" t="n">
        <x:v>0.1</x:v>
      </x:c>
      <x:c r="L876" s="2" t="str">
        <x:v>Completed</x:v>
      </x:c>
    </x:row>
    <x:row r="877" ht="21" customHeight="1">
      <x:c r="A877" s="2" t="n">
        <x:v>872</x:v>
      </x:c>
      <x:c r="B877" s="2" t="str">
        <x:v>TXN-00872</x:v>
      </x:c>
      <x:c r="C877" s="2" t="str">
        <x:v>2025-08-22</x:v>
      </x:c>
      <x:c r="D877" s="2" t="str">
        <x:v>Lagos</x:v>
      </x:c>
      <x:c r="E877" s="2" t="str">
        <x:v>Beauty</x:v>
      </x:c>
      <x:c r="F877" s="2" t="str">
        <x:v>Body wash</x:v>
      </x:c>
      <x:c r="G877" s="2" t="str">
        <x:v>In-store</x:v>
      </x:c>
      <x:c r="H877" s="2" t="n">
        <x:v>1</x:v>
      </x:c>
      <x:c r="I877" s="2" t="n">
        <x:v>4500</x:v>
      </x:c>
      <x:c r="J877" s="2" t="n">
        <x:v>2300</x:v>
      </x:c>
      <x:c r="K877" s="2" t="n">
        <x:v>0</x:v>
      </x:c>
      <x:c r="L877" s="2" t="str">
        <x:v>Completed</x:v>
      </x:c>
    </x:row>
    <x:row r="878" ht="21" customHeight="1">
      <x:c r="A878" s="2" t="n">
        <x:v>873</x:v>
      </x:c>
      <x:c r="B878" s="2" t="str">
        <x:v>TXN-00873</x:v>
      </x:c>
      <x:c r="C878" s="2" t="str">
        <x:v>2025-08-17</x:v>
      </x:c>
      <x:c r="D878" s="2" t="str"/>
      <x:c r="E878" s="2" t="str">
        <x:v>Beauty</x:v>
      </x:c>
      <x:c r="F878" s="2" t="str">
        <x:v>Moisturizer</x:v>
      </x:c>
      <x:c r="G878" s="2" t="str">
        <x:v>In-store</x:v>
      </x:c>
      <x:c r="H878" s="2" t="n">
        <x:v>1</x:v>
      </x:c>
      <x:c r="I878" s="2" t="n">
        <x:v>6500</x:v>
      </x:c>
      <x:c r="J878" s="2" t="n">
        <x:v>3500</x:v>
      </x:c>
      <x:c r="K878" s="2" t="n">
        <x:v>0</x:v>
      </x:c>
      <x:c r="L878" s="2" t="str">
        <x:v>Completed</x:v>
      </x:c>
    </x:row>
    <x:row r="879" ht="21" customHeight="1">
      <x:c r="A879" s="2" t="n">
        <x:v>874</x:v>
      </x:c>
      <x:c r="B879" s="2" t="str">
        <x:v>TXN-00874</x:v>
      </x:c>
      <x:c r="C879" s="2" t="str">
        <x:v>2025-08-07</x:v>
      </x:c>
      <x:c r="D879" s="2" t="str">
        <x:v>Kano</x:v>
      </x:c>
      <x:c r="E879" s="2" t="str">
        <x:v>Beauty</x:v>
      </x:c>
      <x:c r="F879" s="2" t="str">
        <x:v>Moisturizer</x:v>
      </x:c>
      <x:c r="G879" s="2" t="str">
        <x:v>In-store</x:v>
      </x:c>
      <x:c r="H879" s="2" t="n">
        <x:v>1</x:v>
      </x:c>
      <x:c r="I879" s="2" t="n">
        <x:v>6500</x:v>
      </x:c>
      <x:c r="J879" s="2" t="n">
        <x:v>3500</x:v>
      </x:c>
      <x:c r="K879" s="2" t="n">
        <x:v>0</x:v>
      </x:c>
      <x:c r="L879" s="2" t="str">
        <x:v> COMPLETED </x:v>
      </x:c>
    </x:row>
    <x:row r="880" ht="21" customHeight="1">
      <x:c r="A880" s="2" t="n">
        <x:v>875</x:v>
      </x:c>
      <x:c r="B880" s="2" t="str">
        <x:v>TXN-00875</x:v>
      </x:c>
      <x:c r="C880" s="2" t="str">
        <x:v>2025-08-30</x:v>
      </x:c>
      <x:c r="D880" s="2" t="str">
        <x:v>Abuja</x:v>
      </x:c>
      <x:c r="E880" s="2" t="str">
        <x:v>Fashion</x:v>
      </x:c>
      <x:c r="F880" s="2" t="str">
        <x:v>Handbag</x:v>
      </x:c>
      <x:c r="G880" s="2" t="str">
        <x:v>Online</x:v>
      </x:c>
      <x:c r="H880" s="2" t="n">
        <x:v>1</x:v>
      </x:c>
      <x:c r="I880" s="2" t="n">
        <x:v>22000</x:v>
      </x:c>
      <x:c r="J880" s="2" t="n">
        <x:v>13500</x:v>
      </x:c>
      <x:c r="K880" s="2" t="n">
        <x:v>0</x:v>
      </x:c>
      <x:c r="L880" s="2" t="str">
        <x:v>Completed</x:v>
      </x:c>
    </x:row>
    <x:row r="881" ht="21" customHeight="1">
      <x:c r="A881" s="2" t="n">
        <x:v>876</x:v>
      </x:c>
      <x:c r="B881" s="2" t="str">
        <x:v>TXN-00876</x:v>
      </x:c>
      <x:c r="C881" s="2" t="str">
        <x:v>2025-08-27</x:v>
      </x:c>
      <x:c r="D881" s="2" t="str">
        <x:v> port harcourt </x:v>
      </x:c>
      <x:c r="E881" s="2" t="str">
        <x:v>Beauty</x:v>
      </x:c>
      <x:c r="F881" s="2" t="str">
        <x:v>Moisturizer</x:v>
      </x:c>
      <x:c r="G881" s="2" t="str">
        <x:v>Online</x:v>
      </x:c>
      <x:c r="H881" s="2" t="n">
        <x:v>1</x:v>
      </x:c>
      <x:c r="I881" s="2" t="n">
        <x:v>6500</x:v>
      </x:c>
      <x:c r="J881" s="2" t="n">
        <x:v>3500</x:v>
      </x:c>
      <x:c r="K881" s="2" t="n">
        <x:v>0</x:v>
      </x:c>
      <x:c r="L881" s="2" t="str">
        <x:v>Completed</x:v>
      </x:c>
    </x:row>
    <x:row r="882" ht="21" customHeight="1">
      <x:c r="A882" s="2" t="n">
        <x:v>877</x:v>
      </x:c>
      <x:c r="B882" s="2" t="str">
        <x:v>TXN-00877</x:v>
      </x:c>
      <x:c r="C882" s="2" t="str">
        <x:v>2025-08-26</x:v>
      </x:c>
      <x:c r="D882" s="2" t="str">
        <x:v>Lagos</x:v>
      </x:c>
      <x:c r="E882" s="2" t="str">
        <x:v>Beauty</x:v>
      </x:c>
      <x:c r="F882" s="2" t="str">
        <x:v>Perfume</x:v>
      </x:c>
      <x:c r="G882" s="2" t="str">
        <x:v>Online</x:v>
      </x:c>
      <x:c r="H882" s="2" t="n">
        <x:v>1</x:v>
      </x:c>
      <x:c r="I882" s="2" t="n">
        <x:v>17000</x:v>
      </x:c>
      <x:c r="J882" s="2" t="n">
        <x:v>9000</x:v>
      </x:c>
      <x:c r="K882" s="2" t="n">
        <x:v>0.05</x:v>
      </x:c>
      <x:c r="L882" s="2" t="str">
        <x:v>Completed</x:v>
      </x:c>
    </x:row>
    <x:row r="883" ht="21" customHeight="1">
      <x:c r="A883" s="2" t="n">
        <x:v>878</x:v>
      </x:c>
      <x:c r="B883" s="2" t="str">
        <x:v>TXN-00878</x:v>
      </x:c>
      <x:c r="C883" s="2" t="str">
        <x:v>2025-08-17</x:v>
      </x:c>
      <x:c r="D883" s="2" t="str">
        <x:v>Lagos</x:v>
      </x:c>
      <x:c r="E883" s="2" t="str">
        <x:v>Fashion</x:v>
      </x:c>
      <x:c r="F883" s="2" t="str">
        <x:v>T-shirt</x:v>
      </x:c>
      <x:c r="G883" s="2" t="str">
        <x:v>In-store</x:v>
      </x:c>
      <x:c r="H883" s="2" t="n">
        <x:v>1</x:v>
      </x:c>
      <x:c r="I883" s="2" t="n">
        <x:v>9000</x:v>
      </x:c>
      <x:c r="J883" s="2" t="n">
        <x:v>5000</x:v>
      </x:c>
      <x:c r="K883" s="2" t="n">
        <x:v>0</x:v>
      </x:c>
      <x:c r="L883" s="2" t="str">
        <x:v>Completed</x:v>
      </x:c>
    </x:row>
    <x:row r="884" ht="21" customHeight="1">
      <x:c r="A884" s="2" t="n">
        <x:v>879</x:v>
      </x:c>
      <x:c r="B884" s="2" t="str">
        <x:v>TXN-00879</x:v>
      </x:c>
      <x:c r="C884" s="2" t="str">
        <x:v>2025-08-18</x:v>
      </x:c>
      <x:c r="D884" s="2" t="str">
        <x:v>Abuja</x:v>
      </x:c>
      <x:c r="E884" s="2" t="str">
        <x:v>Fashion</x:v>
      </x:c>
      <x:c r="F884" s="2" t="str">
        <x:v>Handbag</x:v>
      </x:c>
      <x:c r="G884" s="2" t="str">
        <x:v>Online</x:v>
      </x:c>
      <x:c r="H884" s="2" t="n">
        <x:v>2</x:v>
      </x:c>
      <x:c r="I884" s="2" t="n">
        <x:v>22000</x:v>
      </x:c>
      <x:c r="J884" s="2" t="n">
        <x:v>13500</x:v>
      </x:c>
      <x:c r="K884" s="2" t="n">
        <x:v>0</x:v>
      </x:c>
      <x:c r="L884" s="2" t="str">
        <x:v>Completed</x:v>
      </x:c>
    </x:row>
    <x:row r="885" ht="21" customHeight="1">
      <x:c r="A885" s="2" t="n">
        <x:v>880</x:v>
      </x:c>
      <x:c r="B885" s="2" t="str">
        <x:v>TXN-00880</x:v>
      </x:c>
      <x:c r="C885" s="2" t="str">
        <x:v>2025-08-19</x:v>
      </x:c>
      <x:c r="D885" s="2" t="str">
        <x:v>Lagos</x:v>
      </x:c>
      <x:c r="E885" s="2" t="str">
        <x:v>Electronics</x:v>
      </x:c>
      <x:c r="F885" s="2" t="str">
        <x:v>Headphones</x:v>
      </x:c>
      <x:c r="G885" s="2" t="str">
        <x:v>Online</x:v>
      </x:c>
      <x:c r="H885" s="2" t="n">
        <x:v>1</x:v>
      </x:c>
      <x:c r="I885" s="2" t="n">
        <x:v>18000</x:v>
      </x:c>
      <x:c r="J885" s="2" t="n">
        <x:v>10500</x:v>
      </x:c>
      <x:c r="K885" s="2" t="n">
        <x:v>0</x:v>
      </x:c>
      <x:c r="L885" s="2" t="str">
        <x:v>Returned</x:v>
      </x:c>
    </x:row>
    <x:row r="886" ht="21" customHeight="1">
      <x:c r="A886" s="2" t="n">
        <x:v>881</x:v>
      </x:c>
      <x:c r="B886" s="2" t="str">
        <x:v>TXN-00881</x:v>
      </x:c>
      <x:c r="C886" s="2" t="str">
        <x:v>2025-08-11</x:v>
      </x:c>
      <x:c r="D886" s="2" t="str">
        <x:v>Lagos</x:v>
      </x:c>
      <x:c r="E886" s="2" t="str">
        <x:v>Home</x:v>
      </x:c>
      <x:c r="F886" s="2" t="str">
        <x:v>Cookware set</x:v>
      </x:c>
      <x:c r="G886" s="2" t="str">
        <x:v> in-store </x:v>
      </x:c>
      <x:c r="H886" s="2" t="n">
        <x:v>1</x:v>
      </x:c>
      <x:c r="I886" s="2" t="n">
        <x:v>35000</x:v>
      </x:c>
      <x:c r="J886" s="2" t="n">
        <x:v>22500</x:v>
      </x:c>
      <x:c r="K886" s="2" t="n">
        <x:v>0</x:v>
      </x:c>
      <x:c r="L886" s="2" t="str">
        <x:v>Returned</x:v>
      </x:c>
    </x:row>
    <x:row r="887" ht="21" customHeight="1">
      <x:c r="A887" s="2" t="n">
        <x:v>882</x:v>
      </x:c>
      <x:c r="B887" s="2" t="str">
        <x:v>TXN-00882</x:v>
      </x:c>
      <x:c r="C887" s="2" t="str">
        <x:v>2025-08-28</x:v>
      </x:c>
      <x:c r="D887" s="2" t="str">
        <x:v>Abuja</x:v>
      </x:c>
      <x:c r="E887" s="2" t="str">
        <x:v>Fashion</x:v>
      </x:c>
      <x:c r="F887" s="2" t="str">
        <x:v>T-shirt</x:v>
      </x:c>
      <x:c r="G887" s="2" t="str">
        <x:v>In-store</x:v>
      </x:c>
      <x:c r="H887" s="2" t="n">
        <x:v>1</x:v>
      </x:c>
      <x:c r="I887" s="2" t="n">
        <x:v>9000</x:v>
      </x:c>
      <x:c r="J887" s="2" t="n">
        <x:v>5000</x:v>
      </x:c>
      <x:c r="K887" s="2" t="n">
        <x:v>0</x:v>
      </x:c>
      <x:c r="L887" s="2" t="str">
        <x:v>Completed</x:v>
      </x:c>
    </x:row>
    <x:row r="888" ht="21" customHeight="1">
      <x:c r="A888" s="2" t="n">
        <x:v>883</x:v>
      </x:c>
      <x:c r="B888" s="2" t="str">
        <x:v>TXN-00883</x:v>
      </x:c>
      <x:c r="C888" s="2" t="str">
        <x:v>2025-08-18</x:v>
      </x:c>
      <x:c r="D888" s="2" t="str">
        <x:v> kano </x:v>
      </x:c>
      <x:c r="E888" s="2" t="str">
        <x:v>Home</x:v>
      </x:c>
      <x:c r="F888" s="2" t="str">
        <x:v>Cookware set</x:v>
      </x:c>
      <x:c r="G888" s="2" t="str">
        <x:v>Online</x:v>
      </x:c>
      <x:c r="H888" s="2" t="n">
        <x:v>1</x:v>
      </x:c>
      <x:c r="I888" s="2" t="n">
        <x:v>35000</x:v>
      </x:c>
      <x:c r="J888" s="2" t="n">
        <x:v>22500</x:v>
      </x:c>
      <x:c r="K888" s="2" t="n">
        <x:v>0</x:v>
      </x:c>
      <x:c r="L888" s="2" t="str">
        <x:v> COMPLETED </x:v>
      </x:c>
    </x:row>
    <x:row r="889" ht="21" customHeight="1">
      <x:c r="A889" s="2" t="n">
        <x:v>884</x:v>
      </x:c>
      <x:c r="B889" s="2" t="str">
        <x:v>TXN-00884</x:v>
      </x:c>
      <x:c r="C889" s="2" t="str">
        <x:v>2025-08-04</x:v>
      </x:c>
      <x:c r="D889" s="2" t="str">
        <x:v>Lagos</x:v>
      </x:c>
      <x:c r="E889" s="2" t="str">
        <x:v>Home</x:v>
      </x:c>
      <x:c r="F889" s="2" t="str">
        <x:v>Bedsheet</x:v>
      </x:c>
      <x:c r="G889" s="2" t="str">
        <x:v>Online</x:v>
      </x:c>
      <x:c r="H889" s="2" t="n">
        <x:v>1</x:v>
      </x:c>
      <x:c r="I889" s="2" t="n">
        <x:v>14000</x:v>
      </x:c>
      <x:c r="J889" s="2" t="n">
        <x:v>8500</x:v>
      </x:c>
      <x:c r="K889" s="2" t="n">
        <x:v>0</x:v>
      </x:c>
      <x:c r="L889" s="2" t="str">
        <x:v>Completed</x:v>
      </x:c>
    </x:row>
    <x:row r="890" ht="21" customHeight="1">
      <x:c r="A890" s="2" t="n">
        <x:v>885</x:v>
      </x:c>
      <x:c r="B890" s="2" t="str">
        <x:v>TXN-00885</x:v>
      </x:c>
      <x:c r="C890" s="2" t="str">
        <x:v>2025-08-18</x:v>
      </x:c>
      <x:c r="D890" s="2" t="str">
        <x:v>Abuja</x:v>
      </x:c>
      <x:c r="E890" s="2" t="str">
        <x:v>Fashion</x:v>
      </x:c>
      <x:c r="F890" s="2" t="str">
        <x:v>Handbag</x:v>
      </x:c>
      <x:c r="G890" s="2" t="str">
        <x:v>In-store</x:v>
      </x:c>
      <x:c r="H890" s="2" t="n">
        <x:v>2</x:v>
      </x:c>
      <x:c r="I890" s="2" t="n">
        <x:v>22000</x:v>
      </x:c>
      <x:c r="J890" s="2" t="n">
        <x:v>13500</x:v>
      </x:c>
      <x:c r="K890" s="2" t="n">
        <x:v>0.1</x:v>
      </x:c>
      <x:c r="L890" s="2" t="str">
        <x:v>Completed</x:v>
      </x:c>
    </x:row>
    <x:row r="891" ht="21" customHeight="1">
      <x:c r="A891" s="2" t="n">
        <x:v>886</x:v>
      </x:c>
      <x:c r="B891" s="2" t="str">
        <x:v>TXN-00886</x:v>
      </x:c>
      <x:c r="C891" s="2" t="str">
        <x:v>2025-08-01</x:v>
      </x:c>
      <x:c r="D891" s="2" t="str">
        <x:v>Port Harcourt</x:v>
      </x:c>
      <x:c r="E891" s="2" t="str">
        <x:v>Beauty</x:v>
      </x:c>
      <x:c r="F891" s="2" t="str">
        <x:v>Moisturizer</x:v>
      </x:c>
      <x:c r="G891" s="2" t="str">
        <x:v>In-store</x:v>
      </x:c>
      <x:c r="H891" s="2" t="n">
        <x:v>2</x:v>
      </x:c>
      <x:c r="I891" s="2" t="n">
        <x:v>6500</x:v>
      </x:c>
      <x:c r="J891" s="2" t="n">
        <x:v>3500</x:v>
      </x:c>
      <x:c r="K891" s="2" t="n">
        <x:v>0</x:v>
      </x:c>
      <x:c r="L891" s="2" t="str">
        <x:v>Completed</x:v>
      </x:c>
    </x:row>
    <x:row r="892" ht="21" customHeight="1">
      <x:c r="A892" s="2" t="n">
        <x:v>887</x:v>
      </x:c>
      <x:c r="B892" s="2" t="str">
        <x:v>TXN-00887</x:v>
      </x:c>
      <x:c r="C892" s="2" t="str">
        <x:v>2025-08-14</x:v>
      </x:c>
      <x:c r="D892" s="2" t="str">
        <x:v>Port Harcourt</x:v>
      </x:c>
      <x:c r="E892" s="2" t="str">
        <x:v>Beauty</x:v>
      </x:c>
      <x:c r="F892" s="2" t="str">
        <x:v>Body wash</x:v>
      </x:c>
      <x:c r="G892" s="2" t="str">
        <x:v>In-store</x:v>
      </x:c>
      <x:c r="H892" s="2" t="n">
        <x:v>2</x:v>
      </x:c>
      <x:c r="I892" s="2" t="n">
        <x:v>4500</x:v>
      </x:c>
      <x:c r="J892" s="2" t="n">
        <x:v>2300</x:v>
      </x:c>
      <x:c r="K892" s="2" t="n">
        <x:v>0.05</x:v>
      </x:c>
      <x:c r="L892" s="2" t="str">
        <x:v>Completed</x:v>
      </x:c>
    </x:row>
    <x:row r="893" ht="21" customHeight="1">
      <x:c r="A893" s="2" t="n">
        <x:v>888</x:v>
      </x:c>
      <x:c r="B893" s="2" t="str">
        <x:v>TXN-00888</x:v>
      </x:c>
      <x:c r="C893" s="2" t="str">
        <x:v>2025-08-03</x:v>
      </x:c>
      <x:c r="D893" s="2" t="str">
        <x:v>Port Harcourt</x:v>
      </x:c>
      <x:c r="E893" s="2" t="str">
        <x:v>Home</x:v>
      </x:c>
      <x:c r="F893" s="2" t="str">
        <x:v>Desk lamp</x:v>
      </x:c>
      <x:c r="G893" s="2" t="str">
        <x:v>In-store</x:v>
      </x:c>
      <x:c r="H893" s="2" t="n">
        <x:v>1</x:v>
      </x:c>
      <x:c r="I893" s="2" t="n">
        <x:v>12000</x:v>
      </x:c>
      <x:c r="J893" s="2" t="n">
        <x:v>7200</x:v>
      </x:c>
      <x:c r="K893" s="2" t="n">
        <x:v>0</x:v>
      </x:c>
      <x:c r="L893" s="2" t="str">
        <x:v>Completed</x:v>
      </x:c>
    </x:row>
    <x:row r="894" ht="21" customHeight="1">
      <x:c r="A894" s="2" t="n">
        <x:v>889</x:v>
      </x:c>
      <x:c r="B894" s="2" t="str">
        <x:v>TXN-00889</x:v>
      </x:c>
      <x:c r="C894" s="2" t="str">
        <x:v>2025-08-10</x:v>
      </x:c>
      <x:c r="D894" s="2" t="str">
        <x:v>Lagos</x:v>
      </x:c>
      <x:c r="E894" s="2" t="str">
        <x:v>Beauty</x:v>
      </x:c>
      <x:c r="F894" s="2" t="str">
        <x:v>Moisturizer</x:v>
      </x:c>
      <x:c r="G894" s="2" t="str">
        <x:v>Online</x:v>
      </x:c>
      <x:c r="H894" s="2" t="n">
        <x:v>1</x:v>
      </x:c>
      <x:c r="I894" s="2" t="n">
        <x:v>6500</x:v>
      </x:c>
      <x:c r="J894" s="2" t="n">
        <x:v>3500</x:v>
      </x:c>
      <x:c r="K894" s="2" t="n">
        <x:v>0</x:v>
      </x:c>
      <x:c r="L894" s="2" t="str">
        <x:v>Completed</x:v>
      </x:c>
    </x:row>
    <x:row r="895" ht="21" customHeight="1">
      <x:c r="A895" s="2" t="n">
        <x:v>890</x:v>
      </x:c>
      <x:c r="B895" s="2" t="str">
        <x:v>TXN-00890</x:v>
      </x:c>
      <x:c r="C895" s="2" t="str">
        <x:v>2025-08-23</x:v>
      </x:c>
      <x:c r="D895" s="2" t="str">
        <x:v> lagos </x:v>
      </x:c>
      <x:c r="E895" s="2" t="str">
        <x:v>Beauty</x:v>
      </x:c>
      <x:c r="F895" s="2" t="str">
        <x:v>Moisturizer</x:v>
      </x:c>
      <x:c r="G895" s="2" t="str">
        <x:v>In-store</x:v>
      </x:c>
      <x:c r="H895" s="2" t="n">
        <x:v>4</x:v>
      </x:c>
      <x:c r="I895" s="2" t="n">
        <x:v>6500</x:v>
      </x:c>
      <x:c r="J895" s="2" t="n">
        <x:v>3500</x:v>
      </x:c>
      <x:c r="K895" s="2" t="n">
        <x:v>0</x:v>
      </x:c>
      <x:c r="L895" s="2" t="str">
        <x:v>Completed</x:v>
      </x:c>
    </x:row>
    <x:row r="896" ht="21" customHeight="1">
      <x:c r="A896" s="2" t="n">
        <x:v>891</x:v>
      </x:c>
      <x:c r="B896" s="2" t="str">
        <x:v>TXN-00891</x:v>
      </x:c>
      <x:c r="C896" s="2" t="str">
        <x:v>2025-08-20</x:v>
      </x:c>
      <x:c r="D896" s="2" t="str">
        <x:v>Lagos</x:v>
      </x:c>
      <x:c r="E896" s="2" t="str">
        <x:v>Fashion</x:v>
      </x:c>
      <x:c r="F896" s="2" t="str">
        <x:v>Sneakers</x:v>
      </x:c>
      <x:c r="G896" s="2" t="str">
        <x:v>Online</x:v>
      </x:c>
      <x:c r="H896" s="2" t="n">
        <x:v>1</x:v>
      </x:c>
      <x:c r="I896" s="2" t="n">
        <x:v>28000</x:v>
      </x:c>
      <x:c r="J896" s="2" t="n">
        <x:v>17500</x:v>
      </x:c>
      <x:c r="K896" s="2" t="n">
        <x:v>0</x:v>
      </x:c>
      <x:c r="L896" s="2" t="str">
        <x:v>Completed</x:v>
      </x:c>
    </x:row>
    <x:row r="897" ht="21" customHeight="1">
      <x:c r="A897" s="2" t="n">
        <x:v>892</x:v>
      </x:c>
      <x:c r="B897" s="2" t="str">
        <x:v>TXN-00892</x:v>
      </x:c>
      <x:c r="C897" s="2" t="str">
        <x:v>2025-08-07</x:v>
      </x:c>
      <x:c r="D897" s="2" t="str">
        <x:v>Lagos</x:v>
      </x:c>
      <x:c r="E897" s="2" t="str">
        <x:v>Beauty</x:v>
      </x:c>
      <x:c r="F897" s="2" t="str">
        <x:v>Perfume</x:v>
      </x:c>
      <x:c r="G897" s="2" t="str">
        <x:v> in-store </x:v>
      </x:c>
      <x:c r="H897" s="2" t="n">
        <x:v>1</x:v>
      </x:c>
      <x:c r="I897" s="2" t="n">
        <x:v>17000</x:v>
      </x:c>
      <x:c r="J897" s="2" t="n">
        <x:v>9000</x:v>
      </x:c>
      <x:c r="K897" s="2" t="n">
        <x:v>0.1</x:v>
      </x:c>
      <x:c r="L897" s="2" t="str">
        <x:v> COMPLETED </x:v>
      </x:c>
    </x:row>
    <x:row r="898" ht="21" customHeight="1">
      <x:c r="A898" s="2" t="n">
        <x:v>893</x:v>
      </x:c>
      <x:c r="B898" s="2" t="str">
        <x:v>TXN-00893</x:v>
      </x:c>
      <x:c r="C898" s="2" t="str">
        <x:v>2025-08-12</x:v>
      </x:c>
      <x:c r="D898" s="2" t="str">
        <x:v>Lagos</x:v>
      </x:c>
      <x:c r="E898" s="2" t="str">
        <x:v>Beauty</x:v>
      </x:c>
      <x:c r="F898" s="2" t="str">
        <x:v>Moisturizer</x:v>
      </x:c>
      <x:c r="G898" s="2" t="str">
        <x:v>Online</x:v>
      </x:c>
      <x:c r="H898" s="2" t="n">
        <x:v>1</x:v>
      </x:c>
      <x:c r="I898" s="2" t="n">
        <x:v>6500</x:v>
      </x:c>
      <x:c r="J898" s="2" t="n">
        <x:v>3500</x:v>
      </x:c>
      <x:c r="K898" s="2" t="n">
        <x:v>0</x:v>
      </x:c>
      <x:c r="L898" s="2" t="str">
        <x:v>Completed</x:v>
      </x:c>
    </x:row>
    <x:row r="899" ht="21" customHeight="1">
      <x:c r="A899" s="2" t="n">
        <x:v>894</x:v>
      </x:c>
      <x:c r="B899" s="2" t="str">
        <x:v>TXN-00894</x:v>
      </x:c>
      <x:c r="C899" s="2" t="str">
        <x:v>2025-08-29</x:v>
      </x:c>
      <x:c r="D899" s="2" t="str">
        <x:v>Lagos</x:v>
      </x:c>
      <x:c r="E899" s="2" t="str">
        <x:v>Beauty</x:v>
      </x:c>
      <x:c r="F899" s="2" t="str">
        <x:v>Body wash</x:v>
      </x:c>
      <x:c r="G899" s="2" t="str">
        <x:v>In-store</x:v>
      </x:c>
      <x:c r="H899" s="2" t="n">
        <x:v>1</x:v>
      </x:c>
      <x:c r="I899" s="2" t="n">
        <x:v>4500</x:v>
      </x:c>
      <x:c r="J899" s="2" t="n">
        <x:v>2300</x:v>
      </x:c>
      <x:c r="K899" s="2" t="n">
        <x:v>0</x:v>
      </x:c>
      <x:c r="L899" s="2" t="str">
        <x:v>Completed</x:v>
      </x:c>
    </x:row>
    <x:row r="900" ht="21" customHeight="1">
      <x:c r="A900" s="2" t="n">
        <x:v>895</x:v>
      </x:c>
      <x:c r="B900" s="2" t="str">
        <x:v>TXN-00895</x:v>
      </x:c>
      <x:c r="C900" s="2" t="str">
        <x:v>2025-08-08</x:v>
      </x:c>
      <x:c r="D900" s="2" t="str">
        <x:v>Kano</x:v>
      </x:c>
      <x:c r="E900" s="2" t="str">
        <x:v>Electronics</x:v>
      </x:c>
      <x:c r="F900" s="2" t="str">
        <x:v>Bluetooth speaker</x:v>
      </x:c>
      <x:c r="G900" s="2" t="str">
        <x:v>Online</x:v>
      </x:c>
      <x:c r="H900" s="2" t="n">
        <x:v>1</x:v>
      </x:c>
      <x:c r="I900" s="2" t="n">
        <x:v>26000</x:v>
      </x:c>
      <x:c r="J900" s="2" t="n">
        <x:v>17000</x:v>
      </x:c>
      <x:c r="K900" s="2" t="n">
        <x:v>0</x:v>
      </x:c>
      <x:c r="L900" s="2" t="str">
        <x:v>Completed</x:v>
      </x:c>
    </x:row>
    <x:row r="901" ht="21" customHeight="1">
      <x:c r="A901" s="2" t="n">
        <x:v>896</x:v>
      </x:c>
      <x:c r="B901" s="2" t="str">
        <x:v>TXN-00896</x:v>
      </x:c>
      <x:c r="C901" s="2" t="str">
        <x:v>2025-08-12</x:v>
      </x:c>
      <x:c r="D901" s="2" t="str">
        <x:v>Port Harcourt</x:v>
      </x:c>
      <x:c r="E901" s="2" t="str">
        <x:v>Beauty</x:v>
      </x:c>
      <x:c r="F901" s="2" t="str">
        <x:v>Perfume</x:v>
      </x:c>
      <x:c r="G901" s="2" t="str">
        <x:v>Online</x:v>
      </x:c>
      <x:c r="H901" s="2" t="n">
        <x:v>1</x:v>
      </x:c>
      <x:c r="I901" s="2" t="n">
        <x:v>17000</x:v>
      </x:c>
      <x:c r="J901" s="2" t="n">
        <x:v>9000</x:v>
      </x:c>
      <x:c r="K901" s="2" t="n">
        <x:v>0</x:v>
      </x:c>
      <x:c r="L901" s="2" t="str">
        <x:v>Returned</x:v>
      </x:c>
    </x:row>
    <x:row r="902" ht="21" customHeight="1">
      <x:c r="A902" s="2" t="n">
        <x:v>897</x:v>
      </x:c>
      <x:c r="B902" s="2" t="str">
        <x:v>TXN-00897</x:v>
      </x:c>
      <x:c r="C902" s="2" t="str">
        <x:v>2025-08-16</x:v>
      </x:c>
      <x:c r="D902" s="2" t="str">
        <x:v> port harcourt </x:v>
      </x:c>
      <x:c r="E902" s="2" t="str">
        <x:v>Beauty</x:v>
      </x:c>
      <x:c r="F902" s="2" t="str">
        <x:v>Moisturizer</x:v>
      </x:c>
      <x:c r="G902" s="2" t="str">
        <x:v>Online</x:v>
      </x:c>
      <x:c r="H902" s="2" t="n">
        <x:v>1</x:v>
      </x:c>
      <x:c r="I902" s="2" t="n">
        <x:v>6500</x:v>
      </x:c>
      <x:c r="J902" s="2" t="n">
        <x:v>3500</x:v>
      </x:c>
      <x:c r="K902" s="2" t="n">
        <x:v>0</x:v>
      </x:c>
      <x:c r="L902" s="2" t="str">
        <x:v>Completed</x:v>
      </x:c>
    </x:row>
    <x:row r="903" ht="21" customHeight="1">
      <x:c r="A903" s="2" t="n">
        <x:v>898</x:v>
      </x:c>
      <x:c r="B903" s="2" t="str">
        <x:v>TXN-00898</x:v>
      </x:c>
      <x:c r="C903" s="2" t="str">
        <x:v>2025-08-05</x:v>
      </x:c>
      <x:c r="D903" s="2" t="str">
        <x:v>Lagos</x:v>
      </x:c>
      <x:c r="E903" s="2" t="str">
        <x:v>Home</x:v>
      </x:c>
      <x:c r="F903" s="2" t="str">
        <x:v>Bedsheet</x:v>
      </x:c>
      <x:c r="G903" s="2" t="str">
        <x:v>Online</x:v>
      </x:c>
      <x:c r="H903" s="2" t="n">
        <x:v>2</x:v>
      </x:c>
      <x:c r="I903" s="2" t="n">
        <x:v>14000</x:v>
      </x:c>
      <x:c r="J903" s="2" t="n">
        <x:v>8500</x:v>
      </x:c>
      <x:c r="K903" s="2" t="n">
        <x:v>0</x:v>
      </x:c>
      <x:c r="L903" s="2" t="str">
        <x:v>Completed</x:v>
      </x:c>
    </x:row>
    <x:row r="904" ht="21" customHeight="1">
      <x:c r="A904" s="2" t="n">
        <x:v>899</x:v>
      </x:c>
      <x:c r="B904" s="2" t="str">
        <x:v>TXN-00899</x:v>
      </x:c>
      <x:c r="C904" s="2" t="str">
        <x:v>2025-08-11</x:v>
      </x:c>
      <x:c r="D904" s="2" t="str">
        <x:v>Kano</x:v>
      </x:c>
      <x:c r="E904" s="2" t="str">
        <x:v>Electronics</x:v>
      </x:c>
      <x:c r="F904" s="2" t="str">
        <x:v>Bluetooth speaker</x:v>
      </x:c>
      <x:c r="G904" s="2" t="str">
        <x:v>In-store</x:v>
      </x:c>
      <x:c r="H904" s="2" t="n">
        <x:v>1</x:v>
      </x:c>
      <x:c r="I904" s="2" t="n">
        <x:v>26000</x:v>
      </x:c>
      <x:c r="J904" s="2" t="n">
        <x:v>17000</x:v>
      </x:c>
      <x:c r="K904" s="2" t="n">
        <x:v>0</x:v>
      </x:c>
      <x:c r="L904" s="2" t="str">
        <x:v>Completed</x:v>
      </x:c>
    </x:row>
    <x:row r="905" ht="21" customHeight="1">
      <x:c r="A905" s="2" t="n">
        <x:v>900</x:v>
      </x:c>
      <x:c r="B905" s="2" t="str">
        <x:v>TXN-00900</x:v>
      </x:c>
      <x:c r="C905" s="2" t="str">
        <x:v>2025-08-02</x:v>
      </x:c>
      <x:c r="D905" s="2" t="str">
        <x:v>Port Harcourt</x:v>
      </x:c>
      <x:c r="E905" s="2" t="str">
        <x:v>Electronics</x:v>
      </x:c>
      <x:c r="F905" s="2" t="str">
        <x:v>Power bank</x:v>
      </x:c>
      <x:c r="G905" s="2" t="str">
        <x:v>Online</x:v>
      </x:c>
      <x:c r="H905" s="2" t="n">
        <x:v>2</x:v>
      </x:c>
      <x:c r="I905" s="2" t="n">
        <x:v>15000</x:v>
      </x:c>
      <x:c r="J905" s="2" t="n">
        <x:v>9500</x:v>
      </x:c>
      <x:c r="K905" s="2" t="n">
        <x:v>0.05</x:v>
      </x:c>
      <x:c r="L905" s="2" t="str">
        <x:v>Completed</x:v>
      </x:c>
    </x:row>
    <x:row r="906" ht="21" customHeight="1">
      <x:c r="A906" s="2" t="n">
        <x:v>901</x:v>
      </x:c>
      <x:c r="B906" s="2" t="str">
        <x:v>TXN-00901</x:v>
      </x:c>
      <x:c r="C906" s="2" t="str">
        <x:v>2025-08-24</x:v>
      </x:c>
      <x:c r="D906" s="2" t="str">
        <x:v>Port Harcourt</x:v>
      </x:c>
      <x:c r="E906" s="2" t="str">
        <x:v>Electronics</x:v>
      </x:c>
      <x:c r="F906" s="2" t="str">
        <x:v>Power bank</x:v>
      </x:c>
      <x:c r="G906" s="2" t="str">
        <x:v>Online</x:v>
      </x:c>
      <x:c r="H906" s="2" t="n">
        <x:v>1</x:v>
      </x:c>
      <x:c r="I906" s="2" t="n">
        <x:v>15000</x:v>
      </x:c>
      <x:c r="J906" s="2" t="n">
        <x:v>9500</x:v>
      </x:c>
      <x:c r="K906" s="2" t="n">
        <x:v>0.05</x:v>
      </x:c>
      <x:c r="L906" s="2" t="str">
        <x:v> COMPLETED </x:v>
      </x:c>
    </x:row>
    <x:row r="907" ht="21" customHeight="1">
      <x:c r="A907" s="2" t="n">
        <x:v>902</x:v>
      </x:c>
      <x:c r="B907" s="2" t="str">
        <x:v>TXN-00902</x:v>
      </x:c>
      <x:c r="C907" s="2" t="str">
        <x:v>2025-08-18</x:v>
      </x:c>
      <x:c r="D907" s="2" t="str">
        <x:v>Port Harcourt</x:v>
      </x:c>
      <x:c r="E907" s="2" t="str">
        <x:v>Beauty</x:v>
      </x:c>
      <x:c r="F907" s="2" t="str">
        <x:v>Body wash</x:v>
      </x:c>
      <x:c r="G907" s="2" t="str">
        <x:v>Online</x:v>
      </x:c>
      <x:c r="H907" s="2" t="n">
        <x:v>1</x:v>
      </x:c>
      <x:c r="I907" s="2" t="n">
        <x:v>4500</x:v>
      </x:c>
      <x:c r="J907" s="2" t="n">
        <x:v>2300</x:v>
      </x:c>
      <x:c r="K907" s="2" t="n">
        <x:v>0.1</x:v>
      </x:c>
      <x:c r="L907" s="2" t="str">
        <x:v>Completed</x:v>
      </x:c>
    </x:row>
    <x:row r="908" ht="21" customHeight="1">
      <x:c r="A908" s="2" t="n">
        <x:v>903</x:v>
      </x:c>
      <x:c r="B908" s="2" t="str">
        <x:v>TXN-00903</x:v>
      </x:c>
      <x:c r="C908" s="2" t="str">
        <x:v>2025-08-10</x:v>
      </x:c>
      <x:c r="D908" s="2" t="str">
        <x:v>Port Harcourt</x:v>
      </x:c>
      <x:c r="E908" s="2" t="str">
        <x:v>Fashion</x:v>
      </x:c>
      <x:c r="F908" s="2" t="str">
        <x:v>Sneakers</x:v>
      </x:c>
      <x:c r="G908" s="2" t="str">
        <x:v> online </x:v>
      </x:c>
      <x:c r="H908" s="2" t="n">
        <x:v>2</x:v>
      </x:c>
      <x:c r="I908" s="2" t="n">
        <x:v>28000</x:v>
      </x:c>
      <x:c r="J908" s="2" t="n">
        <x:v>17500</x:v>
      </x:c>
      <x:c r="K908" s="2" t="n">
        <x:v>0</x:v>
      </x:c>
      <x:c r="L908" s="2" t="str">
        <x:v>Returned</x:v>
      </x:c>
    </x:row>
    <x:row r="909" ht="21" customHeight="1">
      <x:c r="A909" s="2" t="n">
        <x:v>904</x:v>
      </x:c>
      <x:c r="B909" s="2" t="str">
        <x:v>TXN-00904</x:v>
      </x:c>
      <x:c r="C909" s="2" t="str">
        <x:v>2025-08-31</x:v>
      </x:c>
      <x:c r="D909" s="2" t="str">
        <x:v> lagos </x:v>
      </x:c>
      <x:c r="E909" s="2" t="str">
        <x:v>Electronics</x:v>
      </x:c>
      <x:c r="F909" s="2" t="str">
        <x:v>Power bank</x:v>
      </x:c>
      <x:c r="G909" s="2" t="str">
        <x:v>Online</x:v>
      </x:c>
      <x:c r="H909" s="2" t="n">
        <x:v>1</x:v>
      </x:c>
      <x:c r="I909" s="2" t="n">
        <x:v>15000</x:v>
      </x:c>
      <x:c r="J909" s="2" t="n">
        <x:v>9500</x:v>
      </x:c>
      <x:c r="K909" s="2" t="n">
        <x:v>0</x:v>
      </x:c>
      <x:c r="L909" s="2" t="str">
        <x:v>Completed</x:v>
      </x:c>
    </x:row>
    <x:row r="910" ht="21" customHeight="1">
      <x:c r="A910" s="2" t="n">
        <x:v>905</x:v>
      </x:c>
      <x:c r="B910" s="2" t="str">
        <x:v>TXN-00905</x:v>
      </x:c>
      <x:c r="C910" s="2" t="str">
        <x:v>2025-08-12</x:v>
      </x:c>
      <x:c r="D910" s="2" t="str">
        <x:v>Lagos</x:v>
      </x:c>
      <x:c r="E910" s="2" t="str">
        <x:v>Home</x:v>
      </x:c>
      <x:c r="F910" s="2" t="str">
        <x:v>Desk lamp</x:v>
      </x:c>
      <x:c r="G910" s="2" t="str">
        <x:v>In-store</x:v>
      </x:c>
      <x:c r="H910" s="2" t="n">
        <x:v>1</x:v>
      </x:c>
      <x:c r="I910" s="2" t="n">
        <x:v>12000</x:v>
      </x:c>
      <x:c r="J910" s="2" t="n">
        <x:v>7200</x:v>
      </x:c>
      <x:c r="K910" s="2" t="n">
        <x:v>0.15</x:v>
      </x:c>
      <x:c r="L910" s="2" t="str">
        <x:v>Completed</x:v>
      </x:c>
    </x:row>
    <x:row r="911" ht="21" customHeight="1">
      <x:c r="A911" s="2" t="n">
        <x:v>906</x:v>
      </x:c>
      <x:c r="B911" s="2" t="str">
        <x:v>TXN-00906</x:v>
      </x:c>
      <x:c r="C911" s="2" t="str">
        <x:v>2025-08-05</x:v>
      </x:c>
      <x:c r="D911" s="2" t="str">
        <x:v>Lagos</x:v>
      </x:c>
      <x:c r="E911" s="2" t="str">
        <x:v>Beauty</x:v>
      </x:c>
      <x:c r="F911" s="2" t="str">
        <x:v>Perfume</x:v>
      </x:c>
      <x:c r="G911" s="2" t="str">
        <x:v>In-store</x:v>
      </x:c>
      <x:c r="H911" s="2" t="n">
        <x:v>1</x:v>
      </x:c>
      <x:c r="I911" s="2" t="n">
        <x:v>17000</x:v>
      </x:c>
      <x:c r="J911" s="2" t="n">
        <x:v>9000</x:v>
      </x:c>
      <x:c r="K911" s="2" t="n">
        <x:v>0.05</x:v>
      </x:c>
      <x:c r="L911" s="2" t="str">
        <x:v>Completed</x:v>
      </x:c>
    </x:row>
    <x:row r="912" ht="21" customHeight="1">
      <x:c r="A912" s="2" t="n">
        <x:v>907</x:v>
      </x:c>
      <x:c r="B912" s="2" t="str">
        <x:v>TXN-00907</x:v>
      </x:c>
      <x:c r="C912" s="2" t="str">
        <x:v>2025-08-13</x:v>
      </x:c>
      <x:c r="D912" s="2" t="str">
        <x:v>Abuja</x:v>
      </x:c>
      <x:c r="E912" s="2" t="str">
        <x:v>Electronics</x:v>
      </x:c>
      <x:c r="F912" s="2" t="str">
        <x:v>Power bank</x:v>
      </x:c>
      <x:c r="G912" s="2" t="str">
        <x:v>In-store</x:v>
      </x:c>
      <x:c r="H912" s="2" t="n">
        <x:v>1</x:v>
      </x:c>
      <x:c r="I912" s="2" t="n">
        <x:v>15000</x:v>
      </x:c>
      <x:c r="J912" s="2" t="n">
        <x:v>9500</x:v>
      </x:c>
      <x:c r="K912" s="2" t="n">
        <x:v>0</x:v>
      </x:c>
      <x:c r="L912" s="2" t="str">
        <x:v>Completed</x:v>
      </x:c>
    </x:row>
    <x:row r="913" ht="21" customHeight="1">
      <x:c r="A913" s="2" t="n">
        <x:v>908</x:v>
      </x:c>
      <x:c r="B913" s="2" t="str">
        <x:v>TXN-00908</x:v>
      </x:c>
      <x:c r="C913" s="2" t="str">
        <x:v>2025-08-10</x:v>
      </x:c>
      <x:c r="D913" s="2" t="str">
        <x:v>Lagos</x:v>
      </x:c>
      <x:c r="E913" s="2" t="str">
        <x:v>Beauty</x:v>
      </x:c>
      <x:c r="F913" s="2" t="str">
        <x:v>Perfume</x:v>
      </x:c>
      <x:c r="G913" s="2" t="str">
        <x:v>In-store</x:v>
      </x:c>
      <x:c r="H913" s="2" t="n">
        <x:v>1</x:v>
      </x:c>
      <x:c r="I913" s="2" t="n">
        <x:v>17000</x:v>
      </x:c>
      <x:c r="J913" s="2" t="n">
        <x:v>9000</x:v>
      </x:c>
      <x:c r="K913" s="2" t="n">
        <x:v>0</x:v>
      </x:c>
      <x:c r="L913" s="2" t="str">
        <x:v>Completed</x:v>
      </x:c>
    </x:row>
    <x:row r="914" ht="21" customHeight="1">
      <x:c r="A914" s="2" t="n">
        <x:v>909</x:v>
      </x:c>
      <x:c r="B914" s="2" t="str">
        <x:v>TXN-00909</x:v>
      </x:c>
      <x:c r="C914" s="2" t="str">
        <x:v>2025-08-15</x:v>
      </x:c>
      <x:c r="D914" s="2" t="str">
        <x:v>Port Harcourt</x:v>
      </x:c>
      <x:c r="E914" s="2" t="str">
        <x:v>Fashion</x:v>
      </x:c>
      <x:c r="F914" s="2" t="str">
        <x:v>T-shirt</x:v>
      </x:c>
      <x:c r="G914" s="2" t="str">
        <x:v>Online</x:v>
      </x:c>
      <x:c r="H914" s="2" t="n">
        <x:v>1</x:v>
      </x:c>
      <x:c r="I914" s="2" t="n">
        <x:v>9000</x:v>
      </x:c>
      <x:c r="J914" s="2" t="n">
        <x:v>5000</x:v>
      </x:c>
      <x:c r="K914" s="2" t="n">
        <x:v>0</x:v>
      </x:c>
      <x:c r="L914" s="2" t="str">
        <x:v>Completed</x:v>
      </x:c>
    </x:row>
    <x:row r="915" ht="21" customHeight="1">
      <x:c r="A915" s="2" t="n">
        <x:v>910</x:v>
      </x:c>
      <x:c r="B915" s="2" t="str">
        <x:v>TXN-00910</x:v>
      </x:c>
      <x:c r="C915" s="2" t="str">
        <x:v>2025-09-14</x:v>
      </x:c>
      <x:c r="D915" s="2" t="str">
        <x:v>Lagos</x:v>
      </x:c>
      <x:c r="E915" s="2" t="str">
        <x:v>Electronics</x:v>
      </x:c>
      <x:c r="F915" s="2" t="str">
        <x:v>Headphones</x:v>
      </x:c>
      <x:c r="G915" s="2" t="str">
        <x:v>Online</x:v>
      </x:c>
      <x:c r="H915" s="2" t="n">
        <x:v>3</x:v>
      </x:c>
      <x:c r="I915" s="2" t="n">
        <x:v>18000</x:v>
      </x:c>
      <x:c r="J915" s="2" t="n">
        <x:v>10500</x:v>
      </x:c>
      <x:c r="K915" s="2" t="n">
        <x:v>0.05</x:v>
      </x:c>
      <x:c r="L915" s="2" t="str">
        <x:v> COMPLETED </x:v>
      </x:c>
    </x:row>
    <x:row r="916" ht="21" customHeight="1">
      <x:c r="A916" s="2" t="n">
        <x:v>911</x:v>
      </x:c>
      <x:c r="B916" s="2" t="str">
        <x:v>TXN-00911</x:v>
      </x:c>
      <x:c r="C916" s="2" t="str">
        <x:v>2025-09-02</x:v>
      </x:c>
      <x:c r="D916" s="2" t="str">
        <x:v> port harcourt </x:v>
      </x:c>
      <x:c r="E916" s="2" t="str">
        <x:v>Home</x:v>
      </x:c>
      <x:c r="F916" s="2" t="str">
        <x:v>Desk lamp</x:v>
      </x:c>
      <x:c r="G916" s="2" t="str">
        <x:v>In-store</x:v>
      </x:c>
      <x:c r="H916" s="2" t="n">
        <x:v>1</x:v>
      </x:c>
      <x:c r="I916" s="2" t="n">
        <x:v>12000</x:v>
      </x:c>
      <x:c r="J916" s="2" t="n">
        <x:v>7200</x:v>
      </x:c>
      <x:c r="K916" s="2" t="n">
        <x:v>0</x:v>
      </x:c>
      <x:c r="L916" s="2" t="str">
        <x:v>Completed</x:v>
      </x:c>
    </x:row>
    <x:row r="917" ht="21" customHeight="1">
      <x:c r="A917" s="2" t="n">
        <x:v>912</x:v>
      </x:c>
      <x:c r="B917" s="2" t="str">
        <x:v>TXN-00912</x:v>
      </x:c>
      <x:c r="C917" s="2" t="str">
        <x:v>2025-09-09</x:v>
      </x:c>
      <x:c r="D917" s="2" t="str">
        <x:v>Lagos</x:v>
      </x:c>
      <x:c r="E917" s="2" t="str">
        <x:v>Beauty</x:v>
      </x:c>
      <x:c r="F917" s="2" t="str">
        <x:v>Moisturizer</x:v>
      </x:c>
      <x:c r="G917" s="2" t="str">
        <x:v>In-store</x:v>
      </x:c>
      <x:c r="H917" s="2" t="n">
        <x:v>1</x:v>
      </x:c>
      <x:c r="I917" s="2" t="n">
        <x:v>6500</x:v>
      </x:c>
      <x:c r="J917" s="2" t="n">
        <x:v>3500</x:v>
      </x:c>
      <x:c r="K917" s="2" t="n">
        <x:v>0.05</x:v>
      </x:c>
      <x:c r="L917" s="2" t="str">
        <x:v>Completed</x:v>
      </x:c>
    </x:row>
    <x:row r="918" ht="21" customHeight="1">
      <x:c r="A918" s="2" t="n">
        <x:v>913</x:v>
      </x:c>
      <x:c r="B918" s="2" t="str">
        <x:v>TXN-00913</x:v>
      </x:c>
      <x:c r="C918" s="2" t="str">
        <x:v>2025-09-13</x:v>
      </x:c>
      <x:c r="D918" s="2" t="str">
        <x:v>Kano</x:v>
      </x:c>
      <x:c r="E918" s="2" t="str">
        <x:v>Electronics</x:v>
      </x:c>
      <x:c r="F918" s="2" t="str">
        <x:v>Bluetooth speaker</x:v>
      </x:c>
      <x:c r="G918" s="2" t="str">
        <x:v>In-store</x:v>
      </x:c>
      <x:c r="H918" s="2" t="n">
        <x:v>2</x:v>
      </x:c>
      <x:c r="I918" s="2" t="n">
        <x:v>26000</x:v>
      </x:c>
      <x:c r="J918" s="2" t="n">
        <x:v>17000</x:v>
      </x:c>
      <x:c r="K918" s="2" t="n">
        <x:v>0.05</x:v>
      </x:c>
      <x:c r="L918" s="2" t="str">
        <x:v>Completed</x:v>
      </x:c>
    </x:row>
    <x:row r="919" ht="21" customHeight="1">
      <x:c r="A919" s="2" t="n">
        <x:v>914</x:v>
      </x:c>
      <x:c r="B919" s="2" t="str">
        <x:v>TXN-00914</x:v>
      </x:c>
      <x:c r="C919" s="2" t="str">
        <x:v>2025-09-26</x:v>
      </x:c>
      <x:c r="D919" s="2" t="str">
        <x:v>Lagos</x:v>
      </x:c>
      <x:c r="E919" s="2" t="str">
        <x:v>Electronics</x:v>
      </x:c>
      <x:c r="F919" s="2" t="str">
        <x:v>Bluetooth speaker</x:v>
      </x:c>
      <x:c r="G919" s="2" t="str">
        <x:v> in-store </x:v>
      </x:c>
      <x:c r="H919" s="2" t="n">
        <x:v>1</x:v>
      </x:c>
      <x:c r="I919" s="2" t="n">
        <x:v>26000</x:v>
      </x:c>
      <x:c r="J919" s="2" t="n">
        <x:v>17000</x:v>
      </x:c>
      <x:c r="K919" s="2" t="n">
        <x:v>0</x:v>
      </x:c>
      <x:c r="L919" s="2" t="str">
        <x:v>Completed</x:v>
      </x:c>
    </x:row>
    <x:row r="920" ht="21" customHeight="1">
      <x:c r="A920" s="2" t="n">
        <x:v>915</x:v>
      </x:c>
      <x:c r="B920" s="2" t="str">
        <x:v>TXN-00915</x:v>
      </x:c>
      <x:c r="C920" s="2" t="str">
        <x:v>2025-09-20</x:v>
      </x:c>
      <x:c r="D920" s="2" t="str">
        <x:v>Abuja</x:v>
      </x:c>
      <x:c r="E920" s="2" t="str">
        <x:v>Fashion</x:v>
      </x:c>
      <x:c r="F920" s="2" t="str">
        <x:v>Sneakers</x:v>
      </x:c>
      <x:c r="G920" s="2" t="str">
        <x:v>Online</x:v>
      </x:c>
      <x:c r="H920" s="2" t="n">
        <x:v>2</x:v>
      </x:c>
      <x:c r="I920" s="2" t="n">
        <x:v>28000</x:v>
      </x:c>
      <x:c r="J920" s="2" t="n">
        <x:v>17500</x:v>
      </x:c>
      <x:c r="K920" s="2" t="n">
        <x:v>0.1</x:v>
      </x:c>
      <x:c r="L920" s="2" t="str">
        <x:v>Completed</x:v>
      </x:c>
    </x:row>
    <x:row r="921" ht="21" customHeight="1">
      <x:c r="A921" s="2" t="n">
        <x:v>916</x:v>
      </x:c>
      <x:c r="B921" s="2" t="str">
        <x:v>TXN-00916</x:v>
      </x:c>
      <x:c r="C921" s="2" t="str">
        <x:v>2025-09-02</x:v>
      </x:c>
      <x:c r="D921" s="2" t="str">
        <x:v>Abuja</x:v>
      </x:c>
      <x:c r="E921" s="2" t="str">
        <x:v>Fashion</x:v>
      </x:c>
      <x:c r="F921" s="2" t="str">
        <x:v>Sneakers</x:v>
      </x:c>
      <x:c r="G921" s="2" t="str">
        <x:v>Online</x:v>
      </x:c>
      <x:c r="H921" s="2" t="n">
        <x:v>1</x:v>
      </x:c>
      <x:c r="I921" s="2" t="n">
        <x:v>28000</x:v>
      </x:c>
      <x:c r="J921" s="2" t="n">
        <x:v>17500</x:v>
      </x:c>
      <x:c r="K921" s="2" t="n">
        <x:v>0</x:v>
      </x:c>
      <x:c r="L921" s="2" t="str">
        <x:v>Completed</x:v>
      </x:c>
    </x:row>
    <x:row r="922" ht="21" customHeight="1">
      <x:c r="A922" s="2" t="n">
        <x:v>917</x:v>
      </x:c>
      <x:c r="B922" s="2" t="str">
        <x:v>TXN-00917</x:v>
      </x:c>
      <x:c r="C922" s="2" t="str">
        <x:v>2025-09-11</x:v>
      </x:c>
      <x:c r="D922" s="2" t="str">
        <x:v>Port Harcourt</x:v>
      </x:c>
      <x:c r="E922" s="2" t="str">
        <x:v>Fashion</x:v>
      </x:c>
      <x:c r="F922" s="2" t="str">
        <x:v>Sneakers</x:v>
      </x:c>
      <x:c r="G922" s="2" t="str">
        <x:v>Online</x:v>
      </x:c>
      <x:c r="H922" s="2" t="n">
        <x:v>3</x:v>
      </x:c>
      <x:c r="I922" s="2" t="n">
        <x:v>28000</x:v>
      </x:c>
      <x:c r="J922" s="2" t="n">
        <x:v>17500</x:v>
      </x:c>
      <x:c r="K922" s="2" t="n">
        <x:v>0.1</x:v>
      </x:c>
      <x:c r="L922" s="2" t="str">
        <x:v>Completed</x:v>
      </x:c>
    </x:row>
    <x:row r="923" ht="21" customHeight="1">
      <x:c r="A923" s="2" t="n">
        <x:v>918</x:v>
      </x:c>
      <x:c r="B923" s="2" t="str">
        <x:v>TXN-00918</x:v>
      </x:c>
      <x:c r="C923" s="2" t="str">
        <x:v>2025-09-15</x:v>
      </x:c>
      <x:c r="D923" s="2" t="str">
        <x:v> lagos </x:v>
      </x:c>
      <x:c r="E923" s="2" t="str">
        <x:v>Electronics</x:v>
      </x:c>
      <x:c r="F923" s="2" t="str">
        <x:v>Bluetooth speaker</x:v>
      </x:c>
      <x:c r="G923" s="2" t="str">
        <x:v>Online</x:v>
      </x:c>
      <x:c r="H923" s="2" t="n">
        <x:v>1</x:v>
      </x:c>
      <x:c r="I923" s="2" t="n">
        <x:v>26000</x:v>
      </x:c>
      <x:c r="J923" s="2" t="n">
        <x:v>17000</x:v>
      </x:c>
      <x:c r="K923" s="2" t="n">
        <x:v>0</x:v>
      </x:c>
      <x:c r="L923" s="2" t="str">
        <x:v>Completed</x:v>
      </x:c>
    </x:row>
    <x:row r="924" ht="21" customHeight="1">
      <x:c r="A924" s="2" t="n">
        <x:v>919</x:v>
      </x:c>
      <x:c r="B924" s="2" t="str">
        <x:v>TXN-00919</x:v>
      </x:c>
      <x:c r="C924" s="2" t="str">
        <x:v>2025-09-15</x:v>
      </x:c>
      <x:c r="D924" s="2" t="str">
        <x:v>Kano</x:v>
      </x:c>
      <x:c r="E924" s="2" t="str">
        <x:v>Electronics</x:v>
      </x:c>
      <x:c r="F924" s="2" t="str">
        <x:v>Power bank</x:v>
      </x:c>
      <x:c r="G924" s="2" t="str">
        <x:v>Online</x:v>
      </x:c>
      <x:c r="H924" s="2" t="n">
        <x:v>3</x:v>
      </x:c>
      <x:c r="I924" s="2" t="n">
        <x:v>15000</x:v>
      </x:c>
      <x:c r="J924" s="2" t="n">
        <x:v>9500</x:v>
      </x:c>
      <x:c r="K924" s="2" t="n">
        <x:v>0</x:v>
      </x:c>
      <x:c r="L924" s="2" t="str">
        <x:v> COMPLETED </x:v>
      </x:c>
    </x:row>
    <x:row r="925" ht="21" customHeight="1">
      <x:c r="A925" s="2" t="n">
        <x:v>920</x:v>
      </x:c>
      <x:c r="B925" s="2" t="str">
        <x:v>TXN-00920</x:v>
      </x:c>
      <x:c r="C925" s="2" t="str">
        <x:v>2025-09-23</x:v>
      </x:c>
      <x:c r="D925" s="2" t="str">
        <x:v>Lagos</x:v>
      </x:c>
      <x:c r="E925" s="2" t="str">
        <x:v>Fashion</x:v>
      </x:c>
      <x:c r="F925" s="2" t="str">
        <x:v>T-shirt</x:v>
      </x:c>
      <x:c r="G925" s="2" t="str">
        <x:v>Online</x:v>
      </x:c>
      <x:c r="H925" s="2" t="n">
        <x:v>1</x:v>
      </x:c>
      <x:c r="I925" s="2" t="n">
        <x:v>9000</x:v>
      </x:c>
      <x:c r="J925" s="2" t="n">
        <x:v>5000</x:v>
      </x:c>
      <x:c r="K925" s="2" t="n">
        <x:v>0.05</x:v>
      </x:c>
      <x:c r="L925" s="2" t="str">
        <x:v>Completed</x:v>
      </x:c>
    </x:row>
    <x:row r="926" ht="21" customHeight="1">
      <x:c r="A926" s="2" t="n">
        <x:v>921</x:v>
      </x:c>
      <x:c r="B926" s="2" t="str">
        <x:v>TXN-00921</x:v>
      </x:c>
      <x:c r="C926" s="2" t="str">
        <x:v>2025-09-01</x:v>
      </x:c>
      <x:c r="D926" s="2" t="str">
        <x:v>Port Harcourt</x:v>
      </x:c>
      <x:c r="E926" s="2" t="str">
        <x:v>Fashion</x:v>
      </x:c>
      <x:c r="F926" s="2" t="str">
        <x:v>Sneakers</x:v>
      </x:c>
      <x:c r="G926" s="2" t="str">
        <x:v>Online</x:v>
      </x:c>
      <x:c r="H926" s="2" t="n">
        <x:v>1</x:v>
      </x:c>
      <x:c r="I926" s="2" t="n">
        <x:v>28000</x:v>
      </x:c>
      <x:c r="J926" s="2" t="n">
        <x:v>17500</x:v>
      </x:c>
      <x:c r="K926" s="2" t="n">
        <x:v>0</x:v>
      </x:c>
      <x:c r="L926" s="2" t="str">
        <x:v>Completed</x:v>
      </x:c>
    </x:row>
    <x:row r="927" ht="21" customHeight="1">
      <x:c r="A927" s="2" t="n">
        <x:v>922</x:v>
      </x:c>
      <x:c r="B927" s="2" t="str">
        <x:v>TXN-00922</x:v>
      </x:c>
      <x:c r="C927" s="2" t="str">
        <x:v>2025-09-02</x:v>
      </x:c>
      <x:c r="D927" s="2" t="str">
        <x:v>Kano</x:v>
      </x:c>
      <x:c r="E927" s="2" t="str">
        <x:v>Fashion</x:v>
      </x:c>
      <x:c r="F927" s="2" t="str">
        <x:v>Sneakers</x:v>
      </x:c>
      <x:c r="G927" s="2" t="str">
        <x:v>Online</x:v>
      </x:c>
      <x:c r="H927" s="2" t="n">
        <x:v>1</x:v>
      </x:c>
      <x:c r="I927" s="2" t="n">
        <x:v>28000</x:v>
      </x:c>
      <x:c r="J927" s="2" t="n">
        <x:v>17500</x:v>
      </x:c>
      <x:c r="K927" s="2" t="n">
        <x:v>0</x:v>
      </x:c>
      <x:c r="L927" s="2" t="str">
        <x:v>Completed</x:v>
      </x:c>
    </x:row>
    <x:row r="928" ht="21" customHeight="1">
      <x:c r="A928" s="2" t="n">
        <x:v>923</x:v>
      </x:c>
      <x:c r="B928" s="2" t="str">
        <x:v>TXN-00923</x:v>
      </x:c>
      <x:c r="C928" s="2" t="str">
        <x:v>2025-09-16</x:v>
      </x:c>
      <x:c r="D928" s="2" t="str">
        <x:v>Lagos</x:v>
      </x:c>
      <x:c r="E928" s="2" t="str">
        <x:v>Electronics</x:v>
      </x:c>
      <x:c r="F928" s="2" t="str">
        <x:v>Headphones</x:v>
      </x:c>
      <x:c r="G928" s="2" t="str">
        <x:v>In-store</x:v>
      </x:c>
      <x:c r="H928" s="2" t="n">
        <x:v>1</x:v>
      </x:c>
      <x:c r="I928" s="2" t="n">
        <x:v>18000</x:v>
      </x:c>
      <x:c r="J928" s="2" t="n">
        <x:v>10500</x:v>
      </x:c>
      <x:c r="K928" s="2" t="n">
        <x:v>0.05</x:v>
      </x:c>
      <x:c r="L928" s="2" t="str">
        <x:v>Completed</x:v>
      </x:c>
    </x:row>
    <x:row r="929" ht="21" customHeight="1">
      <x:c r="A929" s="2" t="n">
        <x:v>924</x:v>
      </x:c>
      <x:c r="B929" s="2" t="str">
        <x:v>TXN-00924</x:v>
      </x:c>
      <x:c r="C929" s="2" t="str">
        <x:v>2025-09-20</x:v>
      </x:c>
      <x:c r="D929" s="2" t="str">
        <x:v>Lagos</x:v>
      </x:c>
      <x:c r="E929" s="2" t="str">
        <x:v>Home</x:v>
      </x:c>
      <x:c r="F929" s="2" t="str">
        <x:v>Cookware set</x:v>
      </x:c>
      <x:c r="G929" s="2" t="str">
        <x:v>In-store</x:v>
      </x:c>
      <x:c r="H929" s="2" t="n">
        <x:v>1</x:v>
      </x:c>
      <x:c r="I929" s="2" t="n">
        <x:v>35000</x:v>
      </x:c>
      <x:c r="J929" s="2" t="n">
        <x:v>22500</x:v>
      </x:c>
      <x:c r="K929" s="2" t="n">
        <x:v>0.1</x:v>
      </x:c>
      <x:c r="L929" s="2" t="str">
        <x:v>Completed</x:v>
      </x:c>
    </x:row>
    <x:row r="930" ht="21" customHeight="1">
      <x:c r="A930" s="2" t="n">
        <x:v>925</x:v>
      </x:c>
      <x:c r="B930" s="2" t="str">
        <x:v>TXN-00925</x:v>
      </x:c>
      <x:c r="C930" s="2" t="str">
        <x:v>2025-09-15</x:v>
      </x:c>
      <x:c r="D930" s="2" t="str">
        <x:v> lagos </x:v>
      </x:c>
      <x:c r="E930" s="2" t="str">
        <x:v>Fashion</x:v>
      </x:c>
      <x:c r="F930" s="2" t="str">
        <x:v>Handbag</x:v>
      </x:c>
      <x:c r="G930" s="2" t="str">
        <x:v> online </x:v>
      </x:c>
      <x:c r="H930" s="2" t="n">
        <x:v>2</x:v>
      </x:c>
      <x:c r="I930" s="2" t="n">
        <x:v>22000</x:v>
      </x:c>
      <x:c r="J930" s="2" t="n">
        <x:v>13500</x:v>
      </x:c>
      <x:c r="K930" s="2" t="n">
        <x:v>0</x:v>
      </x:c>
      <x:c r="L930" s="2" t="str">
        <x:v>Completed</x:v>
      </x:c>
    </x:row>
    <x:row r="931" ht="21" customHeight="1">
      <x:c r="A931" s="2" t="n">
        <x:v>926</x:v>
      </x:c>
      <x:c r="B931" s="2" t="str">
        <x:v>TXN-00926</x:v>
      </x:c>
      <x:c r="C931" s="2" t="str">
        <x:v>2025-09-16</x:v>
      </x:c>
      <x:c r="D931" s="2" t="str">
        <x:v>Lagos</x:v>
      </x:c>
      <x:c r="E931" s="2" t="str">
        <x:v>Fashion</x:v>
      </x:c>
      <x:c r="F931" s="2" t="str">
        <x:v>T-shirt</x:v>
      </x:c>
      <x:c r="G931" s="2" t="str">
        <x:v>Online</x:v>
      </x:c>
      <x:c r="H931" s="2" t="n">
        <x:v>2</x:v>
      </x:c>
      <x:c r="I931" s="2" t="n">
        <x:v>9000</x:v>
      </x:c>
      <x:c r="J931" s="2" t="n">
        <x:v>5000</x:v>
      </x:c>
      <x:c r="K931" s="2" t="n">
        <x:v>0.05</x:v>
      </x:c>
      <x:c r="L931" s="2" t="str">
        <x:v>Completed</x:v>
      </x:c>
    </x:row>
    <x:row r="932" ht="21" customHeight="1">
      <x:c r="A932" s="2" t="n">
        <x:v>927</x:v>
      </x:c>
      <x:c r="B932" s="2" t="str">
        <x:v>TXN-00927</x:v>
      </x:c>
      <x:c r="C932" s="2" t="str">
        <x:v>2025-09-17</x:v>
      </x:c>
      <x:c r="D932" s="2" t="str">
        <x:v>Abuja</x:v>
      </x:c>
      <x:c r="E932" s="2" t="str">
        <x:v>Electronics</x:v>
      </x:c>
      <x:c r="F932" s="2" t="str">
        <x:v>Power bank</x:v>
      </x:c>
      <x:c r="G932" s="2" t="str">
        <x:v>In-store</x:v>
      </x:c>
      <x:c r="H932" s="2" t="n">
        <x:v>1</x:v>
      </x:c>
      <x:c r="I932" s="2" t="n">
        <x:v>15000</x:v>
      </x:c>
      <x:c r="J932" s="2" t="n">
        <x:v>9500</x:v>
      </x:c>
      <x:c r="K932" s="2" t="n">
        <x:v>0.15</x:v>
      </x:c>
      <x:c r="L932" s="2" t="str">
        <x:v>Completed</x:v>
      </x:c>
    </x:row>
    <x:row r="933" ht="21" customHeight="1">
      <x:c r="A933" s="2" t="n">
        <x:v>928</x:v>
      </x:c>
      <x:c r="B933" s="2" t="str">
        <x:v>TXN-00928</x:v>
      </x:c>
      <x:c r="C933" s="2" t="str">
        <x:v>2025-09-28</x:v>
      </x:c>
      <x:c r="D933" s="2" t="str">
        <x:v>Abuja</x:v>
      </x:c>
      <x:c r="E933" s="2" t="str">
        <x:v>Fashion</x:v>
      </x:c>
      <x:c r="F933" s="2" t="str">
        <x:v>Handbag</x:v>
      </x:c>
      <x:c r="G933" s="2" t="str">
        <x:v>Online</x:v>
      </x:c>
      <x:c r="H933" s="2" t="n">
        <x:v>1</x:v>
      </x:c>
      <x:c r="I933" s="2" t="n">
        <x:v>22000</x:v>
      </x:c>
      <x:c r="J933" s="2" t="n">
        <x:v>13500</x:v>
      </x:c>
      <x:c r="K933" s="2" t="n">
        <x:v>0.1</x:v>
      </x:c>
      <x:c r="L933" s="2" t="str">
        <x:v> COMPLETED </x:v>
      </x:c>
    </x:row>
    <x:row r="934" ht="21" customHeight="1">
      <x:c r="A934" s="2" t="n">
        <x:v>929</x:v>
      </x:c>
      <x:c r="B934" s="2" t="str">
        <x:v>TXN-00929</x:v>
      </x:c>
      <x:c r="C934" s="2" t="str">
        <x:v>2025-09-13</x:v>
      </x:c>
      <x:c r="D934" s="2" t="str">
        <x:v>Port Harcourt</x:v>
      </x:c>
      <x:c r="E934" s="2" t="str">
        <x:v>Home</x:v>
      </x:c>
      <x:c r="F934" s="2" t="str">
        <x:v>Cookware set</x:v>
      </x:c>
      <x:c r="G934" s="2" t="str">
        <x:v>In-store</x:v>
      </x:c>
      <x:c r="H934" s="2" t="n">
        <x:v>2</x:v>
      </x:c>
      <x:c r="I934" s="2" t="n">
        <x:v>35000</x:v>
      </x:c>
      <x:c r="J934" s="2" t="n">
        <x:v>22500</x:v>
      </x:c>
      <x:c r="K934" s="2" t="n">
        <x:v>0</x:v>
      </x:c>
      <x:c r="L934" s="2" t="str">
        <x:v>Completed</x:v>
      </x:c>
    </x:row>
    <x:row r="935" ht="21" customHeight="1">
      <x:c r="A935" s="2" t="n">
        <x:v>930</x:v>
      </x:c>
      <x:c r="B935" s="2" t="str">
        <x:v>TXN-00930</x:v>
      </x:c>
      <x:c r="C935" s="2" t="str">
        <x:v>2025-09-01</x:v>
      </x:c>
      <x:c r="D935" s="2" t="str">
        <x:v>Lagos</x:v>
      </x:c>
      <x:c r="E935" s="2" t="str">
        <x:v>Home</x:v>
      </x:c>
      <x:c r="F935" s="2" t="str">
        <x:v>Desk lamp</x:v>
      </x:c>
      <x:c r="G935" s="2" t="str">
        <x:v>In-store</x:v>
      </x:c>
      <x:c r="H935" s="2" t="n">
        <x:v>1</x:v>
      </x:c>
      <x:c r="I935" s="2" t="n">
        <x:v>12000</x:v>
      </x:c>
      <x:c r="J935" s="2" t="n">
        <x:v>7200</x:v>
      </x:c>
      <x:c r="K935" s="2" t="n">
        <x:v>0</x:v>
      </x:c>
      <x:c r="L935" s="2" t="str">
        <x:v>Completed</x:v>
      </x:c>
    </x:row>
    <x:row r="936" ht="21" customHeight="1">
      <x:c r="A936" s="2" t="n">
        <x:v>931</x:v>
      </x:c>
      <x:c r="B936" s="2" t="str">
        <x:v>TXN-00931</x:v>
      </x:c>
      <x:c r="C936" s="2" t="str">
        <x:v>2025-09-18</x:v>
      </x:c>
      <x:c r="D936" s="2" t="str">
        <x:v>Abuja</x:v>
      </x:c>
      <x:c r="E936" s="2" t="str">
        <x:v>Fashion</x:v>
      </x:c>
      <x:c r="F936" s="2" t="str">
        <x:v>Sneakers</x:v>
      </x:c>
      <x:c r="G936" s="2" t="str">
        <x:v>Online</x:v>
      </x:c>
      <x:c r="H936" s="2" t="n">
        <x:v>2</x:v>
      </x:c>
      <x:c r="I936" s="2" t="n">
        <x:v>28000</x:v>
      </x:c>
      <x:c r="J936" s="2" t="n">
        <x:v>17500</x:v>
      </x:c>
      <x:c r="K936" s="2" t="n">
        <x:v>0.1</x:v>
      </x:c>
      <x:c r="L936" s="2" t="str">
        <x:v>Completed</x:v>
      </x:c>
    </x:row>
    <x:row r="937" ht="21" customHeight="1">
      <x:c r="A937" s="2" t="n">
        <x:v>932</x:v>
      </x:c>
      <x:c r="B937" s="2" t="str">
        <x:v>TXN-00932</x:v>
      </x:c>
      <x:c r="C937" s="2" t="str">
        <x:v>2025-09-18</x:v>
      </x:c>
      <x:c r="D937" s="2" t="str">
        <x:v> abuja </x:v>
      </x:c>
      <x:c r="E937" s="2" t="str">
        <x:v>Home</x:v>
      </x:c>
      <x:c r="F937" s="2" t="str">
        <x:v>Cookware set</x:v>
      </x:c>
      <x:c r="G937" s="2" t="str">
        <x:v>In-store</x:v>
      </x:c>
      <x:c r="H937" s="2" t="n">
        <x:v>1</x:v>
      </x:c>
      <x:c r="I937" s="2" t="n">
        <x:v>35000</x:v>
      </x:c>
      <x:c r="J937" s="2" t="n">
        <x:v>22500</x:v>
      </x:c>
      <x:c r="K937" s="2" t="n">
        <x:v>0</x:v>
      </x:c>
      <x:c r="L937" s="2" t="str">
        <x:v>Completed</x:v>
      </x:c>
    </x:row>
    <x:row r="938" ht="21" customHeight="1">
      <x:c r="A938" s="2" t="n">
        <x:v>933</x:v>
      </x:c>
      <x:c r="B938" s="2" t="str">
        <x:v>TXN-00933</x:v>
      </x:c>
      <x:c r="C938" s="2" t="str">
        <x:v>2025-09-06</x:v>
      </x:c>
      <x:c r="D938" s="2" t="str">
        <x:v>Kano</x:v>
      </x:c>
      <x:c r="E938" s="2" t="str">
        <x:v>Fashion</x:v>
      </x:c>
      <x:c r="F938" s="2" t="str">
        <x:v>T-shirt</x:v>
      </x:c>
      <x:c r="G938" s="2" t="str">
        <x:v>In-store</x:v>
      </x:c>
      <x:c r="H938" s="2" t="n">
        <x:v>3</x:v>
      </x:c>
      <x:c r="I938" s="2" t="n">
        <x:v>9000</x:v>
      </x:c>
      <x:c r="J938" s="2" t="n">
        <x:v>5000</x:v>
      </x:c>
      <x:c r="K938" s="2" t="n">
        <x:v>0</x:v>
      </x:c>
      <x:c r="L938" s="2" t="str">
        <x:v>Returned</x:v>
      </x:c>
    </x:row>
    <x:row r="939" ht="21" customHeight="1">
      <x:c r="A939" s="2" t="n">
        <x:v>934</x:v>
      </x:c>
      <x:c r="B939" s="2" t="str">
        <x:v>TXN-00934</x:v>
      </x:c>
      <x:c r="C939" s="2" t="str">
        <x:v>2025-09-27</x:v>
      </x:c>
      <x:c r="D939" s="2" t="str">
        <x:v>Abuja</x:v>
      </x:c>
      <x:c r="E939" s="2" t="str">
        <x:v>Electronics</x:v>
      </x:c>
      <x:c r="F939" s="2" t="str">
        <x:v>Headphones</x:v>
      </x:c>
      <x:c r="G939" s="2" t="str">
        <x:v>Online</x:v>
      </x:c>
      <x:c r="H939" s="2" t="n">
        <x:v>1</x:v>
      </x:c>
      <x:c r="I939" s="2" t="n">
        <x:v>18000</x:v>
      </x:c>
      <x:c r="J939" s="2" t="n">
        <x:v>10500</x:v>
      </x:c>
      <x:c r="K939" s="2" t="n">
        <x:v>0.05</x:v>
      </x:c>
      <x:c r="L939" s="2" t="str">
        <x:v>Completed</x:v>
      </x:c>
    </x:row>
    <x:row r="940" ht="21" customHeight="1">
      <x:c r="A940" s="2" t="n">
        <x:v>935</x:v>
      </x:c>
      <x:c r="B940" s="2" t="str">
        <x:v>TXN-00935</x:v>
      </x:c>
      <x:c r="C940" s="2" t="str">
        <x:v>2025-09-26</x:v>
      </x:c>
      <x:c r="D940" s="2" t="str">
        <x:v>Kano</x:v>
      </x:c>
      <x:c r="E940" s="2" t="str">
        <x:v>Fashion</x:v>
      </x:c>
      <x:c r="F940" s="2" t="str">
        <x:v>T-shirt</x:v>
      </x:c>
      <x:c r="G940" s="2" t="str">
        <x:v>Online</x:v>
      </x:c>
      <x:c r="H940" s="2" t="n">
        <x:v>1</x:v>
      </x:c>
      <x:c r="I940" s="2" t="n">
        <x:v>9000</x:v>
      </x:c>
      <x:c r="J940" s="2" t="n">
        <x:v>5000</x:v>
      </x:c>
      <x:c r="K940" s="2" t="n">
        <x:v>0.05</x:v>
      </x:c>
      <x:c r="L940" s="2" t="str">
        <x:v>Completed</x:v>
      </x:c>
    </x:row>
    <x:row r="941" ht="21" customHeight="1">
      <x:c r="A941" s="2" t="n">
        <x:v>936</x:v>
      </x:c>
      <x:c r="B941" s="2" t="str">
        <x:v>TXN-00936</x:v>
      </x:c>
      <x:c r="C941" s="2" t="str">
        <x:v>2025-09-13</x:v>
      </x:c>
      <x:c r="D941" s="2" t="str">
        <x:v>Abuja</x:v>
      </x:c>
      <x:c r="E941" s="2" t="str">
        <x:v>Fashion</x:v>
      </x:c>
      <x:c r="F941" s="2" t="str">
        <x:v>Handbag</x:v>
      </x:c>
      <x:c r="G941" s="2" t="str">
        <x:v> online </x:v>
      </x:c>
      <x:c r="H941" s="2" t="n">
        <x:v>4</x:v>
      </x:c>
      <x:c r="I941" s="2" t="n">
        <x:v>22000</x:v>
      </x:c>
      <x:c r="J941" s="2" t="n">
        <x:v>13500</x:v>
      </x:c>
      <x:c r="K941" s="2" t="str"/>
      <x:c r="L941" s="2" t="str">
        <x:v>Completed</x:v>
      </x:c>
    </x:row>
    <x:row r="942" ht="21" customHeight="1">
      <x:c r="A942" s="2" t="n">
        <x:v>937</x:v>
      </x:c>
      <x:c r="B942" s="2" t="str">
        <x:v>TXN-00937</x:v>
      </x:c>
      <x:c r="C942" s="2" t="str">
        <x:v>2025-09-16</x:v>
      </x:c>
      <x:c r="D942" s="2" t="str">
        <x:v>Port Harcourt</x:v>
      </x:c>
      <x:c r="E942" s="2" t="str">
        <x:v>Fashion</x:v>
      </x:c>
      <x:c r="F942" s="2" t="str">
        <x:v>T-shirt</x:v>
      </x:c>
      <x:c r="G942" s="2" t="str">
        <x:v>In-store</x:v>
      </x:c>
      <x:c r="H942" s="2" t="n">
        <x:v>2</x:v>
      </x:c>
      <x:c r="I942" s="2" t="n">
        <x:v>9000</x:v>
      </x:c>
      <x:c r="J942" s="2" t="n">
        <x:v>5000</x:v>
      </x:c>
      <x:c r="K942" s="2" t="n">
        <x:v>0.1</x:v>
      </x:c>
      <x:c r="L942" s="2" t="str">
        <x:v> COMPLETED </x:v>
      </x:c>
    </x:row>
    <x:row r="943" ht="21" customHeight="1">
      <x:c r="A943" s="2" t="n">
        <x:v>938</x:v>
      </x:c>
      <x:c r="B943" s="2" t="str">
        <x:v>TXN-00938</x:v>
      </x:c>
      <x:c r="C943" s="2" t="str">
        <x:v>2025-09-30</x:v>
      </x:c>
      <x:c r="D943" s="2" t="str">
        <x:v>Abuja</x:v>
      </x:c>
      <x:c r="E943" s="2" t="str">
        <x:v>Home</x:v>
      </x:c>
      <x:c r="F943" s="2" t="str">
        <x:v>Cookware set</x:v>
      </x:c>
      <x:c r="G943" s="2" t="str">
        <x:v>Online</x:v>
      </x:c>
      <x:c r="H943" s="2" t="n">
        <x:v>1</x:v>
      </x:c>
      <x:c r="I943" s="2" t="n">
        <x:v>35000</x:v>
      </x:c>
      <x:c r="J943" s="2" t="n">
        <x:v>22500</x:v>
      </x:c>
      <x:c r="K943" s="2" t="n">
        <x:v>0.05</x:v>
      </x:c>
      <x:c r="L943" s="2" t="str">
        <x:v>Completed</x:v>
      </x:c>
    </x:row>
    <x:row r="944" ht="21" customHeight="1">
      <x:c r="A944" s="2" t="n">
        <x:v>939</x:v>
      </x:c>
      <x:c r="B944" s="2" t="str">
        <x:v>TXN-00939</x:v>
      </x:c>
      <x:c r="C944" s="2" t="str">
        <x:v>2025-09-15</x:v>
      </x:c>
      <x:c r="D944" s="2" t="str">
        <x:v> kano </x:v>
      </x:c>
      <x:c r="E944" s="2" t="str">
        <x:v>Electronics</x:v>
      </x:c>
      <x:c r="F944" s="2" t="str">
        <x:v>Headphones</x:v>
      </x:c>
      <x:c r="G944" s="2" t="str">
        <x:v>In-store</x:v>
      </x:c>
      <x:c r="H944" s="2" t="n">
        <x:v>1</x:v>
      </x:c>
      <x:c r="I944" s="2" t="n">
        <x:v>18000</x:v>
      </x:c>
      <x:c r="J944" s="2" t="n">
        <x:v>10500</x:v>
      </x:c>
      <x:c r="K944" s="2" t="n">
        <x:v>0.05</x:v>
      </x:c>
      <x:c r="L944" s="2" t="str">
        <x:v>Completed</x:v>
      </x:c>
    </x:row>
    <x:row r="945" ht="21" customHeight="1">
      <x:c r="A945" s="2" t="n">
        <x:v>940</x:v>
      </x:c>
      <x:c r="B945" s="2" t="str">
        <x:v>TXN-00940</x:v>
      </x:c>
      <x:c r="C945" s="2" t="str">
        <x:v>2025-09-14</x:v>
      </x:c>
      <x:c r="D945" s="2" t="str">
        <x:v>Abuja</x:v>
      </x:c>
      <x:c r="E945" s="2" t="str">
        <x:v>Beauty</x:v>
      </x:c>
      <x:c r="F945" s="2" t="str">
        <x:v>Moisturizer</x:v>
      </x:c>
      <x:c r="G945" s="2" t="str">
        <x:v>Online</x:v>
      </x:c>
      <x:c r="H945" s="2" t="n">
        <x:v>1</x:v>
      </x:c>
      <x:c r="I945" s="2" t="n">
        <x:v>6500</x:v>
      </x:c>
      <x:c r="J945" s="2" t="n">
        <x:v>3500</x:v>
      </x:c>
      <x:c r="K945" s="2" t="n">
        <x:v>0</x:v>
      </x:c>
      <x:c r="L945" s="2" t="str">
        <x:v>Completed</x:v>
      </x:c>
    </x:row>
    <x:row r="946" ht="21" customHeight="1">
      <x:c r="A946" s="2" t="n">
        <x:v>941</x:v>
      </x:c>
      <x:c r="B946" s="2" t="str">
        <x:v>TXN-00941</x:v>
      </x:c>
      <x:c r="C946" s="2" t="str">
        <x:v>2025-09-09</x:v>
      </x:c>
      <x:c r="D946" s="2" t="str">
        <x:v>Port Harcourt</x:v>
      </x:c>
      <x:c r="E946" s="2" t="str">
        <x:v>Fashion</x:v>
      </x:c>
      <x:c r="F946" s="2" t="str">
        <x:v>Sneakers</x:v>
      </x:c>
      <x:c r="G946" s="2" t="str">
        <x:v>Online</x:v>
      </x:c>
      <x:c r="H946" s="2" t="n">
        <x:v>1</x:v>
      </x:c>
      <x:c r="I946" s="2" t="n">
        <x:v>28000</x:v>
      </x:c>
      <x:c r="J946" s="2" t="n">
        <x:v>17500</x:v>
      </x:c>
      <x:c r="K946" s="2" t="n">
        <x:v>0.05</x:v>
      </x:c>
      <x:c r="L946" s="2" t="str">
        <x:v>Returned</x:v>
      </x:c>
    </x:row>
    <x:row r="947" ht="21" customHeight="1">
      <x:c r="A947" s="2" t="n">
        <x:v>942</x:v>
      </x:c>
      <x:c r="B947" s="2" t="str">
        <x:v>TXN-00942</x:v>
      </x:c>
      <x:c r="C947" s="2" t="str">
        <x:v>2025-09-19</x:v>
      </x:c>
      <x:c r="D947" s="2" t="str">
        <x:v>Kano</x:v>
      </x:c>
      <x:c r="E947" s="2" t="str">
        <x:v>Electronics</x:v>
      </x:c>
      <x:c r="F947" s="2" t="str">
        <x:v>Headphones</x:v>
      </x:c>
      <x:c r="G947" s="2" t="str">
        <x:v>Online</x:v>
      </x:c>
      <x:c r="H947" s="2" t="n">
        <x:v>4</x:v>
      </x:c>
      <x:c r="I947" s="2" t="n">
        <x:v>18000</x:v>
      </x:c>
      <x:c r="J947" s="2" t="n">
        <x:v>10500</x:v>
      </x:c>
      <x:c r="K947" s="2" t="n">
        <x:v>0</x:v>
      </x:c>
      <x:c r="L947" s="2" t="str">
        <x:v>Completed</x:v>
      </x:c>
    </x:row>
    <x:row r="948" ht="21" customHeight="1">
      <x:c r="A948" s="2" t="n">
        <x:v>943</x:v>
      </x:c>
      <x:c r="B948" s="2" t="str">
        <x:v>TXN-00943</x:v>
      </x:c>
      <x:c r="C948" s="2" t="str">
        <x:v>2025-09-29</x:v>
      </x:c>
      <x:c r="D948" s="2" t="str">
        <x:v>Lagos</x:v>
      </x:c>
      <x:c r="E948" s="2" t="str">
        <x:v>Electronics</x:v>
      </x:c>
      <x:c r="F948" s="2" t="str">
        <x:v>Bluetooth speaker</x:v>
      </x:c>
      <x:c r="G948" s="2" t="str">
        <x:v>In-store</x:v>
      </x:c>
      <x:c r="H948" s="2" t="n">
        <x:v>3</x:v>
      </x:c>
      <x:c r="I948" s="2" t="n">
        <x:v>26000</x:v>
      </x:c>
      <x:c r="J948" s="2" t="n">
        <x:v>17000</x:v>
      </x:c>
      <x:c r="K948" s="2" t="n">
        <x:v>0.05</x:v>
      </x:c>
      <x:c r="L948" s="2" t="str">
        <x:v>Completed</x:v>
      </x:c>
    </x:row>
    <x:row r="949" ht="21" customHeight="1">
      <x:c r="A949" s="2" t="n">
        <x:v>944</x:v>
      </x:c>
      <x:c r="B949" s="2" t="str">
        <x:v>TXN-00944</x:v>
      </x:c>
      <x:c r="C949" s="2" t="str">
        <x:v>2025-09-15</x:v>
      </x:c>
      <x:c r="D949" s="2" t="str">
        <x:v>Lagos</x:v>
      </x:c>
      <x:c r="E949" s="2" t="str">
        <x:v>Fashion</x:v>
      </x:c>
      <x:c r="F949" s="2" t="str">
        <x:v>Sneakers</x:v>
      </x:c>
      <x:c r="G949" s="2" t="str">
        <x:v>In-store</x:v>
      </x:c>
      <x:c r="H949" s="2" t="n">
        <x:v>1</x:v>
      </x:c>
      <x:c r="I949" s="2" t="n">
        <x:v>28000</x:v>
      </x:c>
      <x:c r="J949" s="2" t="n">
        <x:v>17500</x:v>
      </x:c>
      <x:c r="K949" s="2" t="n">
        <x:v>0.05</x:v>
      </x:c>
      <x:c r="L949" s="2" t="str">
        <x:v>Completed</x:v>
      </x:c>
    </x:row>
    <x:row r="950" ht="21" customHeight="1">
      <x:c r="A950" s="2" t="n">
        <x:v>945</x:v>
      </x:c>
      <x:c r="B950" s="2" t="str">
        <x:v>TXN-00945</x:v>
      </x:c>
      <x:c r="C950" s="2" t="str">
        <x:v>2025-09-20</x:v>
      </x:c>
      <x:c r="D950" s="2" t="str">
        <x:v>Port Harcourt</x:v>
      </x:c>
      <x:c r="E950" s="2" t="str">
        <x:v>Beauty</x:v>
      </x:c>
      <x:c r="F950" s="2" t="str">
        <x:v>Body wash</x:v>
      </x:c>
      <x:c r="G950" s="2" t="str">
        <x:v>Online</x:v>
      </x:c>
      <x:c r="H950" s="2" t="n">
        <x:v>2</x:v>
      </x:c>
      <x:c r="I950" s="2" t="n">
        <x:v>4500</x:v>
      </x:c>
      <x:c r="J950" s="2" t="n">
        <x:v>2300</x:v>
      </x:c>
      <x:c r="K950" s="2" t="n">
        <x:v>0.05</x:v>
      </x:c>
      <x:c r="L950" s="2" t="str">
        <x:v>Completed</x:v>
      </x:c>
    </x:row>
    <x:row r="951" ht="21" customHeight="1">
      <x:c r="A951" s="2" t="n">
        <x:v>946</x:v>
      </x:c>
      <x:c r="B951" s="2" t="str">
        <x:v>TXN-00946</x:v>
      </x:c>
      <x:c r="C951" s="2" t="str">
        <x:v>2025-09-27</x:v>
      </x:c>
      <x:c r="D951" s="2" t="str"/>
      <x:c r="E951" s="2" t="str">
        <x:v>Beauty</x:v>
      </x:c>
      <x:c r="F951" s="2" t="str">
        <x:v>Perfume</x:v>
      </x:c>
      <x:c r="G951" s="2" t="str">
        <x:v>In-store</x:v>
      </x:c>
      <x:c r="H951" s="2" t="n">
        <x:v>1</x:v>
      </x:c>
      <x:c r="I951" s="2" t="n">
        <x:v>17000</x:v>
      </x:c>
      <x:c r="J951" s="2" t="n">
        <x:v>9000</x:v>
      </x:c>
      <x:c r="K951" s="2" t="n">
        <x:v>0</x:v>
      </x:c>
      <x:c r="L951" s="2" t="str">
        <x:v> COMPLETED </x:v>
      </x:c>
    </x:row>
    <x:row r="952" ht="21" customHeight="1">
      <x:c r="A952" s="2" t="n">
        <x:v>947</x:v>
      </x:c>
      <x:c r="B952" s="2" t="str">
        <x:v>TXN-00947</x:v>
      </x:c>
      <x:c r="C952" s="2" t="str">
        <x:v>2025-09-25</x:v>
      </x:c>
      <x:c r="D952" s="2" t="str">
        <x:v>Lagos</x:v>
      </x:c>
      <x:c r="E952" s="2" t="str">
        <x:v>Beauty</x:v>
      </x:c>
      <x:c r="F952" s="2" t="str">
        <x:v>Body wash</x:v>
      </x:c>
      <x:c r="G952" s="2" t="str">
        <x:v> in-store </x:v>
      </x:c>
      <x:c r="H952" s="2" t="n">
        <x:v>1</x:v>
      </x:c>
      <x:c r="I952" s="2" t="n">
        <x:v>4500</x:v>
      </x:c>
      <x:c r="J952" s="2" t="n">
        <x:v>2300</x:v>
      </x:c>
      <x:c r="K952" s="2" t="n">
        <x:v>0</x:v>
      </x:c>
      <x:c r="L952" s="2" t="str">
        <x:v>Completed</x:v>
      </x:c>
    </x:row>
    <x:row r="953" ht="21" customHeight="1">
      <x:c r="A953" s="2" t="n">
        <x:v>948</x:v>
      </x:c>
      <x:c r="B953" s="2" t="str">
        <x:v>TXN-00948</x:v>
      </x:c>
      <x:c r="C953" s="2" t="str">
        <x:v>2025-09-21</x:v>
      </x:c>
      <x:c r="D953" s="2" t="str">
        <x:v>Lagos</x:v>
      </x:c>
      <x:c r="E953" s="2" t="str">
        <x:v>Beauty</x:v>
      </x:c>
      <x:c r="F953" s="2" t="str">
        <x:v>Body wash</x:v>
      </x:c>
      <x:c r="G953" s="2" t="str">
        <x:v>In-store</x:v>
      </x:c>
      <x:c r="H953" s="2" t="n">
        <x:v>1</x:v>
      </x:c>
      <x:c r="I953" s="2" t="n">
        <x:v>4500</x:v>
      </x:c>
      <x:c r="J953" s="2" t="n">
        <x:v>2300</x:v>
      </x:c>
      <x:c r="K953" s="2" t="n">
        <x:v>0</x:v>
      </x:c>
      <x:c r="L953" s="2" t="str">
        <x:v>Completed</x:v>
      </x:c>
    </x:row>
    <x:row r="954" ht="21" customHeight="1">
      <x:c r="A954" s="2" t="n">
        <x:v>949</x:v>
      </x:c>
      <x:c r="B954" s="2" t="str">
        <x:v>TXN-00949</x:v>
      </x:c>
      <x:c r="C954" s="2" t="str">
        <x:v>2025-09-22</x:v>
      </x:c>
      <x:c r="D954" s="2" t="str">
        <x:v>Port Harcourt</x:v>
      </x:c>
      <x:c r="E954" s="2" t="str">
        <x:v>Fashion</x:v>
      </x:c>
      <x:c r="F954" s="2" t="str">
        <x:v>Handbag</x:v>
      </x:c>
      <x:c r="G954" s="2" t="str">
        <x:v>In-store</x:v>
      </x:c>
      <x:c r="H954" s="2" t="n">
        <x:v>1</x:v>
      </x:c>
      <x:c r="I954" s="2" t="n">
        <x:v>22000</x:v>
      </x:c>
      <x:c r="J954" s="2" t="n">
        <x:v>13500</x:v>
      </x:c>
      <x:c r="K954" s="2" t="n">
        <x:v>0</x:v>
      </x:c>
      <x:c r="L954" s="2" t="str">
        <x:v>Completed</x:v>
      </x:c>
    </x:row>
    <x:row r="955" ht="21" customHeight="1">
      <x:c r="A955" s="2" t="n">
        <x:v>950</x:v>
      </x:c>
      <x:c r="B955" s="2" t="str">
        <x:v>TXN-00950</x:v>
      </x:c>
      <x:c r="C955" s="2" t="str">
        <x:v>2025-09-04</x:v>
      </x:c>
      <x:c r="D955" s="2" t="str">
        <x:v>Kano</x:v>
      </x:c>
      <x:c r="E955" s="2" t="str">
        <x:v>Home</x:v>
      </x:c>
      <x:c r="F955" s="2" t="str">
        <x:v>Cookware set</x:v>
      </x:c>
      <x:c r="G955" s="2" t="str">
        <x:v>In-store</x:v>
      </x:c>
      <x:c r="H955" s="2" t="n">
        <x:v>3</x:v>
      </x:c>
      <x:c r="I955" s="2" t="n">
        <x:v>35000</x:v>
      </x:c>
      <x:c r="J955" s="2" t="n">
        <x:v>22500</x:v>
      </x:c>
      <x:c r="K955" s="2" t="n">
        <x:v>0</x:v>
      </x:c>
      <x:c r="L955" s="2" t="str">
        <x:v>Completed</x:v>
      </x:c>
    </x:row>
    <x:row r="956" ht="21" customHeight="1">
      <x:c r="A956" s="2" t="n">
        <x:v>951</x:v>
      </x:c>
      <x:c r="B956" s="2" t="str">
        <x:v>TXN-00951</x:v>
      </x:c>
      <x:c r="C956" s="2" t="str">
        <x:v>2025-09-25</x:v>
      </x:c>
      <x:c r="D956" s="2" t="str">
        <x:v>Abuja</x:v>
      </x:c>
      <x:c r="E956" s="2" t="str">
        <x:v>Fashion</x:v>
      </x:c>
      <x:c r="F956" s="2" t="str">
        <x:v>Sneakers</x:v>
      </x:c>
      <x:c r="G956" s="2" t="str">
        <x:v>Online</x:v>
      </x:c>
      <x:c r="H956" s="2" t="n">
        <x:v>1</x:v>
      </x:c>
      <x:c r="I956" s="2" t="n">
        <x:v>28000</x:v>
      </x:c>
      <x:c r="J956" s="2" t="n">
        <x:v>17500</x:v>
      </x:c>
      <x:c r="K956" s="2" t="n">
        <x:v>0.05</x:v>
      </x:c>
      <x:c r="L956" s="2" t="str">
        <x:v>Completed</x:v>
      </x:c>
    </x:row>
    <x:row r="957" ht="21" customHeight="1">
      <x:c r="A957" s="2" t="n">
        <x:v>952</x:v>
      </x:c>
      <x:c r="B957" s="2" t="str">
        <x:v>TXN-00952</x:v>
      </x:c>
      <x:c r="C957" s="2" t="str">
        <x:v>2025-09-07</x:v>
      </x:c>
      <x:c r="D957" s="2" t="str">
        <x:v>Port Harcourt</x:v>
      </x:c>
      <x:c r="E957" s="2" t="str">
        <x:v>Electronics</x:v>
      </x:c>
      <x:c r="F957" s="2" t="str">
        <x:v>Power bank</x:v>
      </x:c>
      <x:c r="G957" s="2" t="str">
        <x:v>In-store</x:v>
      </x:c>
      <x:c r="H957" s="2" t="n">
        <x:v>1</x:v>
      </x:c>
      <x:c r="I957" s="2" t="n">
        <x:v>15000</x:v>
      </x:c>
      <x:c r="J957" s="2" t="n">
        <x:v>9500</x:v>
      </x:c>
      <x:c r="K957" s="2" t="n">
        <x:v>0</x:v>
      </x:c>
      <x:c r="L957" s="2" t="str">
        <x:v>Completed</x:v>
      </x:c>
    </x:row>
    <x:row r="958" ht="21" customHeight="1">
      <x:c r="A958" s="2" t="n">
        <x:v>953</x:v>
      </x:c>
      <x:c r="B958" s="2" t="str">
        <x:v>TXN-00953</x:v>
      </x:c>
      <x:c r="C958" s="2" t="str">
        <x:v>2025-09-10</x:v>
      </x:c>
      <x:c r="D958" s="2" t="str">
        <x:v> port harcourt </x:v>
      </x:c>
      <x:c r="E958" s="2" t="str">
        <x:v>Electronics</x:v>
      </x:c>
      <x:c r="F958" s="2" t="str">
        <x:v>Bluetooth speaker</x:v>
      </x:c>
      <x:c r="G958" s="2" t="str">
        <x:v>Online</x:v>
      </x:c>
      <x:c r="H958" s="2" t="n">
        <x:v>4</x:v>
      </x:c>
      <x:c r="I958" s="2" t="n">
        <x:v>26000</x:v>
      </x:c>
      <x:c r="J958" s="2" t="n">
        <x:v>17000</x:v>
      </x:c>
      <x:c r="K958" s="2" t="n">
        <x:v>0.05</x:v>
      </x:c>
      <x:c r="L958" s="2" t="str">
        <x:v>Completed</x:v>
      </x:c>
    </x:row>
    <x:row r="959" ht="21" customHeight="1">
      <x:c r="A959" s="2" t="n">
        <x:v>954</x:v>
      </x:c>
      <x:c r="B959" s="2" t="str">
        <x:v>TXN-00954</x:v>
      </x:c>
      <x:c r="C959" s="2" t="str">
        <x:v>2025-09-27</x:v>
      </x:c>
      <x:c r="D959" s="2" t="str">
        <x:v>Kano</x:v>
      </x:c>
      <x:c r="E959" s="2" t="str">
        <x:v>Beauty</x:v>
      </x:c>
      <x:c r="F959" s="2" t="str">
        <x:v>Perfume</x:v>
      </x:c>
      <x:c r="G959" s="2" t="str">
        <x:v>In-store</x:v>
      </x:c>
      <x:c r="H959" s="2" t="n">
        <x:v>2</x:v>
      </x:c>
      <x:c r="I959" s="2" t="n">
        <x:v>17000</x:v>
      </x:c>
      <x:c r="J959" s="2" t="n">
        <x:v>9000</x:v>
      </x:c>
      <x:c r="K959" s="2" t="n">
        <x:v>0</x:v>
      </x:c>
      <x:c r="L959" s="2" t="str">
        <x:v>Completed</x:v>
      </x:c>
    </x:row>
    <x:row r="960" ht="21" customHeight="1">
      <x:c r="A960" s="2" t="n">
        <x:v>955</x:v>
      </x:c>
      <x:c r="B960" s="2" t="str">
        <x:v>TXN-00955</x:v>
      </x:c>
      <x:c r="C960" s="2" t="str">
        <x:v>2025-09-06</x:v>
      </x:c>
      <x:c r="D960" s="2" t="str">
        <x:v>Kano</x:v>
      </x:c>
      <x:c r="E960" s="2" t="str">
        <x:v>Home</x:v>
      </x:c>
      <x:c r="F960" s="2" t="str">
        <x:v>Desk lamp</x:v>
      </x:c>
      <x:c r="G960" s="2" t="str">
        <x:v>Online</x:v>
      </x:c>
      <x:c r="H960" s="2" t="n">
        <x:v>2</x:v>
      </x:c>
      <x:c r="I960" s="2" t="n">
        <x:v>12000</x:v>
      </x:c>
      <x:c r="J960" s="2" t="n">
        <x:v>7200</x:v>
      </x:c>
      <x:c r="K960" s="2" t="n">
        <x:v>0.05</x:v>
      </x:c>
      <x:c r="L960" s="2" t="str">
        <x:v> COMPLETED </x:v>
      </x:c>
    </x:row>
    <x:row r="961" ht="21" customHeight="1">
      <x:c r="A961" s="2" t="n">
        <x:v>956</x:v>
      </x:c>
      <x:c r="B961" s="2" t="str">
        <x:v>TXN-00956</x:v>
      </x:c>
      <x:c r="C961" s="2" t="str">
        <x:v>2025-09-28</x:v>
      </x:c>
      <x:c r="D961" s="2" t="str">
        <x:v>Lagos</x:v>
      </x:c>
      <x:c r="E961" s="2" t="str">
        <x:v>Home</x:v>
      </x:c>
      <x:c r="F961" s="2" t="str">
        <x:v>Desk lamp</x:v>
      </x:c>
      <x:c r="G961" s="2" t="str">
        <x:v>Online</x:v>
      </x:c>
      <x:c r="H961" s="2" t="n">
        <x:v>2</x:v>
      </x:c>
      <x:c r="I961" s="2" t="n">
        <x:v>12000</x:v>
      </x:c>
      <x:c r="J961" s="2" t="n">
        <x:v>7200</x:v>
      </x:c>
      <x:c r="K961" s="2" t="n">
        <x:v>0</x:v>
      </x:c>
      <x:c r="L961" s="2" t="str">
        <x:v>Completed</x:v>
      </x:c>
    </x:row>
    <x:row r="962" ht="21" customHeight="1">
      <x:c r="A962" s="2" t="n">
        <x:v>957</x:v>
      </x:c>
      <x:c r="B962" s="2" t="str">
        <x:v>TXN-00957</x:v>
      </x:c>
      <x:c r="C962" s="2" t="str">
        <x:v>2025-09-25</x:v>
      </x:c>
      <x:c r="D962" s="2" t="str">
        <x:v>Lagos</x:v>
      </x:c>
      <x:c r="E962" s="2" t="str">
        <x:v>Home</x:v>
      </x:c>
      <x:c r="F962" s="2" t="str">
        <x:v>Cookware set</x:v>
      </x:c>
      <x:c r="G962" s="2" t="str">
        <x:v>In-store</x:v>
      </x:c>
      <x:c r="H962" s="2" t="n">
        <x:v>1</x:v>
      </x:c>
      <x:c r="I962" s="2" t="n">
        <x:v>35000</x:v>
      </x:c>
      <x:c r="J962" s="2" t="n">
        <x:v>22500</x:v>
      </x:c>
      <x:c r="K962" s="2" t="n">
        <x:v>0</x:v>
      </x:c>
      <x:c r="L962" s="2" t="str">
        <x:v>Completed</x:v>
      </x:c>
    </x:row>
    <x:row r="963" ht="21" customHeight="1">
      <x:c r="A963" s="2" t="n">
        <x:v>958</x:v>
      </x:c>
      <x:c r="B963" s="2" t="str">
        <x:v>TXN-00958</x:v>
      </x:c>
      <x:c r="C963" s="2" t="str">
        <x:v>2025-09-20</x:v>
      </x:c>
      <x:c r="D963" s="2" t="str">
        <x:v>Lagos</x:v>
      </x:c>
      <x:c r="E963" s="2" t="str">
        <x:v>Fashion</x:v>
      </x:c>
      <x:c r="F963" s="2" t="str">
        <x:v>T-shirt</x:v>
      </x:c>
      <x:c r="G963" s="2" t="str">
        <x:v> online </x:v>
      </x:c>
      <x:c r="H963" s="2" t="n">
        <x:v>2</x:v>
      </x:c>
      <x:c r="I963" s="2" t="n">
        <x:v>9000</x:v>
      </x:c>
      <x:c r="J963" s="2" t="n">
        <x:v>5000</x:v>
      </x:c>
      <x:c r="K963" s="2" t="n">
        <x:v>0</x:v>
      </x:c>
      <x:c r="L963" s="2" t="str">
        <x:v>Completed</x:v>
      </x:c>
    </x:row>
    <x:row r="964" ht="21" customHeight="1">
      <x:c r="A964" s="2" t="n">
        <x:v>959</x:v>
      </x:c>
      <x:c r="B964" s="2" t="str">
        <x:v>TXN-00959</x:v>
      </x:c>
      <x:c r="C964" s="2" t="str">
        <x:v>2025-09-13</x:v>
      </x:c>
      <x:c r="D964" s="2" t="str">
        <x:v>Kano</x:v>
      </x:c>
      <x:c r="E964" s="2" t="str">
        <x:v>Beauty</x:v>
      </x:c>
      <x:c r="F964" s="2" t="str">
        <x:v>Body wash</x:v>
      </x:c>
      <x:c r="G964" s="2" t="str">
        <x:v>In-store</x:v>
      </x:c>
      <x:c r="H964" s="2" t="n">
        <x:v>1</x:v>
      </x:c>
      <x:c r="I964" s="2" t="n">
        <x:v>4500</x:v>
      </x:c>
      <x:c r="J964" s="2" t="n">
        <x:v>2300</x:v>
      </x:c>
      <x:c r="K964" s="2" t="n">
        <x:v>0</x:v>
      </x:c>
      <x:c r="L964" s="2" t="str">
        <x:v>Completed</x:v>
      </x:c>
    </x:row>
    <x:row r="965" ht="21" customHeight="1">
      <x:c r="A965" s="2" t="n">
        <x:v>960</x:v>
      </x:c>
      <x:c r="B965" s="2" t="str">
        <x:v>TXN-00960</x:v>
      </x:c>
      <x:c r="C965" s="2" t="str">
        <x:v>2025-09-26</x:v>
      </x:c>
      <x:c r="D965" s="2" t="str">
        <x:v> lagos </x:v>
      </x:c>
      <x:c r="E965" s="2" t="str">
        <x:v>Electronics</x:v>
      </x:c>
      <x:c r="F965" s="2" t="str">
        <x:v>Bluetooth speaker</x:v>
      </x:c>
      <x:c r="G965" s="2" t="str">
        <x:v>Online</x:v>
      </x:c>
      <x:c r="H965" s="2" t="n">
        <x:v>1</x:v>
      </x:c>
      <x:c r="I965" s="2" t="n">
        <x:v>26000</x:v>
      </x:c>
      <x:c r="J965" s="2" t="n">
        <x:v>17000</x:v>
      </x:c>
      <x:c r="K965" s="2" t="n">
        <x:v>0</x:v>
      </x:c>
      <x:c r="L965" s="2" t="str">
        <x:v>Completed</x:v>
      </x:c>
    </x:row>
    <x:row r="966" ht="21" customHeight="1">
      <x:c r="A966" s="2" t="n">
        <x:v>961</x:v>
      </x:c>
      <x:c r="B966" s="2" t="str">
        <x:v>TXN-00961</x:v>
      </x:c>
      <x:c r="C966" s="2" t="str">
        <x:v>2025-09-14</x:v>
      </x:c>
      <x:c r="D966" s="2" t="str">
        <x:v>Port Harcourt</x:v>
      </x:c>
      <x:c r="E966" s="2" t="str">
        <x:v>Electronics</x:v>
      </x:c>
      <x:c r="F966" s="2" t="str">
        <x:v>Headphones</x:v>
      </x:c>
      <x:c r="G966" s="2" t="str">
        <x:v>Online</x:v>
      </x:c>
      <x:c r="H966" s="2" t="n">
        <x:v>1</x:v>
      </x:c>
      <x:c r="I966" s="2" t="n">
        <x:v>18000</x:v>
      </x:c>
      <x:c r="J966" s="2" t="n">
        <x:v>10500</x:v>
      </x:c>
      <x:c r="K966" s="2" t="n">
        <x:v>0.05</x:v>
      </x:c>
      <x:c r="L966" s="2" t="str">
        <x:v>Completed</x:v>
      </x:c>
    </x:row>
    <x:row r="967" ht="21" customHeight="1">
      <x:c r="A967" s="2" t="n">
        <x:v>962</x:v>
      </x:c>
      <x:c r="B967" s="2" t="str">
        <x:v>TXN-00962</x:v>
      </x:c>
      <x:c r="C967" s="2" t="str">
        <x:v>2025-09-30</x:v>
      </x:c>
      <x:c r="D967" s="2" t="str">
        <x:v>Lagos</x:v>
      </x:c>
      <x:c r="E967" s="2" t="str">
        <x:v>Home</x:v>
      </x:c>
      <x:c r="F967" s="2" t="str">
        <x:v>Cookware set</x:v>
      </x:c>
      <x:c r="G967" s="2" t="str">
        <x:v>Online</x:v>
      </x:c>
      <x:c r="H967" s="2" t="n">
        <x:v>1</x:v>
      </x:c>
      <x:c r="I967" s="2" t="n">
        <x:v>35000</x:v>
      </x:c>
      <x:c r="J967" s="2" t="n">
        <x:v>22500</x:v>
      </x:c>
      <x:c r="K967" s="2" t="n">
        <x:v>0.05</x:v>
      </x:c>
      <x:c r="L967" s="2" t="str">
        <x:v>Completed</x:v>
      </x:c>
    </x:row>
    <x:row r="968" ht="21" customHeight="1">
      <x:c r="A968" s="2" t="n">
        <x:v>963</x:v>
      </x:c>
      <x:c r="B968" s="2" t="str">
        <x:v>TXN-00963</x:v>
      </x:c>
      <x:c r="C968" s="2" t="str">
        <x:v>2025-09-29</x:v>
      </x:c>
      <x:c r="D968" s="2" t="str">
        <x:v>Port Harcourt</x:v>
      </x:c>
      <x:c r="E968" s="2" t="str">
        <x:v>Electronics</x:v>
      </x:c>
      <x:c r="F968" s="2" t="str">
        <x:v>Power bank</x:v>
      </x:c>
      <x:c r="G968" s="2" t="str">
        <x:v>In-store</x:v>
      </x:c>
      <x:c r="H968" s="2" t="n">
        <x:v>1</x:v>
      </x:c>
      <x:c r="I968" s="2" t="n">
        <x:v>15000</x:v>
      </x:c>
      <x:c r="J968" s="2" t="n">
        <x:v>9500</x:v>
      </x:c>
      <x:c r="K968" s="2" t="n">
        <x:v>0.15</x:v>
      </x:c>
      <x:c r="L968" s="2" t="str">
        <x:v>Completed</x:v>
      </x:c>
    </x:row>
    <x:row r="969" ht="21" customHeight="1">
      <x:c r="A969" s="2" t="n">
        <x:v>964</x:v>
      </x:c>
      <x:c r="B969" s="2" t="str">
        <x:v>TXN-00964</x:v>
      </x:c>
      <x:c r="C969" s="2" t="str">
        <x:v>2025-09-29</x:v>
      </x:c>
      <x:c r="D969" s="2" t="str">
        <x:v>Abuja</x:v>
      </x:c>
      <x:c r="E969" s="2" t="str">
        <x:v>Beauty</x:v>
      </x:c>
      <x:c r="F969" s="2" t="str">
        <x:v>Body wash</x:v>
      </x:c>
      <x:c r="G969" s="2" t="str">
        <x:v>Online</x:v>
      </x:c>
      <x:c r="H969" s="2" t="n">
        <x:v>2</x:v>
      </x:c>
      <x:c r="I969" s="2" t="n">
        <x:v>4500</x:v>
      </x:c>
      <x:c r="J969" s="2" t="n">
        <x:v>2300</x:v>
      </x:c>
      <x:c r="K969" s="2" t="n">
        <x:v>0</x:v>
      </x:c>
      <x:c r="L969" s="2" t="str">
        <x:v> COMPLETED </x:v>
      </x:c>
    </x:row>
    <x:row r="970" ht="21" customHeight="1">
      <x:c r="A970" s="2" t="n">
        <x:v>965</x:v>
      </x:c>
      <x:c r="B970" s="2" t="str">
        <x:v>TXN-00965</x:v>
      </x:c>
      <x:c r="C970" s="2" t="str">
        <x:v>2025-09-03</x:v>
      </x:c>
      <x:c r="D970" s="2" t="str">
        <x:v>Abuja</x:v>
      </x:c>
      <x:c r="E970" s="2" t="str">
        <x:v>Electronics</x:v>
      </x:c>
      <x:c r="F970" s="2" t="str">
        <x:v>Headphones</x:v>
      </x:c>
      <x:c r="G970" s="2" t="str">
        <x:v>Online</x:v>
      </x:c>
      <x:c r="H970" s="2" t="n">
        <x:v>1</x:v>
      </x:c>
      <x:c r="I970" s="2" t="n">
        <x:v>18000</x:v>
      </x:c>
      <x:c r="J970" s="2" t="n">
        <x:v>10500</x:v>
      </x:c>
      <x:c r="K970" s="2" t="n">
        <x:v>0</x:v>
      </x:c>
      <x:c r="L970" s="2" t="str">
        <x:v>Completed</x:v>
      </x:c>
    </x:row>
    <x:row r="971" ht="21" customHeight="1">
      <x:c r="A971" s="2" t="n">
        <x:v>966</x:v>
      </x:c>
      <x:c r="B971" s="2" t="str">
        <x:v>TXN-00966</x:v>
      </x:c>
      <x:c r="C971" s="2" t="str">
        <x:v>2025-09-27</x:v>
      </x:c>
      <x:c r="D971" s="2" t="str">
        <x:v>Lagos</x:v>
      </x:c>
      <x:c r="E971" s="2" t="str">
        <x:v>Fashion</x:v>
      </x:c>
      <x:c r="F971" s="2" t="str">
        <x:v>Sneakers</x:v>
      </x:c>
      <x:c r="G971" s="2" t="str">
        <x:v>Online</x:v>
      </x:c>
      <x:c r="H971" s="2" t="n">
        <x:v>1</x:v>
      </x:c>
      <x:c r="I971" s="2" t="n">
        <x:v>28000</x:v>
      </x:c>
      <x:c r="J971" s="2" t="n">
        <x:v>17500</x:v>
      </x:c>
      <x:c r="K971" s="2" t="n">
        <x:v>0</x:v>
      </x:c>
      <x:c r="L971" s="2" t="str">
        <x:v>Completed</x:v>
      </x:c>
    </x:row>
    <x:row r="972" ht="21" customHeight="1">
      <x:c r="A972" s="2" t="n">
        <x:v>967</x:v>
      </x:c>
      <x:c r="B972" s="2" t="str">
        <x:v>TXN-00967</x:v>
      </x:c>
      <x:c r="C972" s="2" t="str">
        <x:v>2025-09-21</x:v>
      </x:c>
      <x:c r="D972" s="2" t="str">
        <x:v> lagos </x:v>
      </x:c>
      <x:c r="E972" s="2" t="str">
        <x:v>Fashion</x:v>
      </x:c>
      <x:c r="F972" s="2" t="str">
        <x:v>Sneakers</x:v>
      </x:c>
      <x:c r="G972" s="2" t="str">
        <x:v>In-store</x:v>
      </x:c>
      <x:c r="H972" s="2" t="n">
        <x:v>1</x:v>
      </x:c>
      <x:c r="I972" s="2" t="n">
        <x:v>28000</x:v>
      </x:c>
      <x:c r="J972" s="2" t="n">
        <x:v>17500</x:v>
      </x:c>
      <x:c r="K972" s="2" t="n">
        <x:v>0</x:v>
      </x:c>
      <x:c r="L972" s="2" t="str">
        <x:v>Completed</x:v>
      </x:c>
    </x:row>
    <x:row r="973" ht="21" customHeight="1">
      <x:c r="A973" s="2" t="n">
        <x:v>968</x:v>
      </x:c>
      <x:c r="B973" s="2" t="str">
        <x:v>TXN-00968</x:v>
      </x:c>
      <x:c r="C973" s="2" t="str">
        <x:v>2025-09-23</x:v>
      </x:c>
      <x:c r="D973" s="2" t="str">
        <x:v>Abuja</x:v>
      </x:c>
      <x:c r="E973" s="2" t="str">
        <x:v>Electronics</x:v>
      </x:c>
      <x:c r="F973" s="2" t="str">
        <x:v>Bluetooth speaker</x:v>
      </x:c>
      <x:c r="G973" s="2" t="str">
        <x:v>Online</x:v>
      </x:c>
      <x:c r="H973" s="2" t="n">
        <x:v>1</x:v>
      </x:c>
      <x:c r="I973" s="2" t="n">
        <x:v>26000</x:v>
      </x:c>
      <x:c r="J973" s="2" t="n">
        <x:v>17000</x:v>
      </x:c>
      <x:c r="K973" s="2" t="n">
        <x:v>0.05</x:v>
      </x:c>
      <x:c r="L973" s="2" t="str">
        <x:v>Completed</x:v>
      </x:c>
    </x:row>
    <x:row r="974" ht="21" customHeight="1">
      <x:c r="A974" s="2" t="n">
        <x:v>969</x:v>
      </x:c>
      <x:c r="B974" s="2" t="str">
        <x:v>TXN-00969</x:v>
      </x:c>
      <x:c r="C974" s="2" t="str">
        <x:v>2025-09-20</x:v>
      </x:c>
      <x:c r="D974" s="2" t="str">
        <x:v>Abuja</x:v>
      </x:c>
      <x:c r="E974" s="2" t="str">
        <x:v>Beauty</x:v>
      </x:c>
      <x:c r="F974" s="2" t="str">
        <x:v>Perfume</x:v>
      </x:c>
      <x:c r="G974" s="2" t="str">
        <x:v> in-store </x:v>
      </x:c>
      <x:c r="H974" s="2" t="n">
        <x:v>2</x:v>
      </x:c>
      <x:c r="I974" s="2" t="n">
        <x:v>17000</x:v>
      </x:c>
      <x:c r="J974" s="2" t="n">
        <x:v>9000</x:v>
      </x:c>
      <x:c r="K974" s="2" t="n">
        <x:v>0</x:v>
      </x:c>
      <x:c r="L974" s="2" t="str">
        <x:v>Completed</x:v>
      </x:c>
    </x:row>
    <x:row r="975" ht="21" customHeight="1">
      <x:c r="A975" s="2" t="n">
        <x:v>970</x:v>
      </x:c>
      <x:c r="B975" s="2" t="str">
        <x:v>TXN-00970</x:v>
      </x:c>
      <x:c r="C975" s="2" t="str">
        <x:v>2025-09-19</x:v>
      </x:c>
      <x:c r="D975" s="2" t="str">
        <x:v>Abuja</x:v>
      </x:c>
      <x:c r="E975" s="2" t="str">
        <x:v>Electronics</x:v>
      </x:c>
      <x:c r="F975" s="2" t="str">
        <x:v>Bluetooth speaker</x:v>
      </x:c>
      <x:c r="G975" s="2" t="str">
        <x:v>Online</x:v>
      </x:c>
      <x:c r="H975" s="2" t="n">
        <x:v>2</x:v>
      </x:c>
      <x:c r="I975" s="2" t="n">
        <x:v>26000</x:v>
      </x:c>
      <x:c r="J975" s="2" t="n">
        <x:v>17000</x:v>
      </x:c>
      <x:c r="K975" s="2" t="n">
        <x:v>0</x:v>
      </x:c>
      <x:c r="L975" s="2" t="str">
        <x:v>Completed</x:v>
      </x:c>
    </x:row>
    <x:row r="976" ht="21" customHeight="1">
      <x:c r="A976" s="2" t="n">
        <x:v>971</x:v>
      </x:c>
      <x:c r="B976" s="2" t="str">
        <x:v>TXN-00971</x:v>
      </x:c>
      <x:c r="C976" s="2" t="str">
        <x:v>2025-09-11</x:v>
      </x:c>
      <x:c r="D976" s="2" t="str">
        <x:v>Lagos</x:v>
      </x:c>
      <x:c r="E976" s="2" t="str">
        <x:v>Electronics</x:v>
      </x:c>
      <x:c r="F976" s="2" t="str">
        <x:v>Bluetooth speaker</x:v>
      </x:c>
      <x:c r="G976" s="2" t="str">
        <x:v>Online</x:v>
      </x:c>
      <x:c r="H976" s="2" t="n">
        <x:v>1</x:v>
      </x:c>
      <x:c r="I976" s="2" t="n">
        <x:v>26000</x:v>
      </x:c>
      <x:c r="J976" s="2" t="n">
        <x:v>17000</x:v>
      </x:c>
      <x:c r="K976" s="2" t="n">
        <x:v>0.1</x:v>
      </x:c>
      <x:c r="L976" s="2" t="str">
        <x:v>Completed</x:v>
      </x:c>
    </x:row>
    <x:row r="977" ht="21" customHeight="1">
      <x:c r="A977" s="2" t="n">
        <x:v>972</x:v>
      </x:c>
      <x:c r="B977" s="2" t="str">
        <x:v>TXN-00972</x:v>
      </x:c>
      <x:c r="C977" s="2" t="str">
        <x:v>2025-09-19</x:v>
      </x:c>
      <x:c r="D977" s="2" t="str">
        <x:v>Abuja</x:v>
      </x:c>
      <x:c r="E977" s="2" t="str">
        <x:v>Beauty</x:v>
      </x:c>
      <x:c r="F977" s="2" t="str">
        <x:v>Perfume</x:v>
      </x:c>
      <x:c r="G977" s="2" t="str">
        <x:v>In-store</x:v>
      </x:c>
      <x:c r="H977" s="2" t="n">
        <x:v>2</x:v>
      </x:c>
      <x:c r="I977" s="2" t="n">
        <x:v>17000</x:v>
      </x:c>
      <x:c r="J977" s="2" t="n">
        <x:v>9000</x:v>
      </x:c>
      <x:c r="K977" s="2" t="n">
        <x:v>0</x:v>
      </x:c>
      <x:c r="L977" s="2" t="str">
        <x:v>Returned</x:v>
      </x:c>
    </x:row>
    <x:row r="978" ht="21" customHeight="1">
      <x:c r="A978" s="2" t="n">
        <x:v>973</x:v>
      </x:c>
      <x:c r="B978" s="2" t="str">
        <x:v>TXN-00973</x:v>
      </x:c>
      <x:c r="C978" s="2" t="str">
        <x:v>2025-09-12</x:v>
      </x:c>
      <x:c r="D978" s="2" t="str">
        <x:v>Kano</x:v>
      </x:c>
      <x:c r="E978" s="2" t="str">
        <x:v>Fashion</x:v>
      </x:c>
      <x:c r="F978" s="2" t="str">
        <x:v>Handbag</x:v>
      </x:c>
      <x:c r="G978" s="2" t="str">
        <x:v>Online</x:v>
      </x:c>
      <x:c r="H978" s="2" t="n">
        <x:v>1</x:v>
      </x:c>
      <x:c r="I978" s="2" t="n">
        <x:v>22000</x:v>
      </x:c>
      <x:c r="J978" s="2" t="n">
        <x:v>13500</x:v>
      </x:c>
      <x:c r="K978" s="2" t="n">
        <x:v>0.15</x:v>
      </x:c>
      <x:c r="L978" s="2" t="str">
        <x:v> COMPLETED </x:v>
      </x:c>
    </x:row>
    <x:row r="979" ht="21" customHeight="1">
      <x:c r="A979" s="2" t="n">
        <x:v>974</x:v>
      </x:c>
      <x:c r="B979" s="2" t="str">
        <x:v>TXN-00974</x:v>
      </x:c>
      <x:c r="C979" s="2" t="str">
        <x:v>2025-09-21</x:v>
      </x:c>
      <x:c r="D979" s="2" t="str">
        <x:v> abuja </x:v>
      </x:c>
      <x:c r="E979" s="2" t="str">
        <x:v>Beauty</x:v>
      </x:c>
      <x:c r="F979" s="2" t="str">
        <x:v>Body wash</x:v>
      </x:c>
      <x:c r="G979" s="2" t="str">
        <x:v>In-store</x:v>
      </x:c>
      <x:c r="H979" s="2" t="n">
        <x:v>1</x:v>
      </x:c>
      <x:c r="I979" s="2" t="n">
        <x:v>4500</x:v>
      </x:c>
      <x:c r="J979" s="2" t="n">
        <x:v>2300</x:v>
      </x:c>
      <x:c r="K979" s="2" t="n">
        <x:v>0.05</x:v>
      </x:c>
      <x:c r="L979" s="2" t="str">
        <x:v>Completed</x:v>
      </x:c>
    </x:row>
    <x:row r="980" ht="21" customHeight="1">
      <x:c r="A980" s="2" t="n">
        <x:v>975</x:v>
      </x:c>
      <x:c r="B980" s="2" t="str">
        <x:v>TXN-00975</x:v>
      </x:c>
      <x:c r="C980" s="2" t="str">
        <x:v>2025-09-17</x:v>
      </x:c>
      <x:c r="D980" s="2" t="str">
        <x:v>Lagos</x:v>
      </x:c>
      <x:c r="E980" s="2" t="str">
        <x:v>Fashion</x:v>
      </x:c>
      <x:c r="F980" s="2" t="str">
        <x:v>T-shirt</x:v>
      </x:c>
      <x:c r="G980" s="2" t="str">
        <x:v>In-store</x:v>
      </x:c>
      <x:c r="H980" s="2" t="n">
        <x:v>1</x:v>
      </x:c>
      <x:c r="I980" s="2" t="n">
        <x:v>9000</x:v>
      </x:c>
      <x:c r="J980" s="2" t="n">
        <x:v>5000</x:v>
      </x:c>
      <x:c r="K980" s="2" t="n">
        <x:v>0.1</x:v>
      </x:c>
      <x:c r="L980" s="2" t="str">
        <x:v>Completed</x:v>
      </x:c>
    </x:row>
    <x:row r="981" ht="21" customHeight="1">
      <x:c r="A981" s="2" t="n">
        <x:v>976</x:v>
      </x:c>
      <x:c r="B981" s="2" t="str">
        <x:v>TXN-00976</x:v>
      </x:c>
      <x:c r="C981" s="2" t="str">
        <x:v>2025-09-17</x:v>
      </x:c>
      <x:c r="D981" s="2" t="str">
        <x:v>Port Harcourt</x:v>
      </x:c>
      <x:c r="E981" s="2" t="str">
        <x:v>Fashion</x:v>
      </x:c>
      <x:c r="F981" s="2" t="str">
        <x:v>T-shirt</x:v>
      </x:c>
      <x:c r="G981" s="2" t="str">
        <x:v>Online</x:v>
      </x:c>
      <x:c r="H981" s="2" t="n">
        <x:v>1</x:v>
      </x:c>
      <x:c r="I981" s="2" t="n">
        <x:v>9000</x:v>
      </x:c>
      <x:c r="J981" s="2" t="n">
        <x:v>5000</x:v>
      </x:c>
      <x:c r="K981" s="2" t="n">
        <x:v>0.05</x:v>
      </x:c>
      <x:c r="L981" s="2" t="str">
        <x:v>Returned</x:v>
      </x:c>
    </x:row>
    <x:row r="982" ht="21" customHeight="1">
      <x:c r="A982" s="2" t="n">
        <x:v>977</x:v>
      </x:c>
      <x:c r="B982" s="2" t="str">
        <x:v>TXN-00977</x:v>
      </x:c>
      <x:c r="C982" s="2" t="str">
        <x:v>2025-09-16</x:v>
      </x:c>
      <x:c r="D982" s="2" t="str">
        <x:v>Port Harcourt</x:v>
      </x:c>
      <x:c r="E982" s="2" t="str">
        <x:v>Beauty</x:v>
      </x:c>
      <x:c r="F982" s="2" t="str">
        <x:v>Moisturizer</x:v>
      </x:c>
      <x:c r="G982" s="2" t="str">
        <x:v>Online</x:v>
      </x:c>
      <x:c r="H982" s="2" t="n">
        <x:v>1</x:v>
      </x:c>
      <x:c r="I982" s="2" t="n">
        <x:v>6500</x:v>
      </x:c>
      <x:c r="J982" s="2" t="n">
        <x:v>3500</x:v>
      </x:c>
      <x:c r="K982" s="2" t="n">
        <x:v>0.05</x:v>
      </x:c>
      <x:c r="L982" s="2" t="str">
        <x:v>Completed</x:v>
      </x:c>
    </x:row>
    <x:row r="983" ht="21" customHeight="1">
      <x:c r="A983" s="2" t="n">
        <x:v>978</x:v>
      </x:c>
      <x:c r="B983" s="2" t="str">
        <x:v>TXN-00978</x:v>
      </x:c>
      <x:c r="C983" s="2" t="str">
        <x:v>2025-09-01</x:v>
      </x:c>
      <x:c r="D983" s="2" t="str">
        <x:v>Lagos</x:v>
      </x:c>
      <x:c r="E983" s="2" t="str">
        <x:v>Beauty</x:v>
      </x:c>
      <x:c r="F983" s="2" t="str">
        <x:v>Perfume</x:v>
      </x:c>
      <x:c r="G983" s="2" t="str">
        <x:v>Online</x:v>
      </x:c>
      <x:c r="H983" s="2" t="n">
        <x:v>2</x:v>
      </x:c>
      <x:c r="I983" s="2" t="n">
        <x:v>17000</x:v>
      </x:c>
      <x:c r="J983" s="2" t="n">
        <x:v>9000</x:v>
      </x:c>
      <x:c r="K983" s="2" t="n">
        <x:v>0.1</x:v>
      </x:c>
      <x:c r="L983" s="2" t="str">
        <x:v>Completed</x:v>
      </x:c>
    </x:row>
    <x:row r="984" ht="21" customHeight="1">
      <x:c r="A984" s="2" t="n">
        <x:v>979</x:v>
      </x:c>
      <x:c r="B984" s="2" t="str">
        <x:v>TXN-00979</x:v>
      </x:c>
      <x:c r="C984" s="2" t="str">
        <x:v>2025-09-02</x:v>
      </x:c>
      <x:c r="D984" s="2" t="str">
        <x:v>Abuja</x:v>
      </x:c>
      <x:c r="E984" s="2" t="str">
        <x:v>Beauty</x:v>
      </x:c>
      <x:c r="F984" s="2" t="str">
        <x:v>Perfume</x:v>
      </x:c>
      <x:c r="G984" s="2" t="str">
        <x:v>Online</x:v>
      </x:c>
      <x:c r="H984" s="2" t="n">
        <x:v>1</x:v>
      </x:c>
      <x:c r="I984" s="2" t="n">
        <x:v>17000</x:v>
      </x:c>
      <x:c r="J984" s="2" t="n">
        <x:v>9000</x:v>
      </x:c>
      <x:c r="K984" s="2" t="n">
        <x:v>0</x:v>
      </x:c>
      <x:c r="L984" s="2" t="str">
        <x:v>Completed</x:v>
      </x:c>
    </x:row>
    <x:row r="985" ht="21" customHeight="1">
      <x:c r="A985" s="2" t="n">
        <x:v>980</x:v>
      </x:c>
      <x:c r="B985" s="2" t="str">
        <x:v>TXN-00980</x:v>
      </x:c>
      <x:c r="C985" s="2" t="str">
        <x:v>2025-09-22</x:v>
      </x:c>
      <x:c r="D985" s="2" t="str">
        <x:v>Kano</x:v>
      </x:c>
      <x:c r="E985" s="2" t="str">
        <x:v>Electronics</x:v>
      </x:c>
      <x:c r="F985" s="2" t="str">
        <x:v>Power bank</x:v>
      </x:c>
      <x:c r="G985" s="2" t="str">
        <x:v> in-store </x:v>
      </x:c>
      <x:c r="H985" s="2" t="n">
        <x:v>1</x:v>
      </x:c>
      <x:c r="I985" s="2" t="n">
        <x:v>15000</x:v>
      </x:c>
      <x:c r="J985" s="2" t="n">
        <x:v>9500</x:v>
      </x:c>
      <x:c r="K985" s="2" t="n">
        <x:v>0</x:v>
      </x:c>
      <x:c r="L985" s="2" t="str">
        <x:v>Completed</x:v>
      </x:c>
    </x:row>
    <x:row r="986" ht="21" customHeight="1">
      <x:c r="A986" s="2" t="n">
        <x:v>981</x:v>
      </x:c>
      <x:c r="B986" s="2" t="str">
        <x:v>TXN-00981</x:v>
      </x:c>
      <x:c r="C986" s="2" t="str">
        <x:v>2025-09-11</x:v>
      </x:c>
      <x:c r="D986" s="2" t="str">
        <x:v> kano </x:v>
      </x:c>
      <x:c r="E986" s="2" t="str">
        <x:v>Electronics</x:v>
      </x:c>
      <x:c r="F986" s="2" t="str">
        <x:v>Power bank</x:v>
      </x:c>
      <x:c r="G986" s="2" t="str">
        <x:v>Online</x:v>
      </x:c>
      <x:c r="H986" s="2" t="n">
        <x:v>3</x:v>
      </x:c>
      <x:c r="I986" s="2" t="n">
        <x:v>15000</x:v>
      </x:c>
      <x:c r="J986" s="2" t="n">
        <x:v>9500</x:v>
      </x:c>
      <x:c r="K986" s="2" t="n">
        <x:v>0.1</x:v>
      </x:c>
      <x:c r="L986" s="2" t="str">
        <x:v>Completed</x:v>
      </x:c>
    </x:row>
    <x:row r="987" ht="21" customHeight="1">
      <x:c r="A987" s="2" t="n">
        <x:v>982</x:v>
      </x:c>
      <x:c r="B987" s="2" t="str">
        <x:v>TXN-00982</x:v>
      </x:c>
      <x:c r="C987" s="2" t="str">
        <x:v>2025-09-21</x:v>
      </x:c>
      <x:c r="D987" s="2" t="str">
        <x:v>Port Harcourt</x:v>
      </x:c>
      <x:c r="E987" s="2" t="str">
        <x:v>Home</x:v>
      </x:c>
      <x:c r="F987" s="2" t="str">
        <x:v>Bedsheet</x:v>
      </x:c>
      <x:c r="G987" s="2" t="str">
        <x:v>Online</x:v>
      </x:c>
      <x:c r="H987" s="2" t="n">
        <x:v>1</x:v>
      </x:c>
      <x:c r="I987" s="2" t="n">
        <x:v>14000</x:v>
      </x:c>
      <x:c r="J987" s="2" t="n">
        <x:v>8500</x:v>
      </x:c>
      <x:c r="K987" s="2" t="n">
        <x:v>0</x:v>
      </x:c>
      <x:c r="L987" s="2" t="str">
        <x:v> COMPLETED </x:v>
      </x:c>
    </x:row>
    <x:row r="988" ht="21" customHeight="1">
      <x:c r="A988" s="2" t="n">
        <x:v>983</x:v>
      </x:c>
      <x:c r="B988" s="2" t="str">
        <x:v>TXN-00983</x:v>
      </x:c>
      <x:c r="C988" s="2" t="str">
        <x:v>2025-09-24</x:v>
      </x:c>
      <x:c r="D988" s="2" t="str">
        <x:v>Kano</x:v>
      </x:c>
      <x:c r="E988" s="2" t="str">
        <x:v>Fashion</x:v>
      </x:c>
      <x:c r="F988" s="2" t="str">
        <x:v>T-shirt</x:v>
      </x:c>
      <x:c r="G988" s="2" t="str">
        <x:v>Online</x:v>
      </x:c>
      <x:c r="H988" s="2" t="n">
        <x:v>2</x:v>
      </x:c>
      <x:c r="I988" s="2" t="n">
        <x:v>9000</x:v>
      </x:c>
      <x:c r="J988" s="2" t="n">
        <x:v>5000</x:v>
      </x:c>
      <x:c r="K988" s="2" t="n">
        <x:v>0</x:v>
      </x:c>
      <x:c r="L988" s="2" t="str">
        <x:v>Completed</x:v>
      </x:c>
    </x:row>
    <x:row r="989" ht="21" customHeight="1">
      <x:c r="A989" s="2" t="n">
        <x:v>984</x:v>
      </x:c>
      <x:c r="B989" s="2" t="str">
        <x:v>TXN-00984</x:v>
      </x:c>
      <x:c r="C989" s="2" t="str">
        <x:v>2025-09-16</x:v>
      </x:c>
      <x:c r="D989" s="2" t="str">
        <x:v>Lagos</x:v>
      </x:c>
      <x:c r="E989" s="2" t="str">
        <x:v>Home</x:v>
      </x:c>
      <x:c r="F989" s="2" t="str">
        <x:v>Desk lamp</x:v>
      </x:c>
      <x:c r="G989" s="2" t="str">
        <x:v>Online</x:v>
      </x:c>
      <x:c r="H989" s="2" t="n">
        <x:v>3</x:v>
      </x:c>
      <x:c r="I989" s="2" t="n">
        <x:v>12000</x:v>
      </x:c>
      <x:c r="J989" s="2" t="n">
        <x:v>7200</x:v>
      </x:c>
      <x:c r="K989" s="2" t="n">
        <x:v>0.05</x:v>
      </x:c>
      <x:c r="L989" s="2" t="str">
        <x:v>Completed</x:v>
      </x:c>
    </x:row>
    <x:row r="990" ht="21" customHeight="1">
      <x:c r="A990" s="2" t="n">
        <x:v>985</x:v>
      </x:c>
      <x:c r="B990" s="2" t="str">
        <x:v>TXN-00985</x:v>
      </x:c>
      <x:c r="C990" s="2" t="str">
        <x:v>2025-09-03</x:v>
      </x:c>
      <x:c r="D990" s="2" t="str">
        <x:v>Lagos</x:v>
      </x:c>
      <x:c r="E990" s="2" t="str">
        <x:v>Electronics</x:v>
      </x:c>
      <x:c r="F990" s="2" t="str">
        <x:v>Bluetooth speaker</x:v>
      </x:c>
      <x:c r="G990" s="2" t="str">
        <x:v>In-store</x:v>
      </x:c>
      <x:c r="H990" s="2" t="n">
        <x:v>1</x:v>
      </x:c>
      <x:c r="I990" s="2" t="n">
        <x:v>26000</x:v>
      </x:c>
      <x:c r="J990" s="2" t="n">
        <x:v>17000</x:v>
      </x:c>
      <x:c r="K990" s="2" t="n">
        <x:v>0</x:v>
      </x:c>
      <x:c r="L990" s="2" t="str">
        <x:v>Completed</x:v>
      </x:c>
    </x:row>
    <x:row r="991" ht="21" customHeight="1">
      <x:c r="A991" s="2" t="n">
        <x:v>986</x:v>
      </x:c>
      <x:c r="B991" s="2" t="str">
        <x:v>TXN-00986</x:v>
      </x:c>
      <x:c r="C991" s="2" t="str">
        <x:v>2025-09-10</x:v>
      </x:c>
      <x:c r="D991" s="2" t="str">
        <x:v>Lagos</x:v>
      </x:c>
      <x:c r="E991" s="2" t="str">
        <x:v>Fashion</x:v>
      </x:c>
      <x:c r="F991" s="2" t="str">
        <x:v>T-shirt</x:v>
      </x:c>
      <x:c r="G991" s="2" t="str">
        <x:v>In-store</x:v>
      </x:c>
      <x:c r="H991" s="2" t="n">
        <x:v>1</x:v>
      </x:c>
      <x:c r="I991" s="2" t="n">
        <x:v>9000</x:v>
      </x:c>
      <x:c r="J991" s="2" t="n">
        <x:v>5000</x:v>
      </x:c>
      <x:c r="K991" s="2" t="str"/>
      <x:c r="L991" s="2" t="str">
        <x:v>Completed</x:v>
      </x:c>
    </x:row>
    <x:row r="992" ht="21" customHeight="1">
      <x:c r="A992" s="2" t="n">
        <x:v>987</x:v>
      </x:c>
      <x:c r="B992" s="2" t="str">
        <x:v>TXN-00987</x:v>
      </x:c>
      <x:c r="C992" s="2" t="str">
        <x:v>2025-09-26</x:v>
      </x:c>
      <x:c r="D992" s="2" t="str">
        <x:v>Lagos</x:v>
      </x:c>
      <x:c r="E992" s="2" t="str">
        <x:v>Electronics</x:v>
      </x:c>
      <x:c r="F992" s="2" t="str">
        <x:v>Power bank</x:v>
      </x:c>
      <x:c r="G992" s="2" t="str">
        <x:v>In-store</x:v>
      </x:c>
      <x:c r="H992" s="2" t="n">
        <x:v>2</x:v>
      </x:c>
      <x:c r="I992" s="2" t="n">
        <x:v>15000</x:v>
      </x:c>
      <x:c r="J992" s="2" t="n">
        <x:v>9500</x:v>
      </x:c>
      <x:c r="K992" s="2" t="n">
        <x:v>0.05</x:v>
      </x:c>
      <x:c r="L992" s="2" t="str">
        <x:v>Completed</x:v>
      </x:c>
    </x:row>
    <x:row r="993" ht="21" customHeight="1">
      <x:c r="A993" s="2" t="n">
        <x:v>988</x:v>
      </x:c>
      <x:c r="B993" s="2" t="str">
        <x:v>TXN-00988</x:v>
      </x:c>
      <x:c r="C993" s="2" t="str">
        <x:v>2025-09-27</x:v>
      </x:c>
      <x:c r="D993" s="2" t="str">
        <x:v> lagos </x:v>
      </x:c>
      <x:c r="E993" s="2" t="str">
        <x:v>Beauty</x:v>
      </x:c>
      <x:c r="F993" s="2" t="str">
        <x:v>Perfume</x:v>
      </x:c>
      <x:c r="G993" s="2" t="str">
        <x:v>Online</x:v>
      </x:c>
      <x:c r="H993" s="2" t="n">
        <x:v>1</x:v>
      </x:c>
      <x:c r="I993" s="2" t="n">
        <x:v>17000</x:v>
      </x:c>
      <x:c r="J993" s="2" t="n">
        <x:v>9000</x:v>
      </x:c>
      <x:c r="K993" s="2" t="n">
        <x:v>0</x:v>
      </x:c>
      <x:c r="L993" s="2" t="str">
        <x:v>Completed</x:v>
      </x:c>
    </x:row>
    <x:row r="994" ht="21" customHeight="1">
      <x:c r="A994" s="2" t="n">
        <x:v>989</x:v>
      </x:c>
      <x:c r="B994" s="2" t="str">
        <x:v>TXN-00989</x:v>
      </x:c>
      <x:c r="C994" s="2" t="str">
        <x:v>2025-09-17</x:v>
      </x:c>
      <x:c r="D994" s="2" t="str">
        <x:v>Abuja</x:v>
      </x:c>
      <x:c r="E994" s="2" t="str">
        <x:v>Home</x:v>
      </x:c>
      <x:c r="F994" s="2" t="str">
        <x:v>Cookware set</x:v>
      </x:c>
      <x:c r="G994" s="2" t="str">
        <x:v>In-store</x:v>
      </x:c>
      <x:c r="H994" s="2" t="n">
        <x:v>1</x:v>
      </x:c>
      <x:c r="I994" s="2" t="n">
        <x:v>35000</x:v>
      </x:c>
      <x:c r="J994" s="2" t="n">
        <x:v>22500</x:v>
      </x:c>
      <x:c r="K994" s="2" t="n">
        <x:v>0</x:v>
      </x:c>
      <x:c r="L994" s="2" t="str">
        <x:v>Completed</x:v>
      </x:c>
    </x:row>
    <x:row r="995" ht="21" customHeight="1">
      <x:c r="A995" s="2" t="n">
        <x:v>990</x:v>
      </x:c>
      <x:c r="B995" s="2" t="str">
        <x:v>TXN-00990</x:v>
      </x:c>
      <x:c r="C995" s="2" t="str">
        <x:v>2025-09-10</x:v>
      </x:c>
      <x:c r="D995" s="2" t="str">
        <x:v>Abuja</x:v>
      </x:c>
      <x:c r="E995" s="2" t="str">
        <x:v>Home</x:v>
      </x:c>
      <x:c r="F995" s="2" t="str">
        <x:v>Desk lamp</x:v>
      </x:c>
      <x:c r="G995" s="2" t="str">
        <x:v>In-store</x:v>
      </x:c>
      <x:c r="H995" s="2" t="n">
        <x:v>1</x:v>
      </x:c>
      <x:c r="I995" s="2" t="n">
        <x:v>12000</x:v>
      </x:c>
      <x:c r="J995" s="2" t="n">
        <x:v>7200</x:v>
      </x:c>
      <x:c r="K995" s="2" t="n">
        <x:v>0</x:v>
      </x:c>
      <x:c r="L995" s="2" t="str">
        <x:v>Completed</x:v>
      </x:c>
    </x:row>
    <x:row r="996" ht="21" customHeight="1">
      <x:c r="A996" s="2" t="n">
        <x:v>991</x:v>
      </x:c>
      <x:c r="B996" s="2" t="str">
        <x:v>TXN-00991</x:v>
      </x:c>
      <x:c r="C996" s="2" t="str">
        <x:v>2025-09-30</x:v>
      </x:c>
      <x:c r="D996" s="2" t="str">
        <x:v>Port Harcourt</x:v>
      </x:c>
      <x:c r="E996" s="2" t="str">
        <x:v>Beauty</x:v>
      </x:c>
      <x:c r="F996" s="2" t="str">
        <x:v>Moisturizer</x:v>
      </x:c>
      <x:c r="G996" s="2" t="str">
        <x:v> in-store </x:v>
      </x:c>
      <x:c r="H996" s="2" t="n">
        <x:v>1</x:v>
      </x:c>
      <x:c r="I996" s="2" t="n">
        <x:v>6500</x:v>
      </x:c>
      <x:c r="J996" s="2" t="n">
        <x:v>3500</x:v>
      </x:c>
      <x:c r="K996" s="2" t="n">
        <x:v>0</x:v>
      </x:c>
      <x:c r="L996" s="2" t="str">
        <x:v> COMPLETED </x:v>
      </x:c>
    </x:row>
    <x:row r="997" ht="21" customHeight="1">
      <x:c r="A997" s="2" t="n">
        <x:v>992</x:v>
      </x:c>
      <x:c r="B997" s="2" t="str">
        <x:v>TXN-00992</x:v>
      </x:c>
      <x:c r="C997" s="2" t="str">
        <x:v>2025-09-15</x:v>
      </x:c>
      <x:c r="D997" s="2" t="str">
        <x:v>Port Harcourt</x:v>
      </x:c>
      <x:c r="E997" s="2" t="str">
        <x:v>Fashion</x:v>
      </x:c>
      <x:c r="F997" s="2" t="str">
        <x:v>T-shirt</x:v>
      </x:c>
      <x:c r="G997" s="2" t="str">
        <x:v>Online</x:v>
      </x:c>
      <x:c r="H997" s="2" t="n">
        <x:v>2</x:v>
      </x:c>
      <x:c r="I997" s="2" t="n">
        <x:v>9000</x:v>
      </x:c>
      <x:c r="J997" s="2" t="n">
        <x:v>5000</x:v>
      </x:c>
      <x:c r="K997" s="2" t="n">
        <x:v>0</x:v>
      </x:c>
      <x:c r="L997" s="2" t="str">
        <x:v>Completed</x:v>
      </x:c>
    </x:row>
    <x:row r="998" ht="21" customHeight="1">
      <x:c r="A998" s="2" t="n">
        <x:v>993</x:v>
      </x:c>
      <x:c r="B998" s="2" t="str">
        <x:v>TXN-00993</x:v>
      </x:c>
      <x:c r="C998" s="2" t="str">
        <x:v>2025-09-17</x:v>
      </x:c>
      <x:c r="D998" s="2" t="str">
        <x:v>Abuja</x:v>
      </x:c>
      <x:c r="E998" s="2" t="str">
        <x:v>Home</x:v>
      </x:c>
      <x:c r="F998" s="2" t="str">
        <x:v>Desk lamp</x:v>
      </x:c>
      <x:c r="G998" s="2" t="str">
        <x:v>In-store</x:v>
      </x:c>
      <x:c r="H998" s="2" t="n">
        <x:v>1</x:v>
      </x:c>
      <x:c r="I998" s="2" t="n">
        <x:v>12000</x:v>
      </x:c>
      <x:c r="J998" s="2" t="n">
        <x:v>7200</x:v>
      </x:c>
      <x:c r="K998" s="2" t="n">
        <x:v>0</x:v>
      </x:c>
      <x:c r="L998" s="2" t="str">
        <x:v>Completed</x:v>
      </x:c>
    </x:row>
    <x:row r="999" ht="21" customHeight="1">
      <x:c r="A999" s="2" t="n">
        <x:v>994</x:v>
      </x:c>
      <x:c r="B999" s="2" t="str">
        <x:v>TXN-00994</x:v>
      </x:c>
      <x:c r="C999" s="2" t="str">
        <x:v>2025-09-20</x:v>
      </x:c>
      <x:c r="D999" s="2" t="str">
        <x:v>Port Harcourt</x:v>
      </x:c>
      <x:c r="E999" s="2" t="str">
        <x:v>Fashion</x:v>
      </x:c>
      <x:c r="F999" s="2" t="str">
        <x:v>Handbag</x:v>
      </x:c>
      <x:c r="G999" s="2" t="str">
        <x:v>In-store</x:v>
      </x:c>
      <x:c r="H999" s="2" t="n">
        <x:v>2</x:v>
      </x:c>
      <x:c r="I999" s="2" t="n">
        <x:v>22000</x:v>
      </x:c>
      <x:c r="J999" s="2" t="n">
        <x:v>13500</x:v>
      </x:c>
      <x:c r="K999" s="2" t="n">
        <x:v>0</x:v>
      </x:c>
      <x:c r="L999" s="2" t="str">
        <x:v>Completed</x:v>
      </x:c>
    </x:row>
    <x:row r="1000" ht="21" customHeight="1">
      <x:c r="A1000" s="2" t="n">
        <x:v>995</x:v>
      </x:c>
      <x:c r="B1000" s="2" t="str">
        <x:v>TXN-00995</x:v>
      </x:c>
      <x:c r="C1000" s="2" t="str">
        <x:v>2025-09-26</x:v>
      </x:c>
      <x:c r="D1000" s="2" t="str">
        <x:v> lagos </x:v>
      </x:c>
      <x:c r="E1000" s="2" t="str">
        <x:v>Home</x:v>
      </x:c>
      <x:c r="F1000" s="2" t="str">
        <x:v>Cookware set</x:v>
      </x:c>
      <x:c r="G1000" s="2" t="str">
        <x:v>In-store</x:v>
      </x:c>
      <x:c r="H1000" s="2" t="n">
        <x:v>2</x:v>
      </x:c>
      <x:c r="I1000" s="2" t="n">
        <x:v>35000</x:v>
      </x:c>
      <x:c r="J1000" s="2" t="n">
        <x:v>22500</x:v>
      </x:c>
      <x:c r="K1000" s="2" t="n">
        <x:v>0.05</x:v>
      </x:c>
      <x:c r="L1000" s="2" t="str">
        <x:v>Returned</x:v>
      </x:c>
    </x:row>
    <x:row r="1001" ht="21" customHeight="1">
      <x:c r="A1001" s="2" t="n">
        <x:v>996</x:v>
      </x:c>
      <x:c r="B1001" s="2" t="str">
        <x:v>TXN-00996</x:v>
      </x:c>
      <x:c r="C1001" s="2" t="str">
        <x:v>2025-09-11</x:v>
      </x:c>
      <x:c r="D1001" s="2" t="str">
        <x:v>Lagos</x:v>
      </x:c>
      <x:c r="E1001" s="2" t="str">
        <x:v>Electronics</x:v>
      </x:c>
      <x:c r="F1001" s="2" t="str">
        <x:v>Bluetooth speaker</x:v>
      </x:c>
      <x:c r="G1001" s="2" t="str">
        <x:v>In-store</x:v>
      </x:c>
      <x:c r="H1001" s="2" t="n">
        <x:v>2</x:v>
      </x:c>
      <x:c r="I1001" s="2" t="n">
        <x:v>26000</x:v>
      </x:c>
      <x:c r="J1001" s="2" t="n">
        <x:v>17000</x:v>
      </x:c>
      <x:c r="K1001" s="2" t="n">
        <x:v>0.05</x:v>
      </x:c>
      <x:c r="L1001" s="2" t="str">
        <x:v>Completed</x:v>
      </x:c>
    </x:row>
    <x:row r="1002" ht="21" customHeight="1">
      <x:c r="A1002" s="2" t="n">
        <x:v>997</x:v>
      </x:c>
      <x:c r="B1002" s="2" t="str">
        <x:v>TXN-00997</x:v>
      </x:c>
      <x:c r="C1002" s="2" t="str">
        <x:v>2025-09-20</x:v>
      </x:c>
      <x:c r="D1002" s="2" t="str">
        <x:v>Kano</x:v>
      </x:c>
      <x:c r="E1002" s="2" t="str">
        <x:v>Fashion</x:v>
      </x:c>
      <x:c r="F1002" s="2" t="str">
        <x:v>Handbag</x:v>
      </x:c>
      <x:c r="G1002" s="2" t="str">
        <x:v>Online</x:v>
      </x:c>
      <x:c r="H1002" s="2" t="n">
        <x:v>1</x:v>
      </x:c>
      <x:c r="I1002" s="2" t="n">
        <x:v>22000</x:v>
      </x:c>
      <x:c r="J1002" s="2" t="n">
        <x:v>13500</x:v>
      </x:c>
      <x:c r="K1002" s="2" t="n">
        <x:v>0</x:v>
      </x:c>
      <x:c r="L1002" s="2" t="str">
        <x:v>Completed</x:v>
      </x:c>
    </x:row>
    <x:row r="1003" ht="21" customHeight="1">
      <x:c r="A1003" s="2" t="n">
        <x:v>998</x:v>
      </x:c>
      <x:c r="B1003" s="2" t="str">
        <x:v>TXN-00998</x:v>
      </x:c>
      <x:c r="C1003" s="2" t="str">
        <x:v>2025-09-01</x:v>
      </x:c>
      <x:c r="D1003" s="2" t="str">
        <x:v>Port Harcourt</x:v>
      </x:c>
      <x:c r="E1003" s="2" t="str">
        <x:v>Beauty</x:v>
      </x:c>
      <x:c r="F1003" s="2" t="str">
        <x:v>Perfume</x:v>
      </x:c>
      <x:c r="G1003" s="2" t="str">
        <x:v>In-store</x:v>
      </x:c>
      <x:c r="H1003" s="2" t="n">
        <x:v>1</x:v>
      </x:c>
      <x:c r="I1003" s="2" t="n">
        <x:v>17000</x:v>
      </x:c>
      <x:c r="J1003" s="2" t="n">
        <x:v>9000</x:v>
      </x:c>
      <x:c r="K1003" s="2" t="n">
        <x:v>0</x:v>
      </x:c>
      <x:c r="L1003" s="2" t="str">
        <x:v>Completed</x:v>
      </x:c>
    </x:row>
    <x:row r="1004" ht="21" customHeight="1">
      <x:c r="A1004" s="2" t="n">
        <x:v>999</x:v>
      </x:c>
      <x:c r="B1004" s="2" t="str">
        <x:v>TXN-00999</x:v>
      </x:c>
      <x:c r="C1004" s="2" t="str">
        <x:v>2025-09-09</x:v>
      </x:c>
      <x:c r="D1004" s="2" t="str">
        <x:v>Port Harcourt</x:v>
      </x:c>
      <x:c r="E1004" s="2" t="str">
        <x:v>Beauty</x:v>
      </x:c>
      <x:c r="F1004" s="2" t="str">
        <x:v>Perfume</x:v>
      </x:c>
      <x:c r="G1004" s="2" t="str">
        <x:v>Online</x:v>
      </x:c>
      <x:c r="H1004" s="2" t="n">
        <x:v>1</x:v>
      </x:c>
      <x:c r="I1004" s="2" t="n">
        <x:v>17000</x:v>
      </x:c>
      <x:c r="J1004" s="2" t="n">
        <x:v>9000</x:v>
      </x:c>
      <x:c r="K1004" s="2" t="n">
        <x:v>0.1</x:v>
      </x:c>
      <x:c r="L1004" s="2" t="str">
        <x:v>Completed</x:v>
      </x:c>
    </x:row>
    <x:row r="1005" ht="21" customHeight="1">
      <x:c r="A1005" s="2" t="n">
        <x:v>1000</x:v>
      </x:c>
      <x:c r="B1005" s="2" t="str">
        <x:v>TXN-01000</x:v>
      </x:c>
      <x:c r="C1005" s="2" t="str">
        <x:v>2025-09-16</x:v>
      </x:c>
      <x:c r="D1005" s="2" t="str">
        <x:v>Lagos</x:v>
      </x:c>
      <x:c r="E1005" s="2" t="str">
        <x:v>Home</x:v>
      </x:c>
      <x:c r="F1005" s="2" t="str">
        <x:v>Cookware set</x:v>
      </x:c>
      <x:c r="G1005" s="2" t="str">
        <x:v>In-store</x:v>
      </x:c>
      <x:c r="H1005" s="2" t="n">
        <x:v>1</x:v>
      </x:c>
      <x:c r="I1005" s="2" t="n">
        <x:v>35000</x:v>
      </x:c>
      <x:c r="J1005" s="2" t="n">
        <x:v>22500</x:v>
      </x:c>
      <x:c r="K1005" s="2" t="n">
        <x:v>0.1</x:v>
      </x:c>
      <x:c r="L1005" s="2" t="str">
        <x:v> COMPLETED </x:v>
      </x:c>
    </x:row>
    <x:row r="1006" ht="21" customHeight="1">
      <x:c r="A1006" s="2" t="n">
        <x:v>1001</x:v>
      </x:c>
      <x:c r="B1006" s="2" t="str">
        <x:v>TXN-01001</x:v>
      </x:c>
      <x:c r="C1006" s="2" t="str">
        <x:v>2025-09-04</x:v>
      </x:c>
      <x:c r="D1006" s="2" t="str">
        <x:v>Kano</x:v>
      </x:c>
      <x:c r="E1006" s="2" t="str">
        <x:v>Fashion</x:v>
      </x:c>
      <x:c r="F1006" s="2" t="str">
        <x:v>Handbag</x:v>
      </x:c>
      <x:c r="G1006" s="2" t="str">
        <x:v>Online</x:v>
      </x:c>
      <x:c r="H1006" s="2" t="n">
        <x:v>3</x:v>
      </x:c>
      <x:c r="I1006" s="2" t="n">
        <x:v>22000</x:v>
      </x:c>
      <x:c r="J1006" s="2" t="n">
        <x:v>13500</x:v>
      </x:c>
      <x:c r="K1006" s="2" t="n">
        <x:v>0.1</x:v>
      </x:c>
      <x:c r="L1006" s="2" t="str">
        <x:v>Completed</x:v>
      </x:c>
    </x:row>
    <x:row r="1007" ht="21" customHeight="1">
      <x:c r="A1007" s="2" t="n">
        <x:v>1002</x:v>
      </x:c>
      <x:c r="B1007" s="2" t="str">
        <x:v>TXN-01002</x:v>
      </x:c>
      <x:c r="C1007" s="2" t="str">
        <x:v>2025-09-02</x:v>
      </x:c>
      <x:c r="D1007" s="2" t="str">
        <x:v> lagos </x:v>
      </x:c>
      <x:c r="E1007" s="2" t="str">
        <x:v>Beauty</x:v>
      </x:c>
      <x:c r="F1007" s="2" t="str">
        <x:v>Moisturizer</x:v>
      </x:c>
      <x:c r="G1007" s="2" t="str">
        <x:v> in-store </x:v>
      </x:c>
      <x:c r="H1007" s="2" t="n">
        <x:v>2</x:v>
      </x:c>
      <x:c r="I1007" s="2" t="n">
        <x:v>6500</x:v>
      </x:c>
      <x:c r="J1007" s="2" t="n">
        <x:v>3500</x:v>
      </x:c>
      <x:c r="K1007" s="2" t="n">
        <x:v>0</x:v>
      </x:c>
      <x:c r="L1007" s="2" t="str">
        <x:v>Completed</x:v>
      </x:c>
    </x:row>
    <x:row r="1008" ht="21" customHeight="1">
      <x:c r="A1008" s="2" t="n">
        <x:v>1003</x:v>
      </x:c>
      <x:c r="B1008" s="2" t="str">
        <x:v>TXN-01003</x:v>
      </x:c>
      <x:c r="C1008" s="2" t="str">
        <x:v>2025-09-25</x:v>
      </x:c>
      <x:c r="D1008" s="2" t="str">
        <x:v>Lagos</x:v>
      </x:c>
      <x:c r="E1008" s="2" t="str">
        <x:v>Electronics</x:v>
      </x:c>
      <x:c r="F1008" s="2" t="str">
        <x:v>Bluetooth speaker</x:v>
      </x:c>
      <x:c r="G1008" s="2" t="str">
        <x:v>Online</x:v>
      </x:c>
      <x:c r="H1008" s="2" t="n">
        <x:v>1</x:v>
      </x:c>
      <x:c r="I1008" s="2" t="n">
        <x:v>26000</x:v>
      </x:c>
      <x:c r="J1008" s="2" t="n">
        <x:v>17000</x:v>
      </x:c>
      <x:c r="K1008" s="2" t="n">
        <x:v>0.1</x:v>
      </x:c>
      <x:c r="L1008" s="2" t="str">
        <x:v>Completed</x:v>
      </x:c>
    </x:row>
    <x:row r="1009" ht="21" customHeight="1">
      <x:c r="A1009" s="2" t="n">
        <x:v>1004</x:v>
      </x:c>
      <x:c r="B1009" s="2" t="str">
        <x:v>TXN-01004</x:v>
      </x:c>
      <x:c r="C1009" s="2" t="str">
        <x:v>2025-09-27</x:v>
      </x:c>
      <x:c r="D1009" s="2" t="str">
        <x:v>Abuja</x:v>
      </x:c>
      <x:c r="E1009" s="2" t="str">
        <x:v>Fashion</x:v>
      </x:c>
      <x:c r="F1009" s="2" t="str">
        <x:v>Sneakers</x:v>
      </x:c>
      <x:c r="G1009" s="2" t="str">
        <x:v>Online</x:v>
      </x:c>
      <x:c r="H1009" s="2" t="n">
        <x:v>2</x:v>
      </x:c>
      <x:c r="I1009" s="2" t="n">
        <x:v>28000</x:v>
      </x:c>
      <x:c r="J1009" s="2" t="n">
        <x:v>17500</x:v>
      </x:c>
      <x:c r="K1009" s="2" t="n">
        <x:v>0.05</x:v>
      </x:c>
      <x:c r="L1009" s="2" t="str">
        <x:v>Completed</x:v>
      </x:c>
    </x:row>
    <x:row r="1010" ht="21" customHeight="1">
      <x:c r="A1010" s="2" t="n">
        <x:v>1005</x:v>
      </x:c>
      <x:c r="B1010" s="2" t="str">
        <x:v>TXN-01005</x:v>
      </x:c>
      <x:c r="C1010" s="2" t="str">
        <x:v>2025-09-20</x:v>
      </x:c>
      <x:c r="D1010" s="2" t="str">
        <x:v>Kano</x:v>
      </x:c>
      <x:c r="E1010" s="2" t="str">
        <x:v>Beauty</x:v>
      </x:c>
      <x:c r="F1010" s="2" t="str">
        <x:v>Body wash</x:v>
      </x:c>
      <x:c r="G1010" s="2" t="str">
        <x:v>Online</x:v>
      </x:c>
      <x:c r="H1010" s="2" t="n">
        <x:v>1</x:v>
      </x:c>
      <x:c r="I1010" s="2" t="n">
        <x:v>4500</x:v>
      </x:c>
      <x:c r="J1010" s="2" t="n">
        <x:v>2300</x:v>
      </x:c>
      <x:c r="K1010" s="2" t="n">
        <x:v>0</x:v>
      </x:c>
      <x:c r="L1010" s="2" t="str">
        <x:v>Completed</x:v>
      </x:c>
    </x:row>
    <x:row r="1011" ht="21" customHeight="1">
      <x:c r="A1011" s="2" t="n">
        <x:v>1006</x:v>
      </x:c>
      <x:c r="B1011" s="2" t="str">
        <x:v>TXN-01006</x:v>
      </x:c>
      <x:c r="C1011" s="2" t="str">
        <x:v>2025-09-04</x:v>
      </x:c>
      <x:c r="D1011" s="2" t="str">
        <x:v>Kano</x:v>
      </x:c>
      <x:c r="E1011" s="2" t="str">
        <x:v>Electronics</x:v>
      </x:c>
      <x:c r="F1011" s="2" t="str">
        <x:v>Power bank</x:v>
      </x:c>
      <x:c r="G1011" s="2" t="str">
        <x:v>In-store</x:v>
      </x:c>
      <x:c r="H1011" s="2" t="n">
        <x:v>1</x:v>
      </x:c>
      <x:c r="I1011" s="2" t="n">
        <x:v>15000</x:v>
      </x:c>
      <x:c r="J1011" s="2" t="n">
        <x:v>9500</x:v>
      </x:c>
      <x:c r="K1011" s="2" t="n">
        <x:v>0</x:v>
      </x:c>
      <x:c r="L1011" s="2" t="str">
        <x:v>Completed</x:v>
      </x:c>
    </x:row>
    <x:row r="1012" ht="21" customHeight="1">
      <x:c r="A1012" s="2" t="n">
        <x:v>1007</x:v>
      </x:c>
      <x:c r="B1012" s="2" t="str">
        <x:v>TXN-01007</x:v>
      </x:c>
      <x:c r="C1012" s="2" t="str">
        <x:v>2025-09-30</x:v>
      </x:c>
      <x:c r="D1012" s="2" t="str">
        <x:v>Kano</x:v>
      </x:c>
      <x:c r="E1012" s="2" t="str">
        <x:v>Fashion</x:v>
      </x:c>
      <x:c r="F1012" s="2" t="str">
        <x:v>Sneakers</x:v>
      </x:c>
      <x:c r="G1012" s="2" t="str">
        <x:v>Online</x:v>
      </x:c>
      <x:c r="H1012" s="2" t="n">
        <x:v>3</x:v>
      </x:c>
      <x:c r="I1012" s="2" t="n">
        <x:v>28000</x:v>
      </x:c>
      <x:c r="J1012" s="2" t="n">
        <x:v>17500</x:v>
      </x:c>
      <x:c r="K1012" s="2" t="n">
        <x:v>0.05</x:v>
      </x:c>
      <x:c r="L1012" s="2" t="str">
        <x:v>Completed</x:v>
      </x:c>
    </x:row>
    <x:row r="1013" ht="21" customHeight="1">
      <x:c r="A1013" s="2" t="n">
        <x:v>1008</x:v>
      </x:c>
      <x:c r="B1013" s="2" t="str">
        <x:v>TXN-01008</x:v>
      </x:c>
      <x:c r="C1013" s="2" t="str">
        <x:v>2025-09-10</x:v>
      </x:c>
      <x:c r="D1013" s="2" t="str">
        <x:v>Lagos</x:v>
      </x:c>
      <x:c r="E1013" s="2" t="str">
        <x:v>Beauty</x:v>
      </x:c>
      <x:c r="F1013" s="2" t="str">
        <x:v>Body wash</x:v>
      </x:c>
      <x:c r="G1013" s="2" t="str">
        <x:v>In-store</x:v>
      </x:c>
      <x:c r="H1013" s="2" t="n">
        <x:v>1</x:v>
      </x:c>
      <x:c r="I1013" s="2" t="n">
        <x:v>4500</x:v>
      </x:c>
      <x:c r="J1013" s="2" t="n">
        <x:v>2300</x:v>
      </x:c>
      <x:c r="K1013" s="2" t="n">
        <x:v>0.05</x:v>
      </x:c>
      <x:c r="L1013" s="2" t="str">
        <x:v>Completed</x:v>
      </x:c>
    </x:row>
    <x:row r="1014" ht="21" customHeight="1">
      <x:c r="A1014" s="2" t="n">
        <x:v>1009</x:v>
      </x:c>
      <x:c r="B1014" s="2" t="str">
        <x:v>TXN-01009</x:v>
      </x:c>
      <x:c r="C1014" s="2" t="str">
        <x:v>2025-09-23</x:v>
      </x:c>
      <x:c r="D1014" s="2" t="str">
        <x:v> port harcourt </x:v>
      </x:c>
      <x:c r="E1014" s="2" t="str">
        <x:v>Beauty</x:v>
      </x:c>
      <x:c r="F1014" s="2" t="str">
        <x:v>Body wash</x:v>
      </x:c>
      <x:c r="G1014" s="2" t="str">
        <x:v>In-store</x:v>
      </x:c>
      <x:c r="H1014" s="2" t="n">
        <x:v>2</x:v>
      </x:c>
      <x:c r="I1014" s="2" t="n">
        <x:v>4500</x:v>
      </x:c>
      <x:c r="J1014" s="2" t="n">
        <x:v>2300</x:v>
      </x:c>
      <x:c r="K1014" s="2" t="n">
        <x:v>0</x:v>
      </x:c>
      <x:c r="L1014" s="2" t="str">
        <x:v> COMPLETED </x:v>
      </x:c>
    </x:row>
    <x:row r="1015" ht="21" customHeight="1">
      <x:c r="A1015" s="2" t="n">
        <x:v>1010</x:v>
      </x:c>
      <x:c r="B1015" s="2" t="str">
        <x:v>TXN-01010</x:v>
      </x:c>
      <x:c r="C1015" s="2" t="str">
        <x:v>2025-09-17</x:v>
      </x:c>
      <x:c r="D1015" s="2" t="str">
        <x:v>Abuja</x:v>
      </x:c>
      <x:c r="E1015" s="2" t="str">
        <x:v>Fashion</x:v>
      </x:c>
      <x:c r="F1015" s="2" t="str">
        <x:v>T-shirt</x:v>
      </x:c>
      <x:c r="G1015" s="2" t="str">
        <x:v>Online</x:v>
      </x:c>
      <x:c r="H1015" s="2" t="n">
        <x:v>3</x:v>
      </x:c>
      <x:c r="I1015" s="2" t="n">
        <x:v>9000</x:v>
      </x:c>
      <x:c r="J1015" s="2" t="n">
        <x:v>5000</x:v>
      </x:c>
      <x:c r="K1015" s="2" t="n">
        <x:v>0.1</x:v>
      </x:c>
      <x:c r="L1015" s="2" t="str">
        <x:v>Completed</x:v>
      </x:c>
    </x:row>
    <x:row r="1016" ht="21" customHeight="1">
      <x:c r="A1016" s="2" t="n">
        <x:v>1011</x:v>
      </x:c>
      <x:c r="B1016" s="2" t="str">
        <x:v>TXN-01011</x:v>
      </x:c>
      <x:c r="C1016" s="2" t="str">
        <x:v>2025-09-26</x:v>
      </x:c>
      <x:c r="D1016" s="2" t="str">
        <x:v>Lagos</x:v>
      </x:c>
      <x:c r="E1016" s="2" t="str">
        <x:v>Fashion</x:v>
      </x:c>
      <x:c r="F1016" s="2" t="str">
        <x:v>T-shirt</x:v>
      </x:c>
      <x:c r="G1016" s="2" t="str">
        <x:v>Online</x:v>
      </x:c>
      <x:c r="H1016" s="2" t="n">
        <x:v>1</x:v>
      </x:c>
      <x:c r="I1016" s="2" t="n">
        <x:v>9000</x:v>
      </x:c>
      <x:c r="J1016" s="2" t="n">
        <x:v>5000</x:v>
      </x:c>
      <x:c r="K1016" s="2" t="n">
        <x:v>0.1</x:v>
      </x:c>
      <x:c r="L1016" s="2" t="str">
        <x:v>Completed</x:v>
      </x:c>
    </x:row>
    <x:row r="1017" ht="21" customHeight="1">
      <x:c r="A1017" s="2" t="n">
        <x:v>1012</x:v>
      </x:c>
      <x:c r="B1017" s="2" t="str">
        <x:v>TXN-01012</x:v>
      </x:c>
      <x:c r="C1017" s="2" t="str">
        <x:v>2025-09-27</x:v>
      </x:c>
      <x:c r="D1017" s="2" t="str">
        <x:v>Port Harcourt</x:v>
      </x:c>
      <x:c r="E1017" s="2" t="str">
        <x:v>Beauty</x:v>
      </x:c>
      <x:c r="F1017" s="2" t="str">
        <x:v>Body wash</x:v>
      </x:c>
      <x:c r="G1017" s="2" t="str">
        <x:v>Online</x:v>
      </x:c>
      <x:c r="H1017" s="2" t="n">
        <x:v>1</x:v>
      </x:c>
      <x:c r="I1017" s="2" t="n">
        <x:v>4500</x:v>
      </x:c>
      <x:c r="J1017" s="2" t="n">
        <x:v>2300</x:v>
      </x:c>
      <x:c r="K1017" s="2" t="n">
        <x:v>0.15</x:v>
      </x:c>
      <x:c r="L1017" s="2" t="str">
        <x:v>Completed</x:v>
      </x:c>
    </x:row>
    <x:row r="1018" ht="21" customHeight="1">
      <x:c r="A1018" s="2" t="n">
        <x:v>1013</x:v>
      </x:c>
      <x:c r="B1018" s="2" t="str">
        <x:v>TXN-01013</x:v>
      </x:c>
      <x:c r="C1018" s="2" t="str">
        <x:v>2025-09-19</x:v>
      </x:c>
      <x:c r="D1018" s="2" t="str">
        <x:v>Lagos</x:v>
      </x:c>
      <x:c r="E1018" s="2" t="str">
        <x:v>Electronics</x:v>
      </x:c>
      <x:c r="F1018" s="2" t="str">
        <x:v>Power bank</x:v>
      </x:c>
      <x:c r="G1018" s="2" t="str">
        <x:v> in-store </x:v>
      </x:c>
      <x:c r="H1018" s="2" t="n">
        <x:v>1</x:v>
      </x:c>
      <x:c r="I1018" s="2" t="n">
        <x:v>15000</x:v>
      </x:c>
      <x:c r="J1018" s="2" t="n">
        <x:v>9500</x:v>
      </x:c>
      <x:c r="K1018" s="2" t="n">
        <x:v>0</x:v>
      </x:c>
      <x:c r="L1018" s="2" t="str">
        <x:v>Completed</x:v>
      </x:c>
    </x:row>
    <x:row r="1019" ht="21" customHeight="1">
      <x:c r="A1019" s="2" t="n">
        <x:v>1014</x:v>
      </x:c>
      <x:c r="B1019" s="2" t="str">
        <x:v>TXN-01014</x:v>
      </x:c>
      <x:c r="C1019" s="2" t="str">
        <x:v>2025-09-11</x:v>
      </x:c>
      <x:c r="D1019" s="2" t="str">
        <x:v>Abuja</x:v>
      </x:c>
      <x:c r="E1019" s="2" t="str">
        <x:v>Fashion</x:v>
      </x:c>
      <x:c r="F1019" s="2" t="str">
        <x:v>T-shirt</x:v>
      </x:c>
      <x:c r="G1019" s="2" t="str">
        <x:v>In-store</x:v>
      </x:c>
      <x:c r="H1019" s="2" t="n">
        <x:v>1</x:v>
      </x:c>
      <x:c r="I1019" s="2" t="n">
        <x:v>9000</x:v>
      </x:c>
      <x:c r="J1019" s="2" t="n">
        <x:v>5000</x:v>
      </x:c>
      <x:c r="K1019" s="2" t="n">
        <x:v>0.05</x:v>
      </x:c>
      <x:c r="L1019" s="2" t="str">
        <x:v>Completed</x:v>
      </x:c>
    </x:row>
    <x:row r="1020" ht="21" customHeight="1">
      <x:c r="A1020" s="2" t="n">
        <x:v>1015</x:v>
      </x:c>
      <x:c r="B1020" s="2" t="str">
        <x:v>TXN-01015</x:v>
      </x:c>
      <x:c r="C1020" s="2" t="str">
        <x:v>2025-09-01</x:v>
      </x:c>
      <x:c r="D1020" s="2" t="str">
        <x:v>Kano</x:v>
      </x:c>
      <x:c r="E1020" s="2" t="str">
        <x:v>Beauty</x:v>
      </x:c>
      <x:c r="F1020" s="2" t="str">
        <x:v>Perfume</x:v>
      </x:c>
      <x:c r="G1020" s="2" t="str">
        <x:v>In-store</x:v>
      </x:c>
      <x:c r="H1020" s="2" t="n">
        <x:v>1</x:v>
      </x:c>
      <x:c r="I1020" s="2" t="n">
        <x:v>17000</x:v>
      </x:c>
      <x:c r="J1020" s="2" t="n">
        <x:v>9000</x:v>
      </x:c>
      <x:c r="K1020" s="2" t="n">
        <x:v>0</x:v>
      </x:c>
      <x:c r="L1020" s="2" t="str">
        <x:v>Completed</x:v>
      </x:c>
    </x:row>
    <x:row r="1021" ht="21" customHeight="1">
      <x:c r="A1021" s="2" t="n">
        <x:v>1016</x:v>
      </x:c>
      <x:c r="B1021" s="2" t="str">
        <x:v>TXN-01016</x:v>
      </x:c>
      <x:c r="C1021" s="2" t="str">
        <x:v>2025-09-20</x:v>
      </x:c>
      <x:c r="D1021" s="2" t="str">
        <x:v> lagos </x:v>
      </x:c>
      <x:c r="E1021" s="2" t="str">
        <x:v>Electronics</x:v>
      </x:c>
      <x:c r="F1021" s="2" t="str">
        <x:v>Bluetooth speaker</x:v>
      </x:c>
      <x:c r="G1021" s="2" t="str">
        <x:v>Online</x:v>
      </x:c>
      <x:c r="H1021" s="2" t="n">
        <x:v>2</x:v>
      </x:c>
      <x:c r="I1021" s="2" t="n">
        <x:v>26000</x:v>
      </x:c>
      <x:c r="J1021" s="2" t="n">
        <x:v>17000</x:v>
      </x:c>
      <x:c r="K1021" s="2" t="n">
        <x:v>0.05</x:v>
      </x:c>
      <x:c r="L1021" s="2" t="str">
        <x:v>Completed</x:v>
      </x:c>
    </x:row>
    <x:row r="1022" ht="21" customHeight="1">
      <x:c r="A1022" s="2" t="n">
        <x:v>1017</x:v>
      </x:c>
      <x:c r="B1022" s="2" t="str">
        <x:v>TXN-01017</x:v>
      </x:c>
      <x:c r="C1022" s="2" t="str">
        <x:v>2025-09-13</x:v>
      </x:c>
      <x:c r="D1022" s="2" t="str">
        <x:v>Port Harcourt</x:v>
      </x:c>
      <x:c r="E1022" s="2" t="str">
        <x:v>Beauty</x:v>
      </x:c>
      <x:c r="F1022" s="2" t="str">
        <x:v>Perfume</x:v>
      </x:c>
      <x:c r="G1022" s="2" t="str">
        <x:v>Online</x:v>
      </x:c>
      <x:c r="H1022" s="2" t="n">
        <x:v>1</x:v>
      </x:c>
      <x:c r="I1022" s="2" t="n">
        <x:v>17000</x:v>
      </x:c>
      <x:c r="J1022" s="2" t="n">
        <x:v>9000</x:v>
      </x:c>
      <x:c r="K1022" s="2" t="n">
        <x:v>0.1</x:v>
      </x:c>
      <x:c r="L1022" s="2" t="str">
        <x:v>Completed</x:v>
      </x:c>
    </x:row>
    <x:row r="1023" ht="21" customHeight="1">
      <x:c r="A1023" s="2" t="n">
        <x:v>1018</x:v>
      </x:c>
      <x:c r="B1023" s="2" t="str">
        <x:v>TXN-01018</x:v>
      </x:c>
      <x:c r="C1023" s="2" t="str">
        <x:v>2025-09-18</x:v>
      </x:c>
      <x:c r="D1023" s="2" t="str">
        <x:v>Lagos</x:v>
      </x:c>
      <x:c r="E1023" s="2" t="str">
        <x:v>Electronics</x:v>
      </x:c>
      <x:c r="F1023" s="2" t="str">
        <x:v>Bluetooth speaker</x:v>
      </x:c>
      <x:c r="G1023" s="2" t="str">
        <x:v>In-store</x:v>
      </x:c>
      <x:c r="H1023" s="2" t="n">
        <x:v>2</x:v>
      </x:c>
      <x:c r="I1023" s="2" t="n">
        <x:v>26000</x:v>
      </x:c>
      <x:c r="J1023" s="2" t="n">
        <x:v>17000</x:v>
      </x:c>
      <x:c r="K1023" s="2" t="n">
        <x:v>0.1</x:v>
      </x:c>
      <x:c r="L1023" s="2" t="str">
        <x:v> COMPLETED </x:v>
      </x:c>
    </x:row>
    <x:row r="1024" ht="21" customHeight="1">
      <x:c r="A1024" s="2" t="n">
        <x:v>1019</x:v>
      </x:c>
      <x:c r="B1024" s="2" t="str">
        <x:v>TXN-01019</x:v>
      </x:c>
      <x:c r="C1024" s="2" t="str">
        <x:v>2025-09-07</x:v>
      </x:c>
      <x:c r="D1024" s="2" t="str">
        <x:v>Kano</x:v>
      </x:c>
      <x:c r="E1024" s="2" t="str">
        <x:v>Fashion</x:v>
      </x:c>
      <x:c r="F1024" s="2" t="str">
        <x:v>Handbag</x:v>
      </x:c>
      <x:c r="G1024" s="2" t="str">
        <x:v>In-store</x:v>
      </x:c>
      <x:c r="H1024" s="2" t="n">
        <x:v>4</x:v>
      </x:c>
      <x:c r="I1024" s="2" t="n">
        <x:v>22000</x:v>
      </x:c>
      <x:c r="J1024" s="2" t="n">
        <x:v>13500</x:v>
      </x:c>
      <x:c r="K1024" s="2" t="n">
        <x:v>0</x:v>
      </x:c>
      <x:c r="L1024" s="2" t="str">
        <x:v>Completed</x:v>
      </x:c>
    </x:row>
    <x:row r="1025" ht="21" customHeight="1">
      <x:c r="A1025" s="2" t="n">
        <x:v>1020</x:v>
      </x:c>
      <x:c r="B1025" s="2" t="str">
        <x:v>TXN-01020</x:v>
      </x:c>
      <x:c r="C1025" s="2" t="str">
        <x:v>2025-09-05</x:v>
      </x:c>
      <x:c r="D1025" s="2" t="str">
        <x:v>Lagos</x:v>
      </x:c>
      <x:c r="E1025" s="2" t="str">
        <x:v>Fashion</x:v>
      </x:c>
      <x:c r="F1025" s="2" t="str">
        <x:v>Sneakers</x:v>
      </x:c>
      <x:c r="G1025" s="2" t="str">
        <x:v>Online</x:v>
      </x:c>
      <x:c r="H1025" s="2" t="n">
        <x:v>1</x:v>
      </x:c>
      <x:c r="I1025" s="2" t="n">
        <x:v>28000</x:v>
      </x:c>
      <x:c r="J1025" s="2" t="n">
        <x:v>17500</x:v>
      </x:c>
      <x:c r="K1025" s="2" t="n">
        <x:v>0.05</x:v>
      </x:c>
      <x:c r="L1025" s="2" t="str">
        <x:v>Completed</x:v>
      </x:c>
    </x:row>
    <x:row r="1026" ht="21" customHeight="1">
      <x:c r="A1026" s="2" t="n">
        <x:v>1021</x:v>
      </x:c>
      <x:c r="B1026" s="2" t="str">
        <x:v>TXN-01021</x:v>
      </x:c>
      <x:c r="C1026" s="2" t="str">
        <x:v>2025-09-24</x:v>
      </x:c>
      <x:c r="D1026" s="2" t="str">
        <x:v>Kano</x:v>
      </x:c>
      <x:c r="E1026" s="2" t="str">
        <x:v>Electronics</x:v>
      </x:c>
      <x:c r="F1026" s="2" t="str">
        <x:v>Headphones</x:v>
      </x:c>
      <x:c r="G1026" s="2" t="str">
        <x:v>In-store</x:v>
      </x:c>
      <x:c r="H1026" s="2" t="n">
        <x:v>1</x:v>
      </x:c>
      <x:c r="I1026" s="2" t="n">
        <x:v>18000</x:v>
      </x:c>
      <x:c r="J1026" s="2" t="n">
        <x:v>10500</x:v>
      </x:c>
      <x:c r="K1026" s="2" t="n">
        <x:v>0</x:v>
      </x:c>
      <x:c r="L1026" s="2" t="str">
        <x:v>Completed</x:v>
      </x:c>
    </x:row>
    <x:row r="1027" ht="21" customHeight="1">
      <x:c r="A1027" s="2" t="n">
        <x:v>1022</x:v>
      </x:c>
      <x:c r="B1027" s="2" t="str">
        <x:v>TXN-01022</x:v>
      </x:c>
      <x:c r="C1027" s="2" t="str">
        <x:v>2025-09-05</x:v>
      </x:c>
      <x:c r="D1027" s="2" t="str">
        <x:v>Kano</x:v>
      </x:c>
      <x:c r="E1027" s="2" t="str">
        <x:v>Fashion</x:v>
      </x:c>
      <x:c r="F1027" s="2" t="str">
        <x:v>Handbag</x:v>
      </x:c>
      <x:c r="G1027" s="2" t="str">
        <x:v>Online</x:v>
      </x:c>
      <x:c r="H1027" s="2" t="n">
        <x:v>1</x:v>
      </x:c>
      <x:c r="I1027" s="2" t="n">
        <x:v>22000</x:v>
      </x:c>
      <x:c r="J1027" s="2" t="n">
        <x:v>13500</x:v>
      </x:c>
      <x:c r="K1027" s="2" t="n">
        <x:v>0.1</x:v>
      </x:c>
      <x:c r="L1027" s="2" t="str">
        <x:v>Completed</x:v>
      </x:c>
    </x:row>
    <x:row r="1028" ht="21" customHeight="1">
      <x:c r="A1028" s="2" t="n">
        <x:v>1023</x:v>
      </x:c>
      <x:c r="B1028" s="2" t="str">
        <x:v>TXN-01023</x:v>
      </x:c>
      <x:c r="C1028" s="2" t="str">
        <x:v>2025-09-30</x:v>
      </x:c>
      <x:c r="D1028" s="2" t="str">
        <x:v> lagos </x:v>
      </x:c>
      <x:c r="E1028" s="2" t="str">
        <x:v>Fashion</x:v>
      </x:c>
      <x:c r="F1028" s="2" t="str">
        <x:v>Handbag</x:v>
      </x:c>
      <x:c r="G1028" s="2" t="str">
        <x:v>Online</x:v>
      </x:c>
      <x:c r="H1028" s="2" t="n">
        <x:v>1</x:v>
      </x:c>
      <x:c r="I1028" s="2" t="n">
        <x:v>22000</x:v>
      </x:c>
      <x:c r="J1028" s="2" t="n">
        <x:v>13500</x:v>
      </x:c>
      <x:c r="K1028" s="2" t="n">
        <x:v>0</x:v>
      </x:c>
      <x:c r="L1028" s="2" t="str">
        <x:v>Completed</x:v>
      </x:c>
    </x:row>
    <x:row r="1029" ht="21" customHeight="1">
      <x:c r="A1029" s="2" t="n">
        <x:v>1024</x:v>
      </x:c>
      <x:c r="B1029" s="2" t="str">
        <x:v>TXN-01024</x:v>
      </x:c>
      <x:c r="C1029" s="2" t="str">
        <x:v>2025-09-08</x:v>
      </x:c>
      <x:c r="D1029" s="2" t="str">
        <x:v>Abuja</x:v>
      </x:c>
      <x:c r="E1029" s="2" t="str">
        <x:v>Home</x:v>
      </x:c>
      <x:c r="F1029" s="2" t="str">
        <x:v>Cookware set</x:v>
      </x:c>
      <x:c r="G1029" s="2" t="str">
        <x:v> online </x:v>
      </x:c>
      <x:c r="H1029" s="2" t="n">
        <x:v>1</x:v>
      </x:c>
      <x:c r="I1029" s="2" t="n">
        <x:v>35000</x:v>
      </x:c>
      <x:c r="J1029" s="2" t="n">
        <x:v>22500</x:v>
      </x:c>
      <x:c r="K1029" s="2" t="n">
        <x:v>0</x:v>
      </x:c>
      <x:c r="L1029" s="2" t="str">
        <x:v>Completed</x:v>
      </x:c>
    </x:row>
    <x:row r="1030" ht="21" customHeight="1">
      <x:c r="A1030" s="2" t="n">
        <x:v>1025</x:v>
      </x:c>
      <x:c r="B1030" s="2" t="str">
        <x:v>TXN-01025</x:v>
      </x:c>
      <x:c r="C1030" s="2" t="str">
        <x:v>2025-09-19</x:v>
      </x:c>
      <x:c r="D1030" s="2" t="str">
        <x:v>Kano</x:v>
      </x:c>
      <x:c r="E1030" s="2" t="str">
        <x:v>Beauty</x:v>
      </x:c>
      <x:c r="F1030" s="2" t="str">
        <x:v>Moisturizer</x:v>
      </x:c>
      <x:c r="G1030" s="2" t="str">
        <x:v>In-store</x:v>
      </x:c>
      <x:c r="H1030" s="2" t="n">
        <x:v>1</x:v>
      </x:c>
      <x:c r="I1030" s="2" t="n">
        <x:v>6500</x:v>
      </x:c>
      <x:c r="J1030" s="2" t="n">
        <x:v>3500</x:v>
      </x:c>
      <x:c r="K1030" s="2" t="n">
        <x:v>0</x:v>
      </x:c>
      <x:c r="L1030" s="2" t="str">
        <x:v>Completed</x:v>
      </x:c>
    </x:row>
    <x:row r="1031" ht="21" customHeight="1">
      <x:c r="A1031" s="2" t="n">
        <x:v>1026</x:v>
      </x:c>
      <x:c r="B1031" s="2" t="str">
        <x:v>TXN-01026</x:v>
      </x:c>
      <x:c r="C1031" s="2" t="str">
        <x:v>2025-09-14</x:v>
      </x:c>
      <x:c r="D1031" s="2" t="str">
        <x:v>Lagos</x:v>
      </x:c>
      <x:c r="E1031" s="2" t="str">
        <x:v>Fashion</x:v>
      </x:c>
      <x:c r="F1031" s="2" t="str">
        <x:v>T-shirt</x:v>
      </x:c>
      <x:c r="G1031" s="2" t="str">
        <x:v>Online</x:v>
      </x:c>
      <x:c r="H1031" s="2" t="n">
        <x:v>1</x:v>
      </x:c>
      <x:c r="I1031" s="2" t="n">
        <x:v>9000</x:v>
      </x:c>
      <x:c r="J1031" s="2" t="n">
        <x:v>5000</x:v>
      </x:c>
      <x:c r="K1031" s="2" t="n">
        <x:v>0</x:v>
      </x:c>
      <x:c r="L1031" s="2" t="str">
        <x:v>Completed</x:v>
      </x:c>
    </x:row>
    <x:row r="1032" ht="21" customHeight="1">
      <x:c r="A1032" s="2" t="n">
        <x:v>1027</x:v>
      </x:c>
      <x:c r="B1032" s="2" t="str">
        <x:v>TXN-01027</x:v>
      </x:c>
      <x:c r="C1032" s="2" t="str">
        <x:v>2025-09-24</x:v>
      </x:c>
      <x:c r="D1032" s="2" t="str">
        <x:v>Lagos</x:v>
      </x:c>
      <x:c r="E1032" s="2" t="str">
        <x:v>Electronics</x:v>
      </x:c>
      <x:c r="F1032" s="2" t="str">
        <x:v>Headphones</x:v>
      </x:c>
      <x:c r="G1032" s="2" t="str">
        <x:v>Online</x:v>
      </x:c>
      <x:c r="H1032" s="2" t="n">
        <x:v>1</x:v>
      </x:c>
      <x:c r="I1032" s="2" t="n">
        <x:v>18000</x:v>
      </x:c>
      <x:c r="J1032" s="2" t="n">
        <x:v>10500</x:v>
      </x:c>
      <x:c r="K1032" s="2" t="n">
        <x:v>0.05</x:v>
      </x:c>
      <x:c r="L1032" s="2" t="str">
        <x:v> COMPLETED </x:v>
      </x:c>
    </x:row>
    <x:row r="1033" ht="21" customHeight="1">
      <x:c r="A1033" s="2" t="n">
        <x:v>1028</x:v>
      </x:c>
      <x:c r="B1033" s="2" t="str">
        <x:v>TXN-01028</x:v>
      </x:c>
      <x:c r="C1033" s="2" t="str">
        <x:v>2025-09-11</x:v>
      </x:c>
      <x:c r="D1033" s="2" t="str">
        <x:v>Lagos</x:v>
      </x:c>
      <x:c r="E1033" s="2" t="str">
        <x:v>Home</x:v>
      </x:c>
      <x:c r="F1033" s="2" t="str">
        <x:v>Bedsheet</x:v>
      </x:c>
      <x:c r="G1033" s="2" t="str">
        <x:v>In-store</x:v>
      </x:c>
      <x:c r="H1033" s="2" t="n">
        <x:v>1</x:v>
      </x:c>
      <x:c r="I1033" s="2" t="n">
        <x:v>14000</x:v>
      </x:c>
      <x:c r="J1033" s="2" t="n">
        <x:v>8500</x:v>
      </x:c>
      <x:c r="K1033" s="2" t="n">
        <x:v>0.1</x:v>
      </x:c>
      <x:c r="L1033" s="2" t="str">
        <x:v>Completed</x:v>
      </x:c>
    </x:row>
    <x:row r="1034" ht="21" customHeight="1">
      <x:c r="A1034" s="2" t="n">
        <x:v>1029</x:v>
      </x:c>
      <x:c r="B1034" s="2" t="str">
        <x:v>TXN-01029</x:v>
      </x:c>
      <x:c r="C1034" s="2" t="str">
        <x:v>2025-09-14</x:v>
      </x:c>
      <x:c r="D1034" s="2" t="str">
        <x:v>Port Harcourt</x:v>
      </x:c>
      <x:c r="E1034" s="2" t="str">
        <x:v>Fashion</x:v>
      </x:c>
      <x:c r="F1034" s="2" t="str">
        <x:v>Handbag</x:v>
      </x:c>
      <x:c r="G1034" s="2" t="str">
        <x:v>Online</x:v>
      </x:c>
      <x:c r="H1034" s="2" t="n">
        <x:v>1</x:v>
      </x:c>
      <x:c r="I1034" s="2" t="n">
        <x:v>22000</x:v>
      </x:c>
      <x:c r="J1034" s="2" t="n">
        <x:v>13500</x:v>
      </x:c>
      <x:c r="K1034" s="2" t="n">
        <x:v>0</x:v>
      </x:c>
      <x:c r="L1034" s="2" t="str">
        <x:v>Completed</x:v>
      </x:c>
    </x:row>
    <x:row r="1035" ht="21" customHeight="1">
      <x:c r="A1035" s="2" t="n">
        <x:v>1030</x:v>
      </x:c>
      <x:c r="B1035" s="2" t="str">
        <x:v>TXN-01030</x:v>
      </x:c>
      <x:c r="C1035" s="2" t="str">
        <x:v>2025-09-05</x:v>
      </x:c>
      <x:c r="D1035" s="2" t="str">
        <x:v> abuja </x:v>
      </x:c>
      <x:c r="E1035" s="2" t="str">
        <x:v>Fashion</x:v>
      </x:c>
      <x:c r="F1035" s="2" t="str">
        <x:v>Handbag</x:v>
      </x:c>
      <x:c r="G1035" s="2" t="str">
        <x:v>Online</x:v>
      </x:c>
      <x:c r="H1035" s="2" t="n">
        <x:v>1</x:v>
      </x:c>
      <x:c r="I1035" s="2" t="n">
        <x:v>22000</x:v>
      </x:c>
      <x:c r="J1035" s="2" t="n">
        <x:v>13500</x:v>
      </x:c>
      <x:c r="K1035" s="2" t="n">
        <x:v>0</x:v>
      </x:c>
      <x:c r="L1035" s="2" t="str">
        <x:v>Returned</x:v>
      </x:c>
    </x:row>
    <x:row r="1036" ht="21" customHeight="1">
      <x:c r="A1036" s="2" t="n">
        <x:v>1031</x:v>
      </x:c>
      <x:c r="B1036" s="2" t="str">
        <x:v>TXN-01031</x:v>
      </x:c>
      <x:c r="C1036" s="2" t="str">
        <x:v>2025-09-30</x:v>
      </x:c>
      <x:c r="D1036" s="2" t="str">
        <x:v>Lagos</x:v>
      </x:c>
      <x:c r="E1036" s="2" t="str">
        <x:v>Beauty</x:v>
      </x:c>
      <x:c r="F1036" s="2" t="str">
        <x:v>Perfume</x:v>
      </x:c>
      <x:c r="G1036" s="2" t="str">
        <x:v>Online</x:v>
      </x:c>
      <x:c r="H1036" s="2" t="n">
        <x:v>1</x:v>
      </x:c>
      <x:c r="I1036" s="2" t="n">
        <x:v>17000</x:v>
      </x:c>
      <x:c r="J1036" s="2" t="n">
        <x:v>9000</x:v>
      </x:c>
      <x:c r="K1036" s="2" t="n">
        <x:v>0.1</x:v>
      </x:c>
      <x:c r="L1036" s="2" t="str">
        <x:v>Completed</x:v>
      </x:c>
    </x:row>
    <x:row r="1037" ht="21" customHeight="1">
      <x:c r="A1037" s="2" t="n">
        <x:v>1032</x:v>
      </x:c>
      <x:c r="B1037" s="2" t="str">
        <x:v>TXN-01032</x:v>
      </x:c>
      <x:c r="C1037" s="2" t="str">
        <x:v>2025-09-11</x:v>
      </x:c>
      <x:c r="D1037" s="2" t="str">
        <x:v>Lagos</x:v>
      </x:c>
      <x:c r="E1037" s="2" t="str">
        <x:v>Electronics</x:v>
      </x:c>
      <x:c r="F1037" s="2" t="str">
        <x:v>Bluetooth speaker</x:v>
      </x:c>
      <x:c r="G1037" s="2" t="str">
        <x:v>In-store</x:v>
      </x:c>
      <x:c r="H1037" s="2" t="n">
        <x:v>4</x:v>
      </x:c>
      <x:c r="I1037" s="2" t="n">
        <x:v>26000</x:v>
      </x:c>
      <x:c r="J1037" s="2" t="n">
        <x:v>17000</x:v>
      </x:c>
      <x:c r="K1037" s="2" t="n">
        <x:v>0</x:v>
      </x:c>
      <x:c r="L1037" s="2" t="str">
        <x:v>Completed</x:v>
      </x:c>
    </x:row>
    <x:row r="1038" ht="21" customHeight="1">
      <x:c r="A1038" s="2" t="n">
        <x:v>1033</x:v>
      </x:c>
      <x:c r="B1038" s="2" t="str">
        <x:v>TXN-01033</x:v>
      </x:c>
      <x:c r="C1038" s="2" t="str">
        <x:v>2025-09-30</x:v>
      </x:c>
      <x:c r="D1038" s="2" t="str"/>
      <x:c r="E1038" s="2" t="str">
        <x:v>Fashion</x:v>
      </x:c>
      <x:c r="F1038" s="2" t="str">
        <x:v>Handbag</x:v>
      </x:c>
      <x:c r="G1038" s="2" t="str">
        <x:v>Online</x:v>
      </x:c>
      <x:c r="H1038" s="2" t="n">
        <x:v>1</x:v>
      </x:c>
      <x:c r="I1038" s="2" t="n">
        <x:v>22000</x:v>
      </x:c>
      <x:c r="J1038" s="2" t="n">
        <x:v>13500</x:v>
      </x:c>
      <x:c r="K1038" s="2" t="n">
        <x:v>0.05</x:v>
      </x:c>
      <x:c r="L1038" s="2" t="str">
        <x:v>Returned</x:v>
      </x:c>
    </x:row>
    <x:row r="1039" ht="21" customHeight="1">
      <x:c r="A1039" s="2" t="n">
        <x:v>1034</x:v>
      </x:c>
      <x:c r="B1039" s="2" t="str">
        <x:v>TXN-01034</x:v>
      </x:c>
      <x:c r="C1039" s="2" t="str">
        <x:v>2025-09-28</x:v>
      </x:c>
      <x:c r="D1039" s="2" t="str">
        <x:v>Abuja</x:v>
      </x:c>
      <x:c r="E1039" s="2" t="str">
        <x:v>Fashion</x:v>
      </x:c>
      <x:c r="F1039" s="2" t="str">
        <x:v>Sneakers</x:v>
      </x:c>
      <x:c r="G1039" s="2" t="str">
        <x:v>In-store</x:v>
      </x:c>
      <x:c r="H1039" s="2" t="n">
        <x:v>1</x:v>
      </x:c>
      <x:c r="I1039" s="2" t="n">
        <x:v>28000</x:v>
      </x:c>
      <x:c r="J1039" s="2" t="n">
        <x:v>17500</x:v>
      </x:c>
      <x:c r="K1039" s="2" t="n">
        <x:v>0</x:v>
      </x:c>
      <x:c r="L1039" s="2" t="str">
        <x:v>Returned</x:v>
      </x:c>
    </x:row>
    <x:row r="1040" ht="21" customHeight="1">
      <x:c r="A1040" s="2" t="n">
        <x:v>1035</x:v>
      </x:c>
      <x:c r="B1040" s="2" t="str">
        <x:v>TXN-01035</x:v>
      </x:c>
      <x:c r="C1040" s="2" t="str">
        <x:v>2025-09-23</x:v>
      </x:c>
      <x:c r="D1040" s="2" t="str">
        <x:v>Lagos</x:v>
      </x:c>
      <x:c r="E1040" s="2" t="str">
        <x:v>Electronics</x:v>
      </x:c>
      <x:c r="F1040" s="2" t="str">
        <x:v>Bluetooth speaker</x:v>
      </x:c>
      <x:c r="G1040" s="2" t="str">
        <x:v> online </x:v>
      </x:c>
      <x:c r="H1040" s="2" t="n">
        <x:v>1</x:v>
      </x:c>
      <x:c r="I1040" s="2" t="n">
        <x:v>26000</x:v>
      </x:c>
      <x:c r="J1040" s="2" t="n">
        <x:v>17000</x:v>
      </x:c>
      <x:c r="K1040" s="2" t="n">
        <x:v>0</x:v>
      </x:c>
      <x:c r="L1040" s="2" t="str">
        <x:v>Completed</x:v>
      </x:c>
    </x:row>
    <x:row r="1041" ht="21" customHeight="1">
      <x:c r="A1041" s="2" t="n">
        <x:v>1036</x:v>
      </x:c>
      <x:c r="B1041" s="2" t="str">
        <x:v>TXN-01036</x:v>
      </x:c>
      <x:c r="C1041" s="2" t="str">
        <x:v>2025-09-21</x:v>
      </x:c>
      <x:c r="D1041" s="2" t="str">
        <x:v>Port Harcourt</x:v>
      </x:c>
      <x:c r="E1041" s="2" t="str">
        <x:v>Fashion</x:v>
      </x:c>
      <x:c r="F1041" s="2" t="str">
        <x:v>Handbag</x:v>
      </x:c>
      <x:c r="G1041" s="2" t="str">
        <x:v>In-store</x:v>
      </x:c>
      <x:c r="H1041" s="2" t="n">
        <x:v>1</x:v>
      </x:c>
      <x:c r="I1041" s="2" t="n">
        <x:v>22000</x:v>
      </x:c>
      <x:c r="J1041" s="2" t="n">
        <x:v>13500</x:v>
      </x:c>
      <x:c r="K1041" s="2" t="n">
        <x:v>0</x:v>
      </x:c>
      <x:c r="L1041" s="2" t="str">
        <x:v> COMPLETED </x:v>
      </x:c>
    </x:row>
    <x:row r="1042" ht="21" customHeight="1">
      <x:c r="A1042" s="2" t="n">
        <x:v>1037</x:v>
      </x:c>
      <x:c r="B1042" s="2" t="str">
        <x:v>TXN-01037</x:v>
      </x:c>
      <x:c r="C1042" s="2" t="str">
        <x:v>2025-09-29</x:v>
      </x:c>
      <x:c r="D1042" s="2" t="str">
        <x:v> lagos </x:v>
      </x:c>
      <x:c r="E1042" s="2" t="str">
        <x:v>Fashion</x:v>
      </x:c>
      <x:c r="F1042" s="2" t="str">
        <x:v>T-shirt</x:v>
      </x:c>
      <x:c r="G1042" s="2" t="str">
        <x:v>Online</x:v>
      </x:c>
      <x:c r="H1042" s="2" t="n">
        <x:v>4</x:v>
      </x:c>
      <x:c r="I1042" s="2" t="n">
        <x:v>9000</x:v>
      </x:c>
      <x:c r="J1042" s="2" t="n">
        <x:v>5000</x:v>
      </x:c>
      <x:c r="K1042" s="2" t="str"/>
      <x:c r="L1042" s="2" t="str">
        <x:v>Completed</x:v>
      </x:c>
    </x:row>
    <x:row r="1043" ht="21" customHeight="1">
      <x:c r="A1043" s="2" t="n">
        <x:v>1038</x:v>
      </x:c>
      <x:c r="B1043" s="2" t="str">
        <x:v>TXN-01038</x:v>
      </x:c>
      <x:c r="C1043" s="2" t="str">
        <x:v>2025-09-30</x:v>
      </x:c>
      <x:c r="D1043" s="2" t="str">
        <x:v>Abuja</x:v>
      </x:c>
      <x:c r="E1043" s="2" t="str">
        <x:v>Beauty</x:v>
      </x:c>
      <x:c r="F1043" s="2" t="str">
        <x:v>Perfume</x:v>
      </x:c>
      <x:c r="G1043" s="2" t="str">
        <x:v>Online</x:v>
      </x:c>
      <x:c r="H1043" s="2" t="n">
        <x:v>1</x:v>
      </x:c>
      <x:c r="I1043" s="2" t="n">
        <x:v>17000</x:v>
      </x:c>
      <x:c r="J1043" s="2" t="n">
        <x:v>9000</x:v>
      </x:c>
      <x:c r="K1043" s="2" t="n">
        <x:v>0</x:v>
      </x:c>
      <x:c r="L1043" s="2" t="str">
        <x:v>Completed</x:v>
      </x:c>
    </x:row>
    <x:row r="1044" ht="21" customHeight="1">
      <x:c r="A1044" s="2" t="n">
        <x:v>1039</x:v>
      </x:c>
      <x:c r="B1044" s="2" t="str">
        <x:v>TXN-01039</x:v>
      </x:c>
      <x:c r="C1044" s="2" t="str">
        <x:v>2025-09-08</x:v>
      </x:c>
      <x:c r="D1044" s="2" t="str">
        <x:v>Lagos</x:v>
      </x:c>
      <x:c r="E1044" s="2" t="str">
        <x:v>Home</x:v>
      </x:c>
      <x:c r="F1044" s="2" t="str">
        <x:v>Bedsheet</x:v>
      </x:c>
      <x:c r="G1044" s="2" t="str">
        <x:v>Online</x:v>
      </x:c>
      <x:c r="H1044" s="2" t="n">
        <x:v>2</x:v>
      </x:c>
      <x:c r="I1044" s="2" t="n">
        <x:v>14000</x:v>
      </x:c>
      <x:c r="J1044" s="2" t="n">
        <x:v>8500</x:v>
      </x:c>
      <x:c r="K1044" s="2" t="n">
        <x:v>0.05</x:v>
      </x:c>
      <x:c r="L1044" s="2" t="str">
        <x:v>Completed</x:v>
      </x:c>
    </x:row>
    <x:row r="1045" ht="21" customHeight="1">
      <x:c r="A1045" s="2" t="n">
        <x:v>1040</x:v>
      </x:c>
      <x:c r="B1045" s="2" t="str">
        <x:v>TXN-01040</x:v>
      </x:c>
      <x:c r="C1045" s="2" t="str">
        <x:v>2025-09-26</x:v>
      </x:c>
      <x:c r="D1045" s="2" t="str">
        <x:v>Abuja</x:v>
      </x:c>
      <x:c r="E1045" s="2" t="str">
        <x:v>Electronics</x:v>
      </x:c>
      <x:c r="F1045" s="2" t="str">
        <x:v>Power bank</x:v>
      </x:c>
      <x:c r="G1045" s="2" t="str">
        <x:v>In-store</x:v>
      </x:c>
      <x:c r="H1045" s="2" t="n">
        <x:v>4</x:v>
      </x:c>
      <x:c r="I1045" s="2" t="n">
        <x:v>15000</x:v>
      </x:c>
      <x:c r="J1045" s="2" t="n">
        <x:v>9500</x:v>
      </x:c>
      <x:c r="K1045" s="2" t="n">
        <x:v>0.15</x:v>
      </x:c>
      <x:c r="L1045" s="2" t="str">
        <x:v>Completed</x:v>
      </x:c>
    </x:row>
    <x:row r="1046" ht="21" customHeight="1">
      <x:c r="A1046" s="2" t="n">
        <x:v>1041</x:v>
      </x:c>
      <x:c r="B1046" s="2" t="str">
        <x:v>TXN-01041</x:v>
      </x:c>
      <x:c r="C1046" s="2" t="str">
        <x:v>2025-09-25</x:v>
      </x:c>
      <x:c r="D1046" s="2" t="str">
        <x:v>Port Harcourt</x:v>
      </x:c>
      <x:c r="E1046" s="2" t="str">
        <x:v>Fashion</x:v>
      </x:c>
      <x:c r="F1046" s="2" t="str">
        <x:v>T-shirt</x:v>
      </x:c>
      <x:c r="G1046" s="2" t="str">
        <x:v>Online</x:v>
      </x:c>
      <x:c r="H1046" s="2" t="n">
        <x:v>2</x:v>
      </x:c>
      <x:c r="I1046" s="2" t="n">
        <x:v>9000</x:v>
      </x:c>
      <x:c r="J1046" s="2" t="n">
        <x:v>5000</x:v>
      </x:c>
      <x:c r="K1046" s="2" t="n">
        <x:v>0</x:v>
      </x:c>
      <x:c r="L1046" s="2" t="str">
        <x:v>Completed</x:v>
      </x:c>
    </x:row>
    <x:row r="1047" ht="21" customHeight="1">
      <x:c r="A1047" s="2" t="n">
        <x:v>1042</x:v>
      </x:c>
      <x:c r="B1047" s="2" t="str">
        <x:v>TXN-01042</x:v>
      </x:c>
      <x:c r="C1047" s="2" t="str">
        <x:v>2025-10-02</x:v>
      </x:c>
      <x:c r="D1047" s="2" t="str">
        <x:v>Lagos</x:v>
      </x:c>
      <x:c r="E1047" s="2" t="str">
        <x:v>Electronics</x:v>
      </x:c>
      <x:c r="F1047" s="2" t="str">
        <x:v>Bluetooth speaker</x:v>
      </x:c>
      <x:c r="G1047" s="2" t="str">
        <x:v>Online</x:v>
      </x:c>
      <x:c r="H1047" s="2" t="n">
        <x:v>1</x:v>
      </x:c>
      <x:c r="I1047" s="2" t="n">
        <x:v>26000</x:v>
      </x:c>
      <x:c r="J1047" s="2" t="n">
        <x:v>17000</x:v>
      </x:c>
      <x:c r="K1047" s="2" t="n">
        <x:v>0</x:v>
      </x:c>
      <x:c r="L1047" s="2" t="str">
        <x:v>Completed</x:v>
      </x:c>
    </x:row>
    <x:row r="1048" ht="21" customHeight="1">
      <x:c r="A1048" s="2" t="n">
        <x:v>1043</x:v>
      </x:c>
      <x:c r="B1048" s="2" t="str">
        <x:v>TXN-01043</x:v>
      </x:c>
      <x:c r="C1048" s="2" t="str">
        <x:v>2025-10-16</x:v>
      </x:c>
      <x:c r="D1048" s="2" t="str">
        <x:v>Port Harcourt</x:v>
      </x:c>
      <x:c r="E1048" s="2" t="str">
        <x:v>Beauty</x:v>
      </x:c>
      <x:c r="F1048" s="2" t="str">
        <x:v>Body wash</x:v>
      </x:c>
      <x:c r="G1048" s="2" t="str">
        <x:v>Online</x:v>
      </x:c>
      <x:c r="H1048" s="2" t="n">
        <x:v>1</x:v>
      </x:c>
      <x:c r="I1048" s="2" t="n">
        <x:v>4500</x:v>
      </x:c>
      <x:c r="J1048" s="2" t="n">
        <x:v>2300</x:v>
      </x:c>
      <x:c r="K1048" s="2" t="n">
        <x:v>0</x:v>
      </x:c>
      <x:c r="L1048" s="2" t="str">
        <x:v>Completed</x:v>
      </x:c>
    </x:row>
    <x:row r="1049" ht="21" customHeight="1">
      <x:c r="A1049" s="2" t="n">
        <x:v>1044</x:v>
      </x:c>
      <x:c r="B1049" s="2" t="str">
        <x:v>TXN-01044</x:v>
      </x:c>
      <x:c r="C1049" s="2" t="str">
        <x:v>2025-10-30</x:v>
      </x:c>
      <x:c r="D1049" s="2" t="str">
        <x:v> abuja </x:v>
      </x:c>
      <x:c r="E1049" s="2" t="str">
        <x:v>Electronics</x:v>
      </x:c>
      <x:c r="F1049" s="2" t="str">
        <x:v>Bluetooth speaker</x:v>
      </x:c>
      <x:c r="G1049" s="2" t="str">
        <x:v>Online</x:v>
      </x:c>
      <x:c r="H1049" s="2" t="n">
        <x:v>1</x:v>
      </x:c>
      <x:c r="I1049" s="2" t="n">
        <x:v>26000</x:v>
      </x:c>
      <x:c r="J1049" s="2" t="n">
        <x:v>17000</x:v>
      </x:c>
      <x:c r="K1049" s="2" t="n">
        <x:v>0.05</x:v>
      </x:c>
      <x:c r="L1049" s="2" t="str">
        <x:v>Returned</x:v>
      </x:c>
    </x:row>
    <x:row r="1050" ht="21" customHeight="1">
      <x:c r="A1050" s="2" t="n">
        <x:v>1045</x:v>
      </x:c>
      <x:c r="B1050" s="2" t="str">
        <x:v>TXN-01045</x:v>
      </x:c>
      <x:c r="C1050" s="2" t="str">
        <x:v>2025-10-25</x:v>
      </x:c>
      <x:c r="D1050" s="2" t="str">
        <x:v>Port Harcourt</x:v>
      </x:c>
      <x:c r="E1050" s="2" t="str">
        <x:v>Fashion</x:v>
      </x:c>
      <x:c r="F1050" s="2" t="str">
        <x:v>Handbag</x:v>
      </x:c>
      <x:c r="G1050" s="2" t="str">
        <x:v>In-store</x:v>
      </x:c>
      <x:c r="H1050" s="2" t="n">
        <x:v>1</x:v>
      </x:c>
      <x:c r="I1050" s="2" t="n">
        <x:v>22000</x:v>
      </x:c>
      <x:c r="J1050" s="2" t="n">
        <x:v>13500</x:v>
      </x:c>
      <x:c r="K1050" s="2" t="str"/>
      <x:c r="L1050" s="2" t="str">
        <x:v> COMPLETED </x:v>
      </x:c>
    </x:row>
    <x:row r="1051" ht="21" customHeight="1">
      <x:c r="A1051" s="2" t="n">
        <x:v>1046</x:v>
      </x:c>
      <x:c r="B1051" s="2" t="str">
        <x:v>TXN-01046</x:v>
      </x:c>
      <x:c r="C1051" s="2" t="str">
        <x:v>2025-10-03</x:v>
      </x:c>
      <x:c r="D1051" s="2" t="str">
        <x:v>Lagos</x:v>
      </x:c>
      <x:c r="E1051" s="2" t="str">
        <x:v>Beauty</x:v>
      </x:c>
      <x:c r="F1051" s="2" t="str">
        <x:v>Body wash</x:v>
      </x:c>
      <x:c r="G1051" s="2" t="str">
        <x:v> in-store </x:v>
      </x:c>
      <x:c r="H1051" s="2" t="n">
        <x:v>1</x:v>
      </x:c>
      <x:c r="I1051" s="2" t="n">
        <x:v>4500</x:v>
      </x:c>
      <x:c r="J1051" s="2" t="n">
        <x:v>2300</x:v>
      </x:c>
      <x:c r="K1051" s="2" t="n">
        <x:v>0</x:v>
      </x:c>
      <x:c r="L1051" s="2" t="str">
        <x:v>Completed</x:v>
      </x:c>
    </x:row>
    <x:row r="1052" ht="21" customHeight="1">
      <x:c r="A1052" s="2" t="n">
        <x:v>1047</x:v>
      </x:c>
      <x:c r="B1052" s="2" t="str">
        <x:v>TXN-01047</x:v>
      </x:c>
      <x:c r="C1052" s="2" t="str">
        <x:v>2025-10-03</x:v>
      </x:c>
      <x:c r="D1052" s="2" t="str">
        <x:v>Port Harcourt</x:v>
      </x:c>
      <x:c r="E1052" s="2" t="str">
        <x:v>Electronics</x:v>
      </x:c>
      <x:c r="F1052" s="2" t="str">
        <x:v>Headphones</x:v>
      </x:c>
      <x:c r="G1052" s="2" t="str">
        <x:v>Online</x:v>
      </x:c>
      <x:c r="H1052" s="2" t="n">
        <x:v>1</x:v>
      </x:c>
      <x:c r="I1052" s="2" t="n">
        <x:v>18000</x:v>
      </x:c>
      <x:c r="J1052" s="2" t="n">
        <x:v>10500</x:v>
      </x:c>
      <x:c r="K1052" s="2" t="n">
        <x:v>0</x:v>
      </x:c>
      <x:c r="L1052" s="2" t="str">
        <x:v>Completed</x:v>
      </x:c>
    </x:row>
    <x:row r="1053" ht="21" customHeight="1">
      <x:c r="A1053" s="2" t="n">
        <x:v>1048</x:v>
      </x:c>
      <x:c r="B1053" s="2" t="str">
        <x:v>TXN-01048</x:v>
      </x:c>
      <x:c r="C1053" s="2" t="str">
        <x:v>2025-10-17</x:v>
      </x:c>
      <x:c r="D1053" s="2" t="str">
        <x:v>Lagos</x:v>
      </x:c>
      <x:c r="E1053" s="2" t="str">
        <x:v>Beauty</x:v>
      </x:c>
      <x:c r="F1053" s="2" t="str">
        <x:v>Body wash</x:v>
      </x:c>
      <x:c r="G1053" s="2" t="str">
        <x:v>In-store</x:v>
      </x:c>
      <x:c r="H1053" s="2" t="n">
        <x:v>1</x:v>
      </x:c>
      <x:c r="I1053" s="2" t="n">
        <x:v>4500</x:v>
      </x:c>
      <x:c r="J1053" s="2" t="n">
        <x:v>2300</x:v>
      </x:c>
      <x:c r="K1053" s="2" t="n">
        <x:v>0.05</x:v>
      </x:c>
      <x:c r="L1053" s="2" t="str">
        <x:v>Completed</x:v>
      </x:c>
    </x:row>
    <x:row r="1054" ht="21" customHeight="1">
      <x:c r="A1054" s="2" t="n">
        <x:v>1049</x:v>
      </x:c>
      <x:c r="B1054" s="2" t="str">
        <x:v>TXN-01049</x:v>
      </x:c>
      <x:c r="C1054" s="2" t="str">
        <x:v>2025-10-01</x:v>
      </x:c>
      <x:c r="D1054" s="2" t="str">
        <x:v>Abuja</x:v>
      </x:c>
      <x:c r="E1054" s="2" t="str">
        <x:v>Home</x:v>
      </x:c>
      <x:c r="F1054" s="2" t="str">
        <x:v>Cookware set</x:v>
      </x:c>
      <x:c r="G1054" s="2" t="str">
        <x:v>In-store</x:v>
      </x:c>
      <x:c r="H1054" s="2" t="n">
        <x:v>1</x:v>
      </x:c>
      <x:c r="I1054" s="2" t="n">
        <x:v>35000</x:v>
      </x:c>
      <x:c r="J1054" s="2" t="n">
        <x:v>22500</x:v>
      </x:c>
      <x:c r="K1054" s="2" t="n">
        <x:v>0.1</x:v>
      </x:c>
      <x:c r="L1054" s="2" t="str">
        <x:v>Completed</x:v>
      </x:c>
    </x:row>
    <x:row r="1055" ht="21" customHeight="1">
      <x:c r="A1055" s="2" t="n">
        <x:v>1050</x:v>
      </x:c>
      <x:c r="B1055" s="2" t="str">
        <x:v>TXN-01050</x:v>
      </x:c>
      <x:c r="C1055" s="2" t="str">
        <x:v>2025-10-08</x:v>
      </x:c>
      <x:c r="D1055" s="2" t="str">
        <x:v>Abuja</x:v>
      </x:c>
      <x:c r="E1055" s="2" t="str">
        <x:v>Beauty</x:v>
      </x:c>
      <x:c r="F1055" s="2" t="str">
        <x:v>Body wash</x:v>
      </x:c>
      <x:c r="G1055" s="2" t="str">
        <x:v>In-store</x:v>
      </x:c>
      <x:c r="H1055" s="2" t="n">
        <x:v>1</x:v>
      </x:c>
      <x:c r="I1055" s="2" t="n">
        <x:v>4500</x:v>
      </x:c>
      <x:c r="J1055" s="2" t="n">
        <x:v>2300</x:v>
      </x:c>
      <x:c r="K1055" s="2" t="n">
        <x:v>0</x:v>
      </x:c>
      <x:c r="L1055" s="2" t="str">
        <x:v>Completed</x:v>
      </x:c>
    </x:row>
    <x:row r="1056" ht="21" customHeight="1">
      <x:c r="A1056" s="2" t="n">
        <x:v>1051</x:v>
      </x:c>
      <x:c r="B1056" s="2" t="str">
        <x:v>TXN-01051</x:v>
      </x:c>
      <x:c r="C1056" s="2" t="str">
        <x:v>2025-10-13</x:v>
      </x:c>
      <x:c r="D1056" s="2" t="str">
        <x:v> lagos </x:v>
      </x:c>
      <x:c r="E1056" s="2" t="str">
        <x:v>Fashion</x:v>
      </x:c>
      <x:c r="F1056" s="2" t="str">
        <x:v>T-shirt</x:v>
      </x:c>
      <x:c r="G1056" s="2" t="str">
        <x:v>In-store</x:v>
      </x:c>
      <x:c r="H1056" s="2" t="n">
        <x:v>2</x:v>
      </x:c>
      <x:c r="I1056" s="2" t="n">
        <x:v>9000</x:v>
      </x:c>
      <x:c r="J1056" s="2" t="n">
        <x:v>5000</x:v>
      </x:c>
      <x:c r="K1056" s="2" t="n">
        <x:v>0</x:v>
      </x:c>
      <x:c r="L1056" s="2" t="str">
        <x:v>Completed</x:v>
      </x:c>
    </x:row>
    <x:row r="1057" ht="21" customHeight="1">
      <x:c r="A1057" s="2" t="n">
        <x:v>1052</x:v>
      </x:c>
      <x:c r="B1057" s="2" t="str">
        <x:v>TXN-01052</x:v>
      </x:c>
      <x:c r="C1057" s="2" t="str">
        <x:v>2025-10-07</x:v>
      </x:c>
      <x:c r="D1057" s="2" t="str">
        <x:v>Lagos</x:v>
      </x:c>
      <x:c r="E1057" s="2" t="str">
        <x:v>Beauty</x:v>
      </x:c>
      <x:c r="F1057" s="2" t="str">
        <x:v>Moisturizer</x:v>
      </x:c>
      <x:c r="G1057" s="2" t="str">
        <x:v>In-store</x:v>
      </x:c>
      <x:c r="H1057" s="2" t="n">
        <x:v>2</x:v>
      </x:c>
      <x:c r="I1057" s="2" t="n">
        <x:v>6500</x:v>
      </x:c>
      <x:c r="J1057" s="2" t="n">
        <x:v>3500</x:v>
      </x:c>
      <x:c r="K1057" s="2" t="n">
        <x:v>0.1</x:v>
      </x:c>
      <x:c r="L1057" s="2" t="str">
        <x:v>Completed</x:v>
      </x:c>
    </x:row>
    <x:row r="1058" ht="21" customHeight="1">
      <x:c r="A1058" s="2" t="n">
        <x:v>1053</x:v>
      </x:c>
      <x:c r="B1058" s="2" t="str">
        <x:v>TXN-01053</x:v>
      </x:c>
      <x:c r="C1058" s="2" t="str">
        <x:v>2025-10-17</x:v>
      </x:c>
      <x:c r="D1058" s="2" t="str">
        <x:v>Abuja</x:v>
      </x:c>
      <x:c r="E1058" s="2" t="str">
        <x:v>Fashion</x:v>
      </x:c>
      <x:c r="F1058" s="2" t="str">
        <x:v>T-shirt</x:v>
      </x:c>
      <x:c r="G1058" s="2" t="str">
        <x:v>In-store</x:v>
      </x:c>
      <x:c r="H1058" s="2" t="n">
        <x:v>1</x:v>
      </x:c>
      <x:c r="I1058" s="2" t="n">
        <x:v>9000</x:v>
      </x:c>
      <x:c r="J1058" s="2" t="n">
        <x:v>5000</x:v>
      </x:c>
      <x:c r="K1058" s="2" t="n">
        <x:v>0</x:v>
      </x:c>
      <x:c r="L1058" s="2" t="str">
        <x:v>Completed</x:v>
      </x:c>
    </x:row>
    <x:row r="1059" ht="21" customHeight="1">
      <x:c r="A1059" s="2" t="n">
        <x:v>1054</x:v>
      </x:c>
      <x:c r="B1059" s="2" t="str">
        <x:v>TXN-01054</x:v>
      </x:c>
      <x:c r="C1059" s="2" t="str">
        <x:v>2025-10-14</x:v>
      </x:c>
      <x:c r="D1059" s="2" t="str">
        <x:v>Abuja</x:v>
      </x:c>
      <x:c r="E1059" s="2" t="str">
        <x:v>Home</x:v>
      </x:c>
      <x:c r="F1059" s="2" t="str">
        <x:v>Bedsheet</x:v>
      </x:c>
      <x:c r="G1059" s="2" t="str">
        <x:v>In-store</x:v>
      </x:c>
      <x:c r="H1059" s="2" t="n">
        <x:v>2</x:v>
      </x:c>
      <x:c r="I1059" s="2" t="n">
        <x:v>14000</x:v>
      </x:c>
      <x:c r="J1059" s="2" t="n">
        <x:v>8500</x:v>
      </x:c>
      <x:c r="K1059" s="2" t="n">
        <x:v>0</x:v>
      </x:c>
      <x:c r="L1059" s="2" t="str">
        <x:v> RETURNED </x:v>
      </x:c>
    </x:row>
    <x:row r="1060" ht="21" customHeight="1">
      <x:c r="A1060" s="2" t="n">
        <x:v>1055</x:v>
      </x:c>
      <x:c r="B1060" s="2" t="str">
        <x:v>TXN-01055</x:v>
      </x:c>
      <x:c r="C1060" s="2" t="str">
        <x:v>2025-10-22</x:v>
      </x:c>
      <x:c r="D1060" s="2" t="str">
        <x:v>Lagos</x:v>
      </x:c>
      <x:c r="E1060" s="2" t="str">
        <x:v>Beauty</x:v>
      </x:c>
      <x:c r="F1060" s="2" t="str">
        <x:v>Body wash</x:v>
      </x:c>
      <x:c r="G1060" s="2" t="str">
        <x:v>Online</x:v>
      </x:c>
      <x:c r="H1060" s="2" t="n">
        <x:v>1</x:v>
      </x:c>
      <x:c r="I1060" s="2" t="n">
        <x:v>4500</x:v>
      </x:c>
      <x:c r="J1060" s="2" t="n">
        <x:v>2300</x:v>
      </x:c>
      <x:c r="K1060" s="2" t="n">
        <x:v>0.05</x:v>
      </x:c>
      <x:c r="L1060" s="2" t="str">
        <x:v>Completed</x:v>
      </x:c>
    </x:row>
    <x:row r="1061" ht="21" customHeight="1">
      <x:c r="A1061" s="2" t="n">
        <x:v>1056</x:v>
      </x:c>
      <x:c r="B1061" s="2" t="str">
        <x:v>TXN-01056</x:v>
      </x:c>
      <x:c r="C1061" s="2" t="str">
        <x:v>2025-10-07</x:v>
      </x:c>
      <x:c r="D1061" s="2" t="str">
        <x:v>Lagos</x:v>
      </x:c>
      <x:c r="E1061" s="2" t="str">
        <x:v>Home</x:v>
      </x:c>
      <x:c r="F1061" s="2" t="str">
        <x:v>Bedsheet</x:v>
      </x:c>
      <x:c r="G1061" s="2" t="str">
        <x:v>In-store</x:v>
      </x:c>
      <x:c r="H1061" s="2" t="n">
        <x:v>1</x:v>
      </x:c>
      <x:c r="I1061" s="2" t="n">
        <x:v>14000</x:v>
      </x:c>
      <x:c r="J1061" s="2" t="n">
        <x:v>8500</x:v>
      </x:c>
      <x:c r="K1061" s="2" t="n">
        <x:v>0.05</x:v>
      </x:c>
      <x:c r="L1061" s="2" t="str">
        <x:v>Completed</x:v>
      </x:c>
    </x:row>
    <x:row r="1062" ht="21" customHeight="1">
      <x:c r="A1062" s="2" t="n">
        <x:v>1057</x:v>
      </x:c>
      <x:c r="B1062" s="2" t="str">
        <x:v>TXN-01057</x:v>
      </x:c>
      <x:c r="C1062" s="2" t="str">
        <x:v>2025-10-24</x:v>
      </x:c>
      <x:c r="D1062" s="2" t="str">
        <x:v>Abuja</x:v>
      </x:c>
      <x:c r="E1062" s="2" t="str">
        <x:v>Fashion</x:v>
      </x:c>
      <x:c r="F1062" s="2" t="str">
        <x:v>Sneakers</x:v>
      </x:c>
      <x:c r="G1062" s="2" t="str">
        <x:v> in-store </x:v>
      </x:c>
      <x:c r="H1062" s="2" t="n">
        <x:v>1</x:v>
      </x:c>
      <x:c r="I1062" s="2" t="n">
        <x:v>28000</x:v>
      </x:c>
      <x:c r="J1062" s="2" t="n">
        <x:v>17500</x:v>
      </x:c>
      <x:c r="K1062" s="2" t="n">
        <x:v>0.05</x:v>
      </x:c>
      <x:c r="L1062" s="2" t="str">
        <x:v>Returned</x:v>
      </x:c>
    </x:row>
    <x:row r="1063" ht="21" customHeight="1">
      <x:c r="A1063" s="2" t="n">
        <x:v>1058</x:v>
      </x:c>
      <x:c r="B1063" s="2" t="str">
        <x:v>TXN-01058</x:v>
      </x:c>
      <x:c r="C1063" s="2" t="str">
        <x:v>2025-10-28</x:v>
      </x:c>
      <x:c r="D1063" s="2" t="str">
        <x:v> lagos </x:v>
      </x:c>
      <x:c r="E1063" s="2" t="str">
        <x:v>Home</x:v>
      </x:c>
      <x:c r="F1063" s="2" t="str">
        <x:v>Desk lamp</x:v>
      </x:c>
      <x:c r="G1063" s="2" t="str">
        <x:v>In-store</x:v>
      </x:c>
      <x:c r="H1063" s="2" t="n">
        <x:v>1</x:v>
      </x:c>
      <x:c r="I1063" s="2" t="n">
        <x:v>12000</x:v>
      </x:c>
      <x:c r="J1063" s="2" t="n">
        <x:v>7200</x:v>
      </x:c>
      <x:c r="K1063" s="2" t="n">
        <x:v>0.05</x:v>
      </x:c>
      <x:c r="L1063" s="2" t="str">
        <x:v>Completed</x:v>
      </x:c>
    </x:row>
    <x:row r="1064" ht="21" customHeight="1">
      <x:c r="A1064" s="2" t="n">
        <x:v>1059</x:v>
      </x:c>
      <x:c r="B1064" s="2" t="str">
        <x:v>TXN-01059</x:v>
      </x:c>
      <x:c r="C1064" s="2" t="str">
        <x:v>2025-10-29</x:v>
      </x:c>
      <x:c r="D1064" s="2" t="str">
        <x:v>Port Harcourt</x:v>
      </x:c>
      <x:c r="E1064" s="2" t="str">
        <x:v>Home</x:v>
      </x:c>
      <x:c r="F1064" s="2" t="str">
        <x:v>Cookware set</x:v>
      </x:c>
      <x:c r="G1064" s="2" t="str">
        <x:v>In-store</x:v>
      </x:c>
      <x:c r="H1064" s="2" t="n">
        <x:v>1</x:v>
      </x:c>
      <x:c r="I1064" s="2" t="n">
        <x:v>35000</x:v>
      </x:c>
      <x:c r="J1064" s="2" t="n">
        <x:v>22500</x:v>
      </x:c>
      <x:c r="K1064" s="2" t="n">
        <x:v>0</x:v>
      </x:c>
      <x:c r="L1064" s="2" t="str">
        <x:v>Completed</x:v>
      </x:c>
    </x:row>
    <x:row r="1065" ht="21" customHeight="1">
      <x:c r="A1065" s="2" t="n">
        <x:v>1060</x:v>
      </x:c>
      <x:c r="B1065" s="2" t="str">
        <x:v>TXN-01060</x:v>
      </x:c>
      <x:c r="C1065" s="2" t="str">
        <x:v>2025-10-15</x:v>
      </x:c>
      <x:c r="D1065" s="2" t="str">
        <x:v>Abuja</x:v>
      </x:c>
      <x:c r="E1065" s="2" t="str">
        <x:v>Fashion</x:v>
      </x:c>
      <x:c r="F1065" s="2" t="str">
        <x:v>Handbag</x:v>
      </x:c>
      <x:c r="G1065" s="2" t="str">
        <x:v>Online</x:v>
      </x:c>
      <x:c r="H1065" s="2" t="n">
        <x:v>1</x:v>
      </x:c>
      <x:c r="I1065" s="2" t="n">
        <x:v>22000</x:v>
      </x:c>
      <x:c r="J1065" s="2" t="n">
        <x:v>13500</x:v>
      </x:c>
      <x:c r="K1065" s="2" t="n">
        <x:v>0.05</x:v>
      </x:c>
      <x:c r="L1065" s="2" t="str">
        <x:v>Completed</x:v>
      </x:c>
    </x:row>
    <x:row r="1066" ht="21" customHeight="1">
      <x:c r="A1066" s="2" t="n">
        <x:v>1061</x:v>
      </x:c>
      <x:c r="B1066" s="2" t="str">
        <x:v>TXN-01061</x:v>
      </x:c>
      <x:c r="C1066" s="2" t="str">
        <x:v>2025-10-04</x:v>
      </x:c>
      <x:c r="D1066" s="2" t="str">
        <x:v>Abuja</x:v>
      </x:c>
      <x:c r="E1066" s="2" t="str">
        <x:v>Home</x:v>
      </x:c>
      <x:c r="F1066" s="2" t="str">
        <x:v>Cookware set</x:v>
      </x:c>
      <x:c r="G1066" s="2" t="str">
        <x:v>Online</x:v>
      </x:c>
      <x:c r="H1066" s="2" t="n">
        <x:v>1</x:v>
      </x:c>
      <x:c r="I1066" s="2" t="n">
        <x:v>35000</x:v>
      </x:c>
      <x:c r="J1066" s="2" t="n">
        <x:v>22500</x:v>
      </x:c>
      <x:c r="K1066" s="2" t="n">
        <x:v>0.15</x:v>
      </x:c>
      <x:c r="L1066" s="2" t="str">
        <x:v>Returned</x:v>
      </x:c>
    </x:row>
    <x:row r="1067" ht="21" customHeight="1">
      <x:c r="A1067" s="2" t="n">
        <x:v>1062</x:v>
      </x:c>
      <x:c r="B1067" s="2" t="str">
        <x:v>TXN-01062</x:v>
      </x:c>
      <x:c r="C1067" s="2" t="str">
        <x:v>2025-10-26</x:v>
      </x:c>
      <x:c r="D1067" s="2" t="str">
        <x:v>Kano</x:v>
      </x:c>
      <x:c r="E1067" s="2" t="str">
        <x:v>Beauty</x:v>
      </x:c>
      <x:c r="F1067" s="2" t="str">
        <x:v>Body wash</x:v>
      </x:c>
      <x:c r="G1067" s="2" t="str">
        <x:v>Online</x:v>
      </x:c>
      <x:c r="H1067" s="2" t="n">
        <x:v>2</x:v>
      </x:c>
      <x:c r="I1067" s="2" t="n">
        <x:v>4500</x:v>
      </x:c>
      <x:c r="J1067" s="2" t="n">
        <x:v>2300</x:v>
      </x:c>
      <x:c r="K1067" s="2" t="n">
        <x:v>0.1</x:v>
      </x:c>
      <x:c r="L1067" s="2" t="str">
        <x:v>Completed</x:v>
      </x:c>
    </x:row>
    <x:row r="1068" ht="21" customHeight="1">
      <x:c r="A1068" s="2" t="n">
        <x:v>1063</x:v>
      </x:c>
      <x:c r="B1068" s="2" t="str">
        <x:v>TXN-01063</x:v>
      </x:c>
      <x:c r="C1068" s="2" t="str">
        <x:v>2025-10-02</x:v>
      </x:c>
      <x:c r="D1068" s="2" t="str">
        <x:v>Lagos</x:v>
      </x:c>
      <x:c r="E1068" s="2" t="str">
        <x:v>Electronics</x:v>
      </x:c>
      <x:c r="F1068" s="2" t="str">
        <x:v>Power bank</x:v>
      </x:c>
      <x:c r="G1068" s="2" t="str">
        <x:v>Online</x:v>
      </x:c>
      <x:c r="H1068" s="2" t="n">
        <x:v>2</x:v>
      </x:c>
      <x:c r="I1068" s="2" t="n">
        <x:v>15000</x:v>
      </x:c>
      <x:c r="J1068" s="2" t="n">
        <x:v>9500</x:v>
      </x:c>
      <x:c r="K1068" s="2" t="n">
        <x:v>0.1</x:v>
      </x:c>
      <x:c r="L1068" s="2" t="str">
        <x:v> COMPLETED </x:v>
      </x:c>
    </x:row>
    <x:row r="1069" ht="21" customHeight="1">
      <x:c r="A1069" s="2" t="n">
        <x:v>1064</x:v>
      </x:c>
      <x:c r="B1069" s="2" t="str">
        <x:v>TXN-01064</x:v>
      </x:c>
      <x:c r="C1069" s="2" t="str">
        <x:v>2025-10-03</x:v>
      </x:c>
      <x:c r="D1069" s="2" t="str">
        <x:v>Lagos</x:v>
      </x:c>
      <x:c r="E1069" s="2" t="str">
        <x:v>Beauty</x:v>
      </x:c>
      <x:c r="F1069" s="2" t="str">
        <x:v>Perfume</x:v>
      </x:c>
      <x:c r="G1069" s="2" t="str">
        <x:v>Online</x:v>
      </x:c>
      <x:c r="H1069" s="2" t="n">
        <x:v>2</x:v>
      </x:c>
      <x:c r="I1069" s="2" t="n">
        <x:v>17000</x:v>
      </x:c>
      <x:c r="J1069" s="2" t="n">
        <x:v>9000</x:v>
      </x:c>
      <x:c r="K1069" s="2" t="n">
        <x:v>0</x:v>
      </x:c>
      <x:c r="L1069" s="2" t="str">
        <x:v>Completed</x:v>
      </x:c>
    </x:row>
    <x:row r="1070" ht="21" customHeight="1">
      <x:c r="A1070" s="2" t="n">
        <x:v>1065</x:v>
      </x:c>
      <x:c r="B1070" s="2" t="str">
        <x:v>TXN-01065</x:v>
      </x:c>
      <x:c r="C1070" s="2" t="str">
        <x:v>2025-10-17</x:v>
      </x:c>
      <x:c r="D1070" s="2" t="str">
        <x:v> lagos </x:v>
      </x:c>
      <x:c r="E1070" s="2" t="str">
        <x:v>Beauty</x:v>
      </x:c>
      <x:c r="F1070" s="2" t="str">
        <x:v>Moisturizer</x:v>
      </x:c>
      <x:c r="G1070" s="2" t="str">
        <x:v>In-store</x:v>
      </x:c>
      <x:c r="H1070" s="2" t="n">
        <x:v>1</x:v>
      </x:c>
      <x:c r="I1070" s="2" t="n">
        <x:v>6500</x:v>
      </x:c>
      <x:c r="J1070" s="2" t="n">
        <x:v>3500</x:v>
      </x:c>
      <x:c r="K1070" s="2" t="n">
        <x:v>0</x:v>
      </x:c>
      <x:c r="L1070" s="2" t="str">
        <x:v>Completed</x:v>
      </x:c>
    </x:row>
    <x:row r="1071" ht="21" customHeight="1">
      <x:c r="A1071" s="2" t="n">
        <x:v>1066</x:v>
      </x:c>
      <x:c r="B1071" s="2" t="str">
        <x:v>TXN-01066</x:v>
      </x:c>
      <x:c r="C1071" s="2" t="str">
        <x:v>2025-10-24</x:v>
      </x:c>
      <x:c r="D1071" s="2" t="str">
        <x:v>Lagos</x:v>
      </x:c>
      <x:c r="E1071" s="2" t="str">
        <x:v>Electronics</x:v>
      </x:c>
      <x:c r="F1071" s="2" t="str">
        <x:v>Bluetooth speaker</x:v>
      </x:c>
      <x:c r="G1071" s="2" t="str">
        <x:v>Online</x:v>
      </x:c>
      <x:c r="H1071" s="2" t="n">
        <x:v>3</x:v>
      </x:c>
      <x:c r="I1071" s="2" t="n">
        <x:v>26000</x:v>
      </x:c>
      <x:c r="J1071" s="2" t="n">
        <x:v>17000</x:v>
      </x:c>
      <x:c r="K1071" s="2" t="n">
        <x:v>0</x:v>
      </x:c>
      <x:c r="L1071" s="2" t="str">
        <x:v>Completed</x:v>
      </x:c>
    </x:row>
    <x:row r="1072" ht="21" customHeight="1">
      <x:c r="A1072" s="2" t="n">
        <x:v>1067</x:v>
      </x:c>
      <x:c r="B1072" s="2" t="str">
        <x:v>TXN-01067</x:v>
      </x:c>
      <x:c r="C1072" s="2" t="str">
        <x:v>2025-10-07</x:v>
      </x:c>
      <x:c r="D1072" s="2" t="str">
        <x:v>Lagos</x:v>
      </x:c>
      <x:c r="E1072" s="2" t="str">
        <x:v>Beauty</x:v>
      </x:c>
      <x:c r="F1072" s="2" t="str">
        <x:v>Body wash</x:v>
      </x:c>
      <x:c r="G1072" s="2" t="str">
        <x:v>In-store</x:v>
      </x:c>
      <x:c r="H1072" s="2" t="n">
        <x:v>3</x:v>
      </x:c>
      <x:c r="I1072" s="2" t="n">
        <x:v>4500</x:v>
      </x:c>
      <x:c r="J1072" s="2" t="n">
        <x:v>2300</x:v>
      </x:c>
      <x:c r="K1072" s="2" t="n">
        <x:v>0</x:v>
      </x:c>
      <x:c r="L1072" s="2" t="str">
        <x:v>Returned</x:v>
      </x:c>
    </x:row>
    <x:row r="1073" ht="21" customHeight="1">
      <x:c r="A1073" s="2" t="n">
        <x:v>1068</x:v>
      </x:c>
      <x:c r="B1073" s="2" t="str">
        <x:v>TXN-01068</x:v>
      </x:c>
      <x:c r="C1073" s="2" t="str">
        <x:v>2025-10-19</x:v>
      </x:c>
      <x:c r="D1073" s="2" t="str">
        <x:v>Lagos</x:v>
      </x:c>
      <x:c r="E1073" s="2" t="str">
        <x:v>Home</x:v>
      </x:c>
      <x:c r="F1073" s="2" t="str">
        <x:v>Desk lamp</x:v>
      </x:c>
      <x:c r="G1073" s="2" t="str">
        <x:v> online </x:v>
      </x:c>
      <x:c r="H1073" s="2" t="n">
        <x:v>2</x:v>
      </x:c>
      <x:c r="I1073" s="2" t="n">
        <x:v>12000</x:v>
      </x:c>
      <x:c r="J1073" s="2" t="n">
        <x:v>7200</x:v>
      </x:c>
      <x:c r="K1073" s="2" t="n">
        <x:v>0</x:v>
      </x:c>
      <x:c r="L1073" s="2" t="str">
        <x:v>Completed</x:v>
      </x:c>
    </x:row>
    <x:row r="1074" ht="21" customHeight="1">
      <x:c r="A1074" s="2" t="n">
        <x:v>1069</x:v>
      </x:c>
      <x:c r="B1074" s="2" t="str">
        <x:v>TXN-01069</x:v>
      </x:c>
      <x:c r="C1074" s="2" t="str">
        <x:v>2025-10-20</x:v>
      </x:c>
      <x:c r="D1074" s="2" t="str">
        <x:v>Port Harcourt</x:v>
      </x:c>
      <x:c r="E1074" s="2" t="str">
        <x:v>Electronics</x:v>
      </x:c>
      <x:c r="F1074" s="2" t="str">
        <x:v>Power bank</x:v>
      </x:c>
      <x:c r="G1074" s="2" t="str">
        <x:v>In-store</x:v>
      </x:c>
      <x:c r="H1074" s="2" t="n">
        <x:v>2</x:v>
      </x:c>
      <x:c r="I1074" s="2" t="n">
        <x:v>15000</x:v>
      </x:c>
      <x:c r="J1074" s="2" t="n">
        <x:v>9500</x:v>
      </x:c>
      <x:c r="K1074" s="2" t="n">
        <x:v>0.15</x:v>
      </x:c>
      <x:c r="L1074" s="2" t="str">
        <x:v>Completed</x:v>
      </x:c>
    </x:row>
    <x:row r="1075" ht="21" customHeight="1">
      <x:c r="A1075" s="2" t="n">
        <x:v>1070</x:v>
      </x:c>
      <x:c r="B1075" s="2" t="str">
        <x:v>TXN-01070</x:v>
      </x:c>
      <x:c r="C1075" s="2" t="str">
        <x:v>2025-10-16</x:v>
      </x:c>
      <x:c r="D1075" s="2" t="str">
        <x:v>Lagos</x:v>
      </x:c>
      <x:c r="E1075" s="2" t="str">
        <x:v>Electronics</x:v>
      </x:c>
      <x:c r="F1075" s="2" t="str">
        <x:v>Headphones</x:v>
      </x:c>
      <x:c r="G1075" s="2" t="str">
        <x:v>In-store</x:v>
      </x:c>
      <x:c r="H1075" s="2" t="n">
        <x:v>2</x:v>
      </x:c>
      <x:c r="I1075" s="2" t="n">
        <x:v>18000</x:v>
      </x:c>
      <x:c r="J1075" s="2" t="n">
        <x:v>10500</x:v>
      </x:c>
      <x:c r="K1075" s="2" t="n">
        <x:v>0</x:v>
      </x:c>
      <x:c r="L1075" s="2" t="str">
        <x:v>Completed</x:v>
      </x:c>
    </x:row>
    <x:row r="1076" ht="21" customHeight="1">
      <x:c r="A1076" s="2" t="n">
        <x:v>1071</x:v>
      </x:c>
      <x:c r="B1076" s="2" t="str">
        <x:v>TXN-01071</x:v>
      </x:c>
      <x:c r="C1076" s="2" t="str">
        <x:v>2025-10-16</x:v>
      </x:c>
      <x:c r="D1076" s="2" t="str">
        <x:v>Lagos</x:v>
      </x:c>
      <x:c r="E1076" s="2" t="str">
        <x:v>Beauty</x:v>
      </x:c>
      <x:c r="F1076" s="2" t="str">
        <x:v>Moisturizer</x:v>
      </x:c>
      <x:c r="G1076" s="2" t="str">
        <x:v>In-store</x:v>
      </x:c>
      <x:c r="H1076" s="2" t="n">
        <x:v>1</x:v>
      </x:c>
      <x:c r="I1076" s="2" t="n">
        <x:v>6500</x:v>
      </x:c>
      <x:c r="J1076" s="2" t="n">
        <x:v>3500</x:v>
      </x:c>
      <x:c r="K1076" s="2" t="n">
        <x:v>0</x:v>
      </x:c>
      <x:c r="L1076" s="2" t="str">
        <x:v>Completed</x:v>
      </x:c>
    </x:row>
    <x:row r="1077" ht="21" customHeight="1">
      <x:c r="A1077" s="2" t="n">
        <x:v>1072</x:v>
      </x:c>
      <x:c r="B1077" s="2" t="str">
        <x:v>TXN-01072</x:v>
      </x:c>
      <x:c r="C1077" s="2" t="str">
        <x:v>2025-10-30</x:v>
      </x:c>
      <x:c r="D1077" s="2" t="str">
        <x:v> port harcourt </x:v>
      </x:c>
      <x:c r="E1077" s="2" t="str">
        <x:v>Beauty</x:v>
      </x:c>
      <x:c r="F1077" s="2" t="str">
        <x:v>Moisturizer</x:v>
      </x:c>
      <x:c r="G1077" s="2" t="str">
        <x:v>In-store</x:v>
      </x:c>
      <x:c r="H1077" s="2" t="n">
        <x:v>2</x:v>
      </x:c>
      <x:c r="I1077" s="2" t="n">
        <x:v>6500</x:v>
      </x:c>
      <x:c r="J1077" s="2" t="n">
        <x:v>3500</x:v>
      </x:c>
      <x:c r="K1077" s="2" t="n">
        <x:v>0.1</x:v>
      </x:c>
      <x:c r="L1077" s="2" t="str">
        <x:v> COMPLETED </x:v>
      </x:c>
    </x:row>
    <x:row r="1078" ht="21" customHeight="1">
      <x:c r="A1078" s="2" t="n">
        <x:v>1073</x:v>
      </x:c>
      <x:c r="B1078" s="2" t="str">
        <x:v>TXN-01073</x:v>
      </x:c>
      <x:c r="C1078" s="2" t="str">
        <x:v>2025-10-24</x:v>
      </x:c>
      <x:c r="D1078" s="2" t="str">
        <x:v>Kano</x:v>
      </x:c>
      <x:c r="E1078" s="2" t="str">
        <x:v>Fashion</x:v>
      </x:c>
      <x:c r="F1078" s="2" t="str">
        <x:v>T-shirt</x:v>
      </x:c>
      <x:c r="G1078" s="2" t="str">
        <x:v>In-store</x:v>
      </x:c>
      <x:c r="H1078" s="2" t="n">
        <x:v>2</x:v>
      </x:c>
      <x:c r="I1078" s="2" t="n">
        <x:v>9000</x:v>
      </x:c>
      <x:c r="J1078" s="2" t="n">
        <x:v>5000</x:v>
      </x:c>
      <x:c r="K1078" s="2" t="n">
        <x:v>0.05</x:v>
      </x:c>
      <x:c r="L1078" s="2" t="str">
        <x:v>Completed</x:v>
      </x:c>
    </x:row>
    <x:row r="1079" ht="21" customHeight="1">
      <x:c r="A1079" s="2" t="n">
        <x:v>1074</x:v>
      </x:c>
      <x:c r="B1079" s="2" t="str">
        <x:v>TXN-01074</x:v>
      </x:c>
      <x:c r="C1079" s="2" t="str">
        <x:v>2025-10-21</x:v>
      </x:c>
      <x:c r="D1079" s="2" t="str">
        <x:v>Lagos</x:v>
      </x:c>
      <x:c r="E1079" s="2" t="str">
        <x:v>Fashion</x:v>
      </x:c>
      <x:c r="F1079" s="2" t="str">
        <x:v>Sneakers</x:v>
      </x:c>
      <x:c r="G1079" s="2" t="str">
        <x:v>In-store</x:v>
      </x:c>
      <x:c r="H1079" s="2" t="n">
        <x:v>1</x:v>
      </x:c>
      <x:c r="I1079" s="2" t="n">
        <x:v>28000</x:v>
      </x:c>
      <x:c r="J1079" s="2" t="n">
        <x:v>17500</x:v>
      </x:c>
      <x:c r="K1079" s="2" t="n">
        <x:v>0</x:v>
      </x:c>
      <x:c r="L1079" s="2" t="str">
        <x:v>Returned</x:v>
      </x:c>
    </x:row>
    <x:row r="1080" ht="21" customHeight="1">
      <x:c r="A1080" s="2" t="n">
        <x:v>1075</x:v>
      </x:c>
      <x:c r="B1080" s="2" t="str">
        <x:v>TXN-01075</x:v>
      </x:c>
      <x:c r="C1080" s="2" t="str">
        <x:v>2025-10-28</x:v>
      </x:c>
      <x:c r="D1080" s="2" t="str">
        <x:v>Abuja</x:v>
      </x:c>
      <x:c r="E1080" s="2" t="str">
        <x:v>Fashion</x:v>
      </x:c>
      <x:c r="F1080" s="2" t="str">
        <x:v>Sneakers</x:v>
      </x:c>
      <x:c r="G1080" s="2" t="str">
        <x:v>In-store</x:v>
      </x:c>
      <x:c r="H1080" s="2" t="n">
        <x:v>1</x:v>
      </x:c>
      <x:c r="I1080" s="2" t="n">
        <x:v>28000</x:v>
      </x:c>
      <x:c r="J1080" s="2" t="n">
        <x:v>17500</x:v>
      </x:c>
      <x:c r="K1080" s="2" t="n">
        <x:v>0</x:v>
      </x:c>
      <x:c r="L1080" s="2" t="str">
        <x:v>Completed</x:v>
      </x:c>
    </x:row>
    <x:row r="1081" ht="21" customHeight="1">
      <x:c r="A1081" s="2" t="n">
        <x:v>1076</x:v>
      </x:c>
      <x:c r="B1081" s="2" t="str">
        <x:v>TXN-01076</x:v>
      </x:c>
      <x:c r="C1081" s="2" t="str">
        <x:v>2025-10-16</x:v>
      </x:c>
      <x:c r="D1081" s="2" t="str">
        <x:v>Kano</x:v>
      </x:c>
      <x:c r="E1081" s="2" t="str">
        <x:v>Fashion</x:v>
      </x:c>
      <x:c r="F1081" s="2" t="str">
        <x:v>Sneakers</x:v>
      </x:c>
      <x:c r="G1081" s="2" t="str">
        <x:v>In-store</x:v>
      </x:c>
      <x:c r="H1081" s="2" t="n">
        <x:v>1</x:v>
      </x:c>
      <x:c r="I1081" s="2" t="n">
        <x:v>28000</x:v>
      </x:c>
      <x:c r="J1081" s="2" t="n">
        <x:v>17500</x:v>
      </x:c>
      <x:c r="K1081" s="2" t="n">
        <x:v>0</x:v>
      </x:c>
      <x:c r="L1081" s="2" t="str">
        <x:v>Completed</x:v>
      </x:c>
    </x:row>
    <x:row r="1082" ht="21" customHeight="1">
      <x:c r="A1082" s="2" t="n">
        <x:v>1077</x:v>
      </x:c>
      <x:c r="B1082" s="2" t="str">
        <x:v>TXN-01077</x:v>
      </x:c>
      <x:c r="C1082" s="2" t="str">
        <x:v>2025-10-05</x:v>
      </x:c>
      <x:c r="D1082" s="2" t="str">
        <x:v>Lagos</x:v>
      </x:c>
      <x:c r="E1082" s="2" t="str">
        <x:v>Electronics</x:v>
      </x:c>
      <x:c r="F1082" s="2" t="str">
        <x:v>Bluetooth speaker</x:v>
      </x:c>
      <x:c r="G1082" s="2" t="str">
        <x:v>In-store</x:v>
      </x:c>
      <x:c r="H1082" s="2" t="n">
        <x:v>1</x:v>
      </x:c>
      <x:c r="I1082" s="2" t="n">
        <x:v>26000</x:v>
      </x:c>
      <x:c r="J1082" s="2" t="n">
        <x:v>17000</x:v>
      </x:c>
      <x:c r="K1082" s="2" t="n">
        <x:v>0</x:v>
      </x:c>
      <x:c r="L1082" s="2" t="str">
        <x:v>Completed</x:v>
      </x:c>
    </x:row>
    <x:row r="1083" ht="21" customHeight="1">
      <x:c r="A1083" s="2" t="n">
        <x:v>1078</x:v>
      </x:c>
      <x:c r="B1083" s="2" t="str">
        <x:v>TXN-01078</x:v>
      </x:c>
      <x:c r="C1083" s="2" t="str">
        <x:v>2025-10-04</x:v>
      </x:c>
      <x:c r="D1083" s="2" t="str">
        <x:v>Lagos</x:v>
      </x:c>
      <x:c r="E1083" s="2" t="str">
        <x:v>Beauty</x:v>
      </x:c>
      <x:c r="F1083" s="2" t="str">
        <x:v>Moisturizer</x:v>
      </x:c>
      <x:c r="G1083" s="2" t="str">
        <x:v>Online</x:v>
      </x:c>
      <x:c r="H1083" s="2" t="n">
        <x:v>1</x:v>
      </x:c>
      <x:c r="I1083" s="2" t="n">
        <x:v>6500</x:v>
      </x:c>
      <x:c r="J1083" s="2" t="n">
        <x:v>3500</x:v>
      </x:c>
      <x:c r="K1083" s="2" t="n">
        <x:v>0.1</x:v>
      </x:c>
      <x:c r="L1083" s="2" t="str">
        <x:v>Completed</x:v>
      </x:c>
    </x:row>
    <x:row r="1084" ht="21" customHeight="1">
      <x:c r="A1084" s="2" t="n">
        <x:v>1079</x:v>
      </x:c>
      <x:c r="B1084" s="2" t="str">
        <x:v>TXN-01079</x:v>
      </x:c>
      <x:c r="C1084" s="2" t="str">
        <x:v>2025-10-10</x:v>
      </x:c>
      <x:c r="D1084" s="2" t="str">
        <x:v> port harcourt </x:v>
      </x:c>
      <x:c r="E1084" s="2" t="str">
        <x:v>Beauty</x:v>
      </x:c>
      <x:c r="F1084" s="2" t="str">
        <x:v>Perfume</x:v>
      </x:c>
      <x:c r="G1084" s="2" t="str">
        <x:v> in-store </x:v>
      </x:c>
      <x:c r="H1084" s="2" t="n">
        <x:v>3</x:v>
      </x:c>
      <x:c r="I1084" s="2" t="n">
        <x:v>17000</x:v>
      </x:c>
      <x:c r="J1084" s="2" t="n">
        <x:v>9000</x:v>
      </x:c>
      <x:c r="K1084" s="2" t="n">
        <x:v>0.15</x:v>
      </x:c>
      <x:c r="L1084" s="2" t="str">
        <x:v>Completed</x:v>
      </x:c>
    </x:row>
    <x:row r="1085" ht="21" customHeight="1">
      <x:c r="A1085" s="2" t="n">
        <x:v>1080</x:v>
      </x:c>
      <x:c r="B1085" s="2" t="str">
        <x:v>TXN-01080</x:v>
      </x:c>
      <x:c r="C1085" s="2" t="str">
        <x:v>2025-10-13</x:v>
      </x:c>
      <x:c r="D1085" s="2" t="str">
        <x:v>Lagos</x:v>
      </x:c>
      <x:c r="E1085" s="2" t="str">
        <x:v>Electronics</x:v>
      </x:c>
      <x:c r="F1085" s="2" t="str">
        <x:v>Power bank</x:v>
      </x:c>
      <x:c r="G1085" s="2" t="str">
        <x:v>In-store</x:v>
      </x:c>
      <x:c r="H1085" s="2" t="n">
        <x:v>1</x:v>
      </x:c>
      <x:c r="I1085" s="2" t="n">
        <x:v>15000</x:v>
      </x:c>
      <x:c r="J1085" s="2" t="n">
        <x:v>9500</x:v>
      </x:c>
      <x:c r="K1085" s="2" t="n">
        <x:v>0</x:v>
      </x:c>
      <x:c r="L1085" s="2" t="str">
        <x:v>Completed</x:v>
      </x:c>
    </x:row>
    <x:row r="1086" ht="21" customHeight="1">
      <x:c r="A1086" s="2" t="n">
        <x:v>1081</x:v>
      </x:c>
      <x:c r="B1086" s="2" t="str">
        <x:v>TXN-01081</x:v>
      </x:c>
      <x:c r="C1086" s="2" t="str">
        <x:v>2025-10-28</x:v>
      </x:c>
      <x:c r="D1086" s="2" t="str">
        <x:v>Lagos</x:v>
      </x:c>
      <x:c r="E1086" s="2" t="str">
        <x:v>Fashion</x:v>
      </x:c>
      <x:c r="F1086" s="2" t="str">
        <x:v>T-shirt</x:v>
      </x:c>
      <x:c r="G1086" s="2" t="str">
        <x:v>In-store</x:v>
      </x:c>
      <x:c r="H1086" s="2" t="n">
        <x:v>1</x:v>
      </x:c>
      <x:c r="I1086" s="2" t="n">
        <x:v>9000</x:v>
      </x:c>
      <x:c r="J1086" s="2" t="n">
        <x:v>5000</x:v>
      </x:c>
      <x:c r="K1086" s="2" t="n">
        <x:v>0</x:v>
      </x:c>
      <x:c r="L1086" s="2" t="str">
        <x:v> COMPLETED </x:v>
      </x:c>
    </x:row>
    <x:row r="1087" ht="21" customHeight="1">
      <x:c r="A1087" s="2" t="n">
        <x:v>1082</x:v>
      </x:c>
      <x:c r="B1087" s="2" t="str">
        <x:v>TXN-01082</x:v>
      </x:c>
      <x:c r="C1087" s="2" t="str">
        <x:v>2025-10-16</x:v>
      </x:c>
      <x:c r="D1087" s="2" t="str">
        <x:v>Lagos</x:v>
      </x:c>
      <x:c r="E1087" s="2" t="str">
        <x:v>Beauty</x:v>
      </x:c>
      <x:c r="F1087" s="2" t="str">
        <x:v>Body wash</x:v>
      </x:c>
      <x:c r="G1087" s="2" t="str">
        <x:v>In-store</x:v>
      </x:c>
      <x:c r="H1087" s="2" t="n">
        <x:v>1</x:v>
      </x:c>
      <x:c r="I1087" s="2" t="n">
        <x:v>4500</x:v>
      </x:c>
      <x:c r="J1087" s="2" t="n">
        <x:v>2300</x:v>
      </x:c>
      <x:c r="K1087" s="2" t="n">
        <x:v>0.1</x:v>
      </x:c>
      <x:c r="L1087" s="2" t="str">
        <x:v>Completed</x:v>
      </x:c>
    </x:row>
    <x:row r="1088" ht="21" customHeight="1">
      <x:c r="A1088" s="2" t="n">
        <x:v>1083</x:v>
      </x:c>
      <x:c r="B1088" s="2" t="str">
        <x:v>TXN-01083</x:v>
      </x:c>
      <x:c r="C1088" s="2" t="str">
        <x:v>2025-10-20</x:v>
      </x:c>
      <x:c r="D1088" s="2" t="str">
        <x:v>Lagos</x:v>
      </x:c>
      <x:c r="E1088" s="2" t="str">
        <x:v>Beauty</x:v>
      </x:c>
      <x:c r="F1088" s="2" t="str">
        <x:v>Moisturizer</x:v>
      </x:c>
      <x:c r="G1088" s="2" t="str">
        <x:v>In-store</x:v>
      </x:c>
      <x:c r="H1088" s="2" t="n">
        <x:v>2</x:v>
      </x:c>
      <x:c r="I1088" s="2" t="n">
        <x:v>6500</x:v>
      </x:c>
      <x:c r="J1088" s="2" t="n">
        <x:v>3500</x:v>
      </x:c>
      <x:c r="K1088" s="2" t="n">
        <x:v>0</x:v>
      </x:c>
      <x:c r="L1088" s="2" t="str">
        <x:v>Completed</x:v>
      </x:c>
    </x:row>
    <x:row r="1089" ht="21" customHeight="1">
      <x:c r="A1089" s="2" t="n">
        <x:v>1084</x:v>
      </x:c>
      <x:c r="B1089" s="2" t="str">
        <x:v>TXN-01084</x:v>
      </x:c>
      <x:c r="C1089" s="2" t="str">
        <x:v>2025-10-27</x:v>
      </x:c>
      <x:c r="D1089" s="2" t="str">
        <x:v>Lagos</x:v>
      </x:c>
      <x:c r="E1089" s="2" t="str">
        <x:v>Electronics</x:v>
      </x:c>
      <x:c r="F1089" s="2" t="str">
        <x:v>Headphones</x:v>
      </x:c>
      <x:c r="G1089" s="2" t="str">
        <x:v>Online</x:v>
      </x:c>
      <x:c r="H1089" s="2" t="n">
        <x:v>2</x:v>
      </x:c>
      <x:c r="I1089" s="2" t="n">
        <x:v>18000</x:v>
      </x:c>
      <x:c r="J1089" s="2" t="n">
        <x:v>10500</x:v>
      </x:c>
      <x:c r="K1089" s="2" t="n">
        <x:v>0</x:v>
      </x:c>
      <x:c r="L1089" s="2" t="str">
        <x:v>Completed</x:v>
      </x:c>
    </x:row>
    <x:row r="1090" ht="21" customHeight="1">
      <x:c r="A1090" s="2" t="n">
        <x:v>1085</x:v>
      </x:c>
      <x:c r="B1090" s="2" t="str">
        <x:v>TXN-01085</x:v>
      </x:c>
      <x:c r="C1090" s="2" t="str">
        <x:v>2025-10-26</x:v>
      </x:c>
      <x:c r="D1090" s="2" t="str">
        <x:v>Abuja</x:v>
      </x:c>
      <x:c r="E1090" s="2" t="str">
        <x:v>Beauty</x:v>
      </x:c>
      <x:c r="F1090" s="2" t="str">
        <x:v>Body wash</x:v>
      </x:c>
      <x:c r="G1090" s="2" t="str">
        <x:v>Online</x:v>
      </x:c>
      <x:c r="H1090" s="2" t="n">
        <x:v>1</x:v>
      </x:c>
      <x:c r="I1090" s="2" t="n">
        <x:v>4500</x:v>
      </x:c>
      <x:c r="J1090" s="2" t="n">
        <x:v>2300</x:v>
      </x:c>
      <x:c r="K1090" s="2" t="n">
        <x:v>0.05</x:v>
      </x:c>
      <x:c r="L1090" s="2" t="str">
        <x:v>Completed</x:v>
      </x:c>
    </x:row>
    <x:row r="1091" ht="21" customHeight="1">
      <x:c r="A1091" s="2" t="n">
        <x:v>1086</x:v>
      </x:c>
      <x:c r="B1091" s="2" t="str">
        <x:v>TXN-01086</x:v>
      </x:c>
      <x:c r="C1091" s="2" t="str">
        <x:v>2025-10-27</x:v>
      </x:c>
      <x:c r="D1091" s="2" t="str">
        <x:v> kano </x:v>
      </x:c>
      <x:c r="E1091" s="2" t="str">
        <x:v>Fashion</x:v>
      </x:c>
      <x:c r="F1091" s="2" t="str">
        <x:v>Sneakers</x:v>
      </x:c>
      <x:c r="G1091" s="2" t="str">
        <x:v>Online</x:v>
      </x:c>
      <x:c r="H1091" s="2" t="n">
        <x:v>3</x:v>
      </x:c>
      <x:c r="I1091" s="2" t="n">
        <x:v>28000</x:v>
      </x:c>
      <x:c r="J1091" s="2" t="n">
        <x:v>17500</x:v>
      </x:c>
      <x:c r="K1091" s="2" t="n">
        <x:v>0.05</x:v>
      </x:c>
      <x:c r="L1091" s="2" t="str">
        <x:v>Completed</x:v>
      </x:c>
    </x:row>
    <x:row r="1092" ht="21" customHeight="1">
      <x:c r="A1092" s="2" t="n">
        <x:v>1087</x:v>
      </x:c>
      <x:c r="B1092" s="2" t="str">
        <x:v>TXN-01087</x:v>
      </x:c>
      <x:c r="C1092" s="2" t="str">
        <x:v>2025-10-08</x:v>
      </x:c>
      <x:c r="D1092" s="2" t="str">
        <x:v>Lagos</x:v>
      </x:c>
      <x:c r="E1092" s="2" t="str">
        <x:v>Fashion</x:v>
      </x:c>
      <x:c r="F1092" s="2" t="str">
        <x:v>T-shirt</x:v>
      </x:c>
      <x:c r="G1092" s="2" t="str">
        <x:v>In-store</x:v>
      </x:c>
      <x:c r="H1092" s="2" t="n">
        <x:v>1</x:v>
      </x:c>
      <x:c r="I1092" s="2" t="n">
        <x:v>9000</x:v>
      </x:c>
      <x:c r="J1092" s="2" t="n">
        <x:v>5000</x:v>
      </x:c>
      <x:c r="K1092" s="2" t="n">
        <x:v>0.15</x:v>
      </x:c>
      <x:c r="L1092" s="2" t="str">
        <x:v>Returned</x:v>
      </x:c>
    </x:row>
    <x:row r="1093" ht="21" customHeight="1">
      <x:c r="A1093" s="2" t="n">
        <x:v>1088</x:v>
      </x:c>
      <x:c r="B1093" s="2" t="str">
        <x:v>TXN-01088</x:v>
      </x:c>
      <x:c r="C1093" s="2" t="str">
        <x:v>2025-10-12</x:v>
      </x:c>
      <x:c r="D1093" s="2" t="str">
        <x:v>Lagos</x:v>
      </x:c>
      <x:c r="E1093" s="2" t="str">
        <x:v>Home</x:v>
      </x:c>
      <x:c r="F1093" s="2" t="str">
        <x:v>Desk lamp</x:v>
      </x:c>
      <x:c r="G1093" s="2" t="str">
        <x:v>Online</x:v>
      </x:c>
      <x:c r="H1093" s="2" t="n">
        <x:v>4</x:v>
      </x:c>
      <x:c r="I1093" s="2" t="n">
        <x:v>12000</x:v>
      </x:c>
      <x:c r="J1093" s="2" t="n">
        <x:v>7200</x:v>
      </x:c>
      <x:c r="K1093" s="2" t="n">
        <x:v>0.05</x:v>
      </x:c>
      <x:c r="L1093" s="2" t="str">
        <x:v>Completed</x:v>
      </x:c>
    </x:row>
    <x:row r="1094" ht="21" customHeight="1">
      <x:c r="A1094" s="2" t="n">
        <x:v>1089</x:v>
      </x:c>
      <x:c r="B1094" s="2" t="str">
        <x:v>TXN-01089</x:v>
      </x:c>
      <x:c r="C1094" s="2" t="str">
        <x:v>2025-10-05</x:v>
      </x:c>
      <x:c r="D1094" s="2" t="str">
        <x:v>Lagos</x:v>
      </x:c>
      <x:c r="E1094" s="2" t="str">
        <x:v>Beauty</x:v>
      </x:c>
      <x:c r="F1094" s="2" t="str">
        <x:v>Moisturizer</x:v>
      </x:c>
      <x:c r="G1094" s="2" t="str">
        <x:v>In-store</x:v>
      </x:c>
      <x:c r="H1094" s="2" t="n">
        <x:v>1</x:v>
      </x:c>
      <x:c r="I1094" s="2" t="n">
        <x:v>6500</x:v>
      </x:c>
      <x:c r="J1094" s="2" t="n">
        <x:v>3500</x:v>
      </x:c>
      <x:c r="K1094" s="2" t="n">
        <x:v>0</x:v>
      </x:c>
      <x:c r="L1094" s="2" t="str">
        <x:v>Completed</x:v>
      </x:c>
    </x:row>
    <x:row r="1095" ht="21" customHeight="1">
      <x:c r="A1095" s="2" t="n">
        <x:v>1090</x:v>
      </x:c>
      <x:c r="B1095" s="2" t="str">
        <x:v>TXN-01090</x:v>
      </x:c>
      <x:c r="C1095" s="2" t="str">
        <x:v>2025-10-11</x:v>
      </x:c>
      <x:c r="D1095" s="2" t="str">
        <x:v>Lagos</x:v>
      </x:c>
      <x:c r="E1095" s="2" t="str">
        <x:v>Beauty</x:v>
      </x:c>
      <x:c r="F1095" s="2" t="str">
        <x:v>Moisturizer</x:v>
      </x:c>
      <x:c r="G1095" s="2" t="str">
        <x:v> online </x:v>
      </x:c>
      <x:c r="H1095" s="2" t="n">
        <x:v>3</x:v>
      </x:c>
      <x:c r="I1095" s="2" t="n">
        <x:v>6500</x:v>
      </x:c>
      <x:c r="J1095" s="2" t="n">
        <x:v>3500</x:v>
      </x:c>
      <x:c r="K1095" s="2" t="n">
        <x:v>0</x:v>
      </x:c>
      <x:c r="L1095" s="2" t="str">
        <x:v> COMPLETED </x:v>
      </x:c>
    </x:row>
    <x:row r="1096" ht="21" customHeight="1">
      <x:c r="A1096" s="2" t="n">
        <x:v>1091</x:v>
      </x:c>
      <x:c r="B1096" s="2" t="str">
        <x:v>TXN-01091</x:v>
      </x:c>
      <x:c r="C1096" s="2" t="str">
        <x:v>2025-10-03</x:v>
      </x:c>
      <x:c r="D1096" s="2" t="str">
        <x:v>Lagos</x:v>
      </x:c>
      <x:c r="E1096" s="2" t="str">
        <x:v>Electronics</x:v>
      </x:c>
      <x:c r="F1096" s="2" t="str">
        <x:v>Power bank</x:v>
      </x:c>
      <x:c r="G1096" s="2" t="str">
        <x:v>Online</x:v>
      </x:c>
      <x:c r="H1096" s="2" t="n">
        <x:v>2</x:v>
      </x:c>
      <x:c r="I1096" s="2" t="n">
        <x:v>15000</x:v>
      </x:c>
      <x:c r="J1096" s="2" t="n">
        <x:v>9500</x:v>
      </x:c>
      <x:c r="K1096" s="2" t="n">
        <x:v>0.1</x:v>
      </x:c>
      <x:c r="L1096" s="2" t="str">
        <x:v>Returned</x:v>
      </x:c>
    </x:row>
    <x:row r="1097" ht="21" customHeight="1">
      <x:c r="A1097" s="2" t="n">
        <x:v>1092</x:v>
      </x:c>
      <x:c r="B1097" s="2" t="str">
        <x:v>TXN-01092</x:v>
      </x:c>
      <x:c r="C1097" s="2" t="str">
        <x:v>2025-10-31</x:v>
      </x:c>
      <x:c r="D1097" s="2" t="str">
        <x:v>Kano</x:v>
      </x:c>
      <x:c r="E1097" s="2" t="str">
        <x:v>Fashion</x:v>
      </x:c>
      <x:c r="F1097" s="2" t="str">
        <x:v>Handbag</x:v>
      </x:c>
      <x:c r="G1097" s="2" t="str">
        <x:v>In-store</x:v>
      </x:c>
      <x:c r="H1097" s="2" t="n">
        <x:v>1</x:v>
      </x:c>
      <x:c r="I1097" s="2" t="n">
        <x:v>22000</x:v>
      </x:c>
      <x:c r="J1097" s="2" t="n">
        <x:v>13500</x:v>
      </x:c>
      <x:c r="K1097" s="2" t="n">
        <x:v>0.1</x:v>
      </x:c>
      <x:c r="L1097" s="2" t="str">
        <x:v>Completed</x:v>
      </x:c>
    </x:row>
    <x:row r="1098" ht="21" customHeight="1">
      <x:c r="A1098" s="2" t="n">
        <x:v>1093</x:v>
      </x:c>
      <x:c r="B1098" s="2" t="str">
        <x:v>TXN-01093</x:v>
      </x:c>
      <x:c r="C1098" s="2" t="str">
        <x:v>2025-10-31</x:v>
      </x:c>
      <x:c r="D1098" s="2" t="str">
        <x:v> lagos </x:v>
      </x:c>
      <x:c r="E1098" s="2" t="str">
        <x:v>Electronics</x:v>
      </x:c>
      <x:c r="F1098" s="2" t="str">
        <x:v>Headphones</x:v>
      </x:c>
      <x:c r="G1098" s="2" t="str">
        <x:v>In-store</x:v>
      </x:c>
      <x:c r="H1098" s="2" t="n">
        <x:v>1</x:v>
      </x:c>
      <x:c r="I1098" s="2" t="n">
        <x:v>18000</x:v>
      </x:c>
      <x:c r="J1098" s="2" t="n">
        <x:v>10500</x:v>
      </x:c>
      <x:c r="K1098" s="2" t="n">
        <x:v>0</x:v>
      </x:c>
      <x:c r="L1098" s="2" t="str">
        <x:v>Completed</x:v>
      </x:c>
    </x:row>
    <x:row r="1099" ht="21" customHeight="1">
      <x:c r="A1099" s="2" t="n">
        <x:v>1094</x:v>
      </x:c>
      <x:c r="B1099" s="2" t="str">
        <x:v>TXN-01094</x:v>
      </x:c>
      <x:c r="C1099" s="2" t="str">
        <x:v>2025-10-23</x:v>
      </x:c>
      <x:c r="D1099" s="2" t="str">
        <x:v>Port Harcourt</x:v>
      </x:c>
      <x:c r="E1099" s="2" t="str">
        <x:v>Electronics</x:v>
      </x:c>
      <x:c r="F1099" s="2" t="str">
        <x:v>Bluetooth speaker</x:v>
      </x:c>
      <x:c r="G1099" s="2" t="str">
        <x:v>Online</x:v>
      </x:c>
      <x:c r="H1099" s="2" t="n">
        <x:v>1</x:v>
      </x:c>
      <x:c r="I1099" s="2" t="n">
        <x:v>26000</x:v>
      </x:c>
      <x:c r="J1099" s="2" t="n">
        <x:v>17000</x:v>
      </x:c>
      <x:c r="K1099" s="2" t="n">
        <x:v>0.1</x:v>
      </x:c>
      <x:c r="L1099" s="2" t="str">
        <x:v>Completed</x:v>
      </x:c>
    </x:row>
    <x:row r="1100" ht="21" customHeight="1">
      <x:c r="A1100" s="2" t="n">
        <x:v>1095</x:v>
      </x:c>
      <x:c r="B1100" s="2" t="str">
        <x:v>TXN-01095</x:v>
      </x:c>
      <x:c r="C1100" s="2" t="str">
        <x:v>2025-10-08</x:v>
      </x:c>
      <x:c r="D1100" s="2" t="str">
        <x:v>Kano</x:v>
      </x:c>
      <x:c r="E1100" s="2" t="str">
        <x:v>Beauty</x:v>
      </x:c>
      <x:c r="F1100" s="2" t="str">
        <x:v>Moisturizer</x:v>
      </x:c>
      <x:c r="G1100" s="2" t="str">
        <x:v>Online</x:v>
      </x:c>
      <x:c r="H1100" s="2" t="n">
        <x:v>1</x:v>
      </x:c>
      <x:c r="I1100" s="2" t="n">
        <x:v>6500</x:v>
      </x:c>
      <x:c r="J1100" s="2" t="n">
        <x:v>3500</x:v>
      </x:c>
      <x:c r="K1100" s="2" t="n">
        <x:v>0</x:v>
      </x:c>
      <x:c r="L1100" s="2" t="str">
        <x:v>Completed</x:v>
      </x:c>
    </x:row>
    <x:row r="1101" ht="21" customHeight="1">
      <x:c r="A1101" s="2" t="n">
        <x:v>1096</x:v>
      </x:c>
      <x:c r="B1101" s="2" t="str">
        <x:v>TXN-01096</x:v>
      </x:c>
      <x:c r="C1101" s="2" t="str">
        <x:v>2025-10-03</x:v>
      </x:c>
      <x:c r="D1101" s="2" t="str">
        <x:v>Lagos</x:v>
      </x:c>
      <x:c r="E1101" s="2" t="str">
        <x:v>Home</x:v>
      </x:c>
      <x:c r="F1101" s="2" t="str">
        <x:v>Cookware set</x:v>
      </x:c>
      <x:c r="G1101" s="2" t="str">
        <x:v>In-store</x:v>
      </x:c>
      <x:c r="H1101" s="2" t="n">
        <x:v>1</x:v>
      </x:c>
      <x:c r="I1101" s="2" t="n">
        <x:v>35000</x:v>
      </x:c>
      <x:c r="J1101" s="2" t="n">
        <x:v>22500</x:v>
      </x:c>
      <x:c r="K1101" s="2" t="n">
        <x:v>0</x:v>
      </x:c>
      <x:c r="L1101" s="2" t="str">
        <x:v>Completed</x:v>
      </x:c>
    </x:row>
    <x:row r="1102" ht="21" customHeight="1">
      <x:c r="A1102" s="2" t="n">
        <x:v>1097</x:v>
      </x:c>
      <x:c r="B1102" s="2" t="str">
        <x:v>TXN-01097</x:v>
      </x:c>
      <x:c r="C1102" s="2" t="str">
        <x:v>2025-10-18</x:v>
      </x:c>
      <x:c r="D1102" s="2" t="str">
        <x:v>Port Harcourt</x:v>
      </x:c>
      <x:c r="E1102" s="2" t="str">
        <x:v>Electronics</x:v>
      </x:c>
      <x:c r="F1102" s="2" t="str">
        <x:v>Headphones</x:v>
      </x:c>
      <x:c r="G1102" s="2" t="str">
        <x:v>Online</x:v>
      </x:c>
      <x:c r="H1102" s="2" t="n">
        <x:v>2</x:v>
      </x:c>
      <x:c r="I1102" s="2" t="n">
        <x:v>18000</x:v>
      </x:c>
      <x:c r="J1102" s="2" t="n">
        <x:v>10500</x:v>
      </x:c>
      <x:c r="K1102" s="2" t="n">
        <x:v>0.1</x:v>
      </x:c>
      <x:c r="L1102" s="2" t="str">
        <x:v>Completed</x:v>
      </x:c>
    </x:row>
    <x:row r="1103" ht="21" customHeight="1">
      <x:c r="A1103" s="2" t="n">
        <x:v>1098</x:v>
      </x:c>
      <x:c r="B1103" s="2" t="str">
        <x:v>TXN-01098</x:v>
      </x:c>
      <x:c r="C1103" s="2" t="str">
        <x:v>2025-10-10</x:v>
      </x:c>
      <x:c r="D1103" s="2" t="str">
        <x:v>Abuja</x:v>
      </x:c>
      <x:c r="E1103" s="2" t="str">
        <x:v>Electronics</x:v>
      </x:c>
      <x:c r="F1103" s="2" t="str">
        <x:v>Headphones</x:v>
      </x:c>
      <x:c r="G1103" s="2" t="str">
        <x:v>Online</x:v>
      </x:c>
      <x:c r="H1103" s="2" t="n">
        <x:v>1</x:v>
      </x:c>
      <x:c r="I1103" s="2" t="n">
        <x:v>18000</x:v>
      </x:c>
      <x:c r="J1103" s="2" t="n">
        <x:v>10500</x:v>
      </x:c>
      <x:c r="K1103" s="2" t="n">
        <x:v>0</x:v>
      </x:c>
      <x:c r="L1103" s="2" t="str">
        <x:v>Completed</x:v>
      </x:c>
    </x:row>
    <x:row r="1104" ht="21" customHeight="1">
      <x:c r="A1104" s="2" t="n">
        <x:v>1099</x:v>
      </x:c>
      <x:c r="B1104" s="2" t="str">
        <x:v>TXN-01099</x:v>
      </x:c>
      <x:c r="C1104" s="2" t="str">
        <x:v>2025-10-22</x:v>
      </x:c>
      <x:c r="D1104" s="2" t="str">
        <x:v>Lagos</x:v>
      </x:c>
      <x:c r="E1104" s="2" t="str">
        <x:v>Electronics</x:v>
      </x:c>
      <x:c r="F1104" s="2" t="str">
        <x:v>Bluetooth speaker</x:v>
      </x:c>
      <x:c r="G1104" s="2" t="str">
        <x:v>Online</x:v>
      </x:c>
      <x:c r="H1104" s="2" t="n">
        <x:v>1</x:v>
      </x:c>
      <x:c r="I1104" s="2" t="n">
        <x:v>26000</x:v>
      </x:c>
      <x:c r="J1104" s="2" t="n">
        <x:v>17000</x:v>
      </x:c>
      <x:c r="K1104" s="2" t="str"/>
      <x:c r="L1104" s="2" t="str">
        <x:v> COMPLETED </x:v>
      </x:c>
    </x:row>
    <x:row r="1105" ht="21" customHeight="1">
      <x:c r="A1105" s="2" t="n">
        <x:v>1100</x:v>
      </x:c>
      <x:c r="B1105" s="2" t="str">
        <x:v>TXN-01100</x:v>
      </x:c>
      <x:c r="C1105" s="2" t="str">
        <x:v>2025-10-08</x:v>
      </x:c>
      <x:c r="D1105" s="2" t="str">
        <x:v> port harcourt </x:v>
      </x:c>
      <x:c r="E1105" s="2" t="str">
        <x:v>Fashion</x:v>
      </x:c>
      <x:c r="F1105" s="2" t="str">
        <x:v>Handbag</x:v>
      </x:c>
      <x:c r="G1105" s="2" t="str">
        <x:v>In-store</x:v>
      </x:c>
      <x:c r="H1105" s="2" t="n">
        <x:v>2</x:v>
      </x:c>
      <x:c r="I1105" s="2" t="n">
        <x:v>22000</x:v>
      </x:c>
      <x:c r="J1105" s="2" t="n">
        <x:v>13500</x:v>
      </x:c>
      <x:c r="K1105" s="2" t="n">
        <x:v>0</x:v>
      </x:c>
      <x:c r="L1105" s="2" t="str">
        <x:v>Completed</x:v>
      </x:c>
    </x:row>
    <x:row r="1106" ht="21" customHeight="1">
      <x:c r="A1106" s="2" t="n">
        <x:v>1101</x:v>
      </x:c>
      <x:c r="B1106" s="2" t="str">
        <x:v>TXN-01101</x:v>
      </x:c>
      <x:c r="C1106" s="2" t="str">
        <x:v>2025-10-21</x:v>
      </x:c>
      <x:c r="D1106" s="2" t="str">
        <x:v>Abuja</x:v>
      </x:c>
      <x:c r="E1106" s="2" t="str">
        <x:v>Electronics</x:v>
      </x:c>
      <x:c r="F1106" s="2" t="str">
        <x:v>Bluetooth speaker</x:v>
      </x:c>
      <x:c r="G1106" s="2" t="str">
        <x:v> online </x:v>
      </x:c>
      <x:c r="H1106" s="2" t="n">
        <x:v>1</x:v>
      </x:c>
      <x:c r="I1106" s="2" t="n">
        <x:v>26000</x:v>
      </x:c>
      <x:c r="J1106" s="2" t="n">
        <x:v>17000</x:v>
      </x:c>
      <x:c r="K1106" s="2" t="n">
        <x:v>0</x:v>
      </x:c>
      <x:c r="L1106" s="2" t="str">
        <x:v>Completed</x:v>
      </x:c>
    </x:row>
    <x:row r="1107" ht="21" customHeight="1">
      <x:c r="A1107" s="2" t="n">
        <x:v>1102</x:v>
      </x:c>
      <x:c r="B1107" s="2" t="str">
        <x:v>TXN-01102</x:v>
      </x:c>
      <x:c r="C1107" s="2" t="str">
        <x:v>2025-10-15</x:v>
      </x:c>
      <x:c r="D1107" s="2" t="str">
        <x:v>Abuja</x:v>
      </x:c>
      <x:c r="E1107" s="2" t="str">
        <x:v>Home</x:v>
      </x:c>
      <x:c r="F1107" s="2" t="str">
        <x:v>Desk lamp</x:v>
      </x:c>
      <x:c r="G1107" s="2" t="str">
        <x:v>Online</x:v>
      </x:c>
      <x:c r="H1107" s="2" t="n">
        <x:v>3</x:v>
      </x:c>
      <x:c r="I1107" s="2" t="n">
        <x:v>12000</x:v>
      </x:c>
      <x:c r="J1107" s="2" t="n">
        <x:v>7200</x:v>
      </x:c>
      <x:c r="K1107" s="2" t="n">
        <x:v>0</x:v>
      </x:c>
      <x:c r="L1107" s="2" t="str">
        <x:v>Returned</x:v>
      </x:c>
    </x:row>
    <x:row r="1108" ht="21" customHeight="1">
      <x:c r="A1108" s="2" t="n">
        <x:v>1103</x:v>
      </x:c>
      <x:c r="B1108" s="2" t="str">
        <x:v>TXN-01103</x:v>
      </x:c>
      <x:c r="C1108" s="2" t="str">
        <x:v>2025-10-01</x:v>
      </x:c>
      <x:c r="D1108" s="2" t="str">
        <x:v>Lagos</x:v>
      </x:c>
      <x:c r="E1108" s="2" t="str">
        <x:v>Beauty</x:v>
      </x:c>
      <x:c r="F1108" s="2" t="str">
        <x:v>Body wash</x:v>
      </x:c>
      <x:c r="G1108" s="2" t="str">
        <x:v>In-store</x:v>
      </x:c>
      <x:c r="H1108" s="2" t="n">
        <x:v>1</x:v>
      </x:c>
      <x:c r="I1108" s="2" t="n">
        <x:v>4500</x:v>
      </x:c>
      <x:c r="J1108" s="2" t="n">
        <x:v>2300</x:v>
      </x:c>
      <x:c r="K1108" s="2" t="n">
        <x:v>0.05</x:v>
      </x:c>
      <x:c r="L1108" s="2" t="str">
        <x:v>Completed</x:v>
      </x:c>
    </x:row>
    <x:row r="1109" ht="21" customHeight="1">
      <x:c r="A1109" s="2" t="n">
        <x:v>1104</x:v>
      </x:c>
      <x:c r="B1109" s="2" t="str">
        <x:v>TXN-01104</x:v>
      </x:c>
      <x:c r="C1109" s="2" t="str">
        <x:v>2025-10-06</x:v>
      </x:c>
      <x:c r="D1109" s="2" t="str">
        <x:v>Lagos</x:v>
      </x:c>
      <x:c r="E1109" s="2" t="str">
        <x:v>Home</x:v>
      </x:c>
      <x:c r="F1109" s="2" t="str">
        <x:v>Desk lamp</x:v>
      </x:c>
      <x:c r="G1109" s="2" t="str">
        <x:v>Online</x:v>
      </x:c>
      <x:c r="H1109" s="2" t="n">
        <x:v>2</x:v>
      </x:c>
      <x:c r="I1109" s="2" t="n">
        <x:v>12000</x:v>
      </x:c>
      <x:c r="J1109" s="2" t="n">
        <x:v>7200</x:v>
      </x:c>
      <x:c r="K1109" s="2" t="n">
        <x:v>0.15</x:v>
      </x:c>
      <x:c r="L1109" s="2" t="str">
        <x:v>Completed</x:v>
      </x:c>
    </x:row>
    <x:row r="1110" ht="21" customHeight="1">
      <x:c r="A1110" s="2" t="n">
        <x:v>1105</x:v>
      </x:c>
      <x:c r="B1110" s="2" t="str">
        <x:v>TXN-01105</x:v>
      </x:c>
      <x:c r="C1110" s="2" t="str">
        <x:v>2025-10-31</x:v>
      </x:c>
      <x:c r="D1110" s="2" t="str">
        <x:v>Abuja</x:v>
      </x:c>
      <x:c r="E1110" s="2" t="str">
        <x:v>Home</x:v>
      </x:c>
      <x:c r="F1110" s="2" t="str">
        <x:v>Cookware set</x:v>
      </x:c>
      <x:c r="G1110" s="2" t="str">
        <x:v>Online</x:v>
      </x:c>
      <x:c r="H1110" s="2" t="n">
        <x:v>1</x:v>
      </x:c>
      <x:c r="I1110" s="2" t="n">
        <x:v>35000</x:v>
      </x:c>
      <x:c r="J1110" s="2" t="n">
        <x:v>22500</x:v>
      </x:c>
      <x:c r="K1110" s="2" t="n">
        <x:v>0</x:v>
      </x:c>
      <x:c r="L1110" s="2" t="str">
        <x:v>Completed</x:v>
      </x:c>
    </x:row>
    <x:row r="1111" ht="21" customHeight="1">
      <x:c r="A1111" s="2" t="n">
        <x:v>1106</x:v>
      </x:c>
      <x:c r="B1111" s="2" t="str">
        <x:v>TXN-01106</x:v>
      </x:c>
      <x:c r="C1111" s="2" t="str">
        <x:v>2025-10-16</x:v>
      </x:c>
      <x:c r="D1111" s="2" t="str">
        <x:v>Abuja</x:v>
      </x:c>
      <x:c r="E1111" s="2" t="str">
        <x:v>Beauty</x:v>
      </x:c>
      <x:c r="F1111" s="2" t="str">
        <x:v>Perfume</x:v>
      </x:c>
      <x:c r="G1111" s="2" t="str">
        <x:v>In-store</x:v>
      </x:c>
      <x:c r="H1111" s="2" t="n">
        <x:v>1</x:v>
      </x:c>
      <x:c r="I1111" s="2" t="n">
        <x:v>17000</x:v>
      </x:c>
      <x:c r="J1111" s="2" t="n">
        <x:v>9000</x:v>
      </x:c>
      <x:c r="K1111" s="2" t="n">
        <x:v>0.05</x:v>
      </x:c>
      <x:c r="L1111" s="2" t="str">
        <x:v>Completed</x:v>
      </x:c>
    </x:row>
    <x:row r="1112" ht="21" customHeight="1">
      <x:c r="A1112" s="2" t="n">
        <x:v>1107</x:v>
      </x:c>
      <x:c r="B1112" s="2" t="str">
        <x:v>TXN-01107</x:v>
      </x:c>
      <x:c r="C1112" s="2" t="str">
        <x:v>2025-10-18</x:v>
      </x:c>
      <x:c r="D1112" s="2" t="str">
        <x:v> abuja </x:v>
      </x:c>
      <x:c r="E1112" s="2" t="str">
        <x:v>Electronics</x:v>
      </x:c>
      <x:c r="F1112" s="2" t="str">
        <x:v>Power bank</x:v>
      </x:c>
      <x:c r="G1112" s="2" t="str">
        <x:v>Online</x:v>
      </x:c>
      <x:c r="H1112" s="2" t="n">
        <x:v>1</x:v>
      </x:c>
      <x:c r="I1112" s="2" t="n">
        <x:v>15000</x:v>
      </x:c>
      <x:c r="J1112" s="2" t="n">
        <x:v>9500</x:v>
      </x:c>
      <x:c r="K1112" s="2" t="n">
        <x:v>0.05</x:v>
      </x:c>
      <x:c r="L1112" s="2" t="str">
        <x:v>Completed</x:v>
      </x:c>
    </x:row>
    <x:row r="1113" ht="21" customHeight="1">
      <x:c r="A1113" s="2" t="n">
        <x:v>1108</x:v>
      </x:c>
      <x:c r="B1113" s="2" t="str">
        <x:v>TXN-01108</x:v>
      </x:c>
      <x:c r="C1113" s="2" t="str">
        <x:v>2025-10-06</x:v>
      </x:c>
      <x:c r="D1113" s="2" t="str">
        <x:v>Port Harcourt</x:v>
      </x:c>
      <x:c r="E1113" s="2" t="str">
        <x:v>Beauty</x:v>
      </x:c>
      <x:c r="F1113" s="2" t="str">
        <x:v>Moisturizer</x:v>
      </x:c>
      <x:c r="G1113" s="2" t="str">
        <x:v>In-store</x:v>
      </x:c>
      <x:c r="H1113" s="2" t="n">
        <x:v>1</x:v>
      </x:c>
      <x:c r="I1113" s="2" t="n">
        <x:v>6500</x:v>
      </x:c>
      <x:c r="J1113" s="2" t="n">
        <x:v>3500</x:v>
      </x:c>
      <x:c r="K1113" s="2" t="n">
        <x:v>0</x:v>
      </x:c>
      <x:c r="L1113" s="2" t="str">
        <x:v> COMPLETED </x:v>
      </x:c>
    </x:row>
    <x:row r="1114" ht="21" customHeight="1">
      <x:c r="A1114" s="2" t="n">
        <x:v>1109</x:v>
      </x:c>
      <x:c r="B1114" s="2" t="str">
        <x:v>TXN-01109</x:v>
      </x:c>
      <x:c r="C1114" s="2" t="str">
        <x:v>2025-10-13</x:v>
      </x:c>
      <x:c r="D1114" s="2" t="str">
        <x:v>Port Harcourt</x:v>
      </x:c>
      <x:c r="E1114" s="2" t="str">
        <x:v>Home</x:v>
      </x:c>
      <x:c r="F1114" s="2" t="str">
        <x:v>Bedsheet</x:v>
      </x:c>
      <x:c r="G1114" s="2" t="str">
        <x:v>In-store</x:v>
      </x:c>
      <x:c r="H1114" s="2" t="n">
        <x:v>1</x:v>
      </x:c>
      <x:c r="I1114" s="2" t="n">
        <x:v>14000</x:v>
      </x:c>
      <x:c r="J1114" s="2" t="n">
        <x:v>8500</x:v>
      </x:c>
      <x:c r="K1114" s="2" t="n">
        <x:v>0</x:v>
      </x:c>
      <x:c r="L1114" s="2" t="str">
        <x:v>Completed</x:v>
      </x:c>
    </x:row>
    <x:row r="1115" ht="21" customHeight="1">
      <x:c r="A1115" s="2" t="n">
        <x:v>1110</x:v>
      </x:c>
      <x:c r="B1115" s="2" t="str">
        <x:v>TXN-01110</x:v>
      </x:c>
      <x:c r="C1115" s="2" t="str">
        <x:v>2025-10-23</x:v>
      </x:c>
      <x:c r="D1115" s="2" t="str">
        <x:v>Port Harcourt</x:v>
      </x:c>
      <x:c r="E1115" s="2" t="str">
        <x:v>Beauty</x:v>
      </x:c>
      <x:c r="F1115" s="2" t="str">
        <x:v>Body wash</x:v>
      </x:c>
      <x:c r="G1115" s="2" t="str">
        <x:v>Online</x:v>
      </x:c>
      <x:c r="H1115" s="2" t="n">
        <x:v>1</x:v>
      </x:c>
      <x:c r="I1115" s="2" t="n">
        <x:v>4500</x:v>
      </x:c>
      <x:c r="J1115" s="2" t="n">
        <x:v>2300</x:v>
      </x:c>
      <x:c r="K1115" s="2" t="n">
        <x:v>0</x:v>
      </x:c>
      <x:c r="L1115" s="2" t="str">
        <x:v>Completed</x:v>
      </x:c>
    </x:row>
    <x:row r="1116" ht="21" customHeight="1">
      <x:c r="A1116" s="2" t="n">
        <x:v>1111</x:v>
      </x:c>
      <x:c r="B1116" s="2" t="str">
        <x:v>TXN-01111</x:v>
      </x:c>
      <x:c r="C1116" s="2" t="str">
        <x:v>2025-10-24</x:v>
      </x:c>
      <x:c r="D1116" s="2" t="str">
        <x:v>Lagos</x:v>
      </x:c>
      <x:c r="E1116" s="2" t="str">
        <x:v>Electronics</x:v>
      </x:c>
      <x:c r="F1116" s="2" t="str">
        <x:v>Bluetooth speaker</x:v>
      </x:c>
      <x:c r="G1116" s="2" t="str">
        <x:v>In-store</x:v>
      </x:c>
      <x:c r="H1116" s="2" t="n">
        <x:v>1</x:v>
      </x:c>
      <x:c r="I1116" s="2" t="n">
        <x:v>26000</x:v>
      </x:c>
      <x:c r="J1116" s="2" t="n">
        <x:v>17000</x:v>
      </x:c>
      <x:c r="K1116" s="2" t="n">
        <x:v>0.05</x:v>
      </x:c>
      <x:c r="L1116" s="2" t="str">
        <x:v>Completed</x:v>
      </x:c>
    </x:row>
    <x:row r="1117" ht="21" customHeight="1">
      <x:c r="A1117" s="2" t="n">
        <x:v>1112</x:v>
      </x:c>
      <x:c r="B1117" s="2" t="str">
        <x:v>TXN-01112</x:v>
      </x:c>
      <x:c r="C1117" s="2" t="str">
        <x:v>2025-10-10</x:v>
      </x:c>
      <x:c r="D1117" s="2" t="str">
        <x:v>Kano</x:v>
      </x:c>
      <x:c r="E1117" s="2" t="str">
        <x:v>Fashion</x:v>
      </x:c>
      <x:c r="F1117" s="2" t="str">
        <x:v>Handbag</x:v>
      </x:c>
      <x:c r="G1117" s="2" t="str">
        <x:v> in-store </x:v>
      </x:c>
      <x:c r="H1117" s="2" t="n">
        <x:v>1</x:v>
      </x:c>
      <x:c r="I1117" s="2" t="n">
        <x:v>22000</x:v>
      </x:c>
      <x:c r="J1117" s="2" t="n">
        <x:v>13500</x:v>
      </x:c>
      <x:c r="K1117" s="2" t="n">
        <x:v>0</x:v>
      </x:c>
      <x:c r="L1117" s="2" t="str">
        <x:v>Completed</x:v>
      </x:c>
    </x:row>
    <x:row r="1118" ht="21" customHeight="1">
      <x:c r="A1118" s="2" t="n">
        <x:v>1113</x:v>
      </x:c>
      <x:c r="B1118" s="2" t="str">
        <x:v>TXN-01113</x:v>
      </x:c>
      <x:c r="C1118" s="2" t="str">
        <x:v>2025-10-02</x:v>
      </x:c>
      <x:c r="D1118" s="2" t="str">
        <x:v>Lagos</x:v>
      </x:c>
      <x:c r="E1118" s="2" t="str">
        <x:v>Electronics</x:v>
      </x:c>
      <x:c r="F1118" s="2" t="str">
        <x:v>Bluetooth speaker</x:v>
      </x:c>
      <x:c r="G1118" s="2" t="str">
        <x:v>Online</x:v>
      </x:c>
      <x:c r="H1118" s="2" t="n">
        <x:v>3</x:v>
      </x:c>
      <x:c r="I1118" s="2" t="n">
        <x:v>26000</x:v>
      </x:c>
      <x:c r="J1118" s="2" t="n">
        <x:v>17000</x:v>
      </x:c>
      <x:c r="K1118" s="2" t="n">
        <x:v>0.05</x:v>
      </x:c>
      <x:c r="L1118" s="2" t="str">
        <x:v>Completed</x:v>
      </x:c>
    </x:row>
    <x:row r="1119" ht="21" customHeight="1">
      <x:c r="A1119" s="2" t="n">
        <x:v>1114</x:v>
      </x:c>
      <x:c r="B1119" s="2" t="str">
        <x:v>TXN-01114</x:v>
      </x:c>
      <x:c r="C1119" s="2" t="str">
        <x:v>2025-10-29</x:v>
      </x:c>
      <x:c r="D1119" s="2" t="str">
        <x:v> abuja </x:v>
      </x:c>
      <x:c r="E1119" s="2" t="str">
        <x:v>Home</x:v>
      </x:c>
      <x:c r="F1119" s="2" t="str">
        <x:v>Bedsheet</x:v>
      </x:c>
      <x:c r="G1119" s="2" t="str">
        <x:v>Online</x:v>
      </x:c>
      <x:c r="H1119" s="2" t="n">
        <x:v>3</x:v>
      </x:c>
      <x:c r="I1119" s="2" t="n">
        <x:v>14000</x:v>
      </x:c>
      <x:c r="J1119" s="2" t="n">
        <x:v>8500</x:v>
      </x:c>
      <x:c r="K1119" s="2" t="n">
        <x:v>0</x:v>
      </x:c>
      <x:c r="L1119" s="2" t="str">
        <x:v>Completed</x:v>
      </x:c>
    </x:row>
    <x:row r="1120" ht="21" customHeight="1">
      <x:c r="A1120" s="2" t="n">
        <x:v>1115</x:v>
      </x:c>
      <x:c r="B1120" s="2" t="str">
        <x:v>TXN-01115</x:v>
      </x:c>
      <x:c r="C1120" s="2" t="str">
        <x:v>2025-10-31</x:v>
      </x:c>
      <x:c r="D1120" s="2" t="str">
        <x:v>Abuja</x:v>
      </x:c>
      <x:c r="E1120" s="2" t="str">
        <x:v>Fashion</x:v>
      </x:c>
      <x:c r="F1120" s="2" t="str">
        <x:v>Handbag</x:v>
      </x:c>
      <x:c r="G1120" s="2" t="str">
        <x:v>Online</x:v>
      </x:c>
      <x:c r="H1120" s="2" t="n">
        <x:v>3</x:v>
      </x:c>
      <x:c r="I1120" s="2" t="n">
        <x:v>22000</x:v>
      </x:c>
      <x:c r="J1120" s="2" t="n">
        <x:v>13500</x:v>
      </x:c>
      <x:c r="K1120" s="2" t="n">
        <x:v>0.05</x:v>
      </x:c>
      <x:c r="L1120" s="2" t="str">
        <x:v>Completed</x:v>
      </x:c>
    </x:row>
    <x:row r="1121" ht="21" customHeight="1">
      <x:c r="A1121" s="2" t="n">
        <x:v>1116</x:v>
      </x:c>
      <x:c r="B1121" s="2" t="str">
        <x:v>TXN-01116</x:v>
      </x:c>
      <x:c r="C1121" s="2" t="str">
        <x:v>2025-10-01</x:v>
      </x:c>
      <x:c r="D1121" s="2" t="str">
        <x:v>Kano</x:v>
      </x:c>
      <x:c r="E1121" s="2" t="str">
        <x:v>Beauty</x:v>
      </x:c>
      <x:c r="F1121" s="2" t="str">
        <x:v>Moisturizer</x:v>
      </x:c>
      <x:c r="G1121" s="2" t="str">
        <x:v>Online</x:v>
      </x:c>
      <x:c r="H1121" s="2" t="n">
        <x:v>2</x:v>
      </x:c>
      <x:c r="I1121" s="2" t="n">
        <x:v>6500</x:v>
      </x:c>
      <x:c r="J1121" s="2" t="n">
        <x:v>3500</x:v>
      </x:c>
      <x:c r="K1121" s="2" t="n">
        <x:v>0.05</x:v>
      </x:c>
      <x:c r="L1121" s="2" t="str">
        <x:v>Completed</x:v>
      </x:c>
    </x:row>
    <x:row r="1122" ht="21" customHeight="1">
      <x:c r="A1122" s="2" t="n">
        <x:v>1117</x:v>
      </x:c>
      <x:c r="B1122" s="2" t="str">
        <x:v>TXN-01117</x:v>
      </x:c>
      <x:c r="C1122" s="2" t="str">
        <x:v>2025-10-06</x:v>
      </x:c>
      <x:c r="D1122" s="2" t="str">
        <x:v>Lagos</x:v>
      </x:c>
      <x:c r="E1122" s="2" t="str">
        <x:v>Electronics</x:v>
      </x:c>
      <x:c r="F1122" s="2" t="str">
        <x:v>Bluetooth speaker</x:v>
      </x:c>
      <x:c r="G1122" s="2" t="str">
        <x:v>In-store</x:v>
      </x:c>
      <x:c r="H1122" s="2" t="n">
        <x:v>4</x:v>
      </x:c>
      <x:c r="I1122" s="2" t="n">
        <x:v>26000</x:v>
      </x:c>
      <x:c r="J1122" s="2" t="n">
        <x:v>17000</x:v>
      </x:c>
      <x:c r="K1122" s="2" t="n">
        <x:v>0.05</x:v>
      </x:c>
      <x:c r="L1122" s="2" t="str">
        <x:v> COMPLETED </x:v>
      </x:c>
    </x:row>
    <x:row r="1123" ht="21" customHeight="1">
      <x:c r="A1123" s="2" t="n">
        <x:v>1118</x:v>
      </x:c>
      <x:c r="B1123" s="2" t="str">
        <x:v>TXN-01118</x:v>
      </x:c>
      <x:c r="C1123" s="2" t="str">
        <x:v>2025-10-22</x:v>
      </x:c>
      <x:c r="D1123" s="2" t="str">
        <x:v>Port Harcourt</x:v>
      </x:c>
      <x:c r="E1123" s="2" t="str">
        <x:v>Home</x:v>
      </x:c>
      <x:c r="F1123" s="2" t="str">
        <x:v>Bedsheet</x:v>
      </x:c>
      <x:c r="G1123" s="2" t="str">
        <x:v>In-store</x:v>
      </x:c>
      <x:c r="H1123" s="2" t="n">
        <x:v>1</x:v>
      </x:c>
      <x:c r="I1123" s="2" t="n">
        <x:v>14000</x:v>
      </x:c>
      <x:c r="J1123" s="2" t="n">
        <x:v>8500</x:v>
      </x:c>
      <x:c r="K1123" s="2" t="n">
        <x:v>0</x:v>
      </x:c>
      <x:c r="L1123" s="2" t="str">
        <x:v>Completed</x:v>
      </x:c>
    </x:row>
    <x:row r="1124" ht="21" customHeight="1">
      <x:c r="A1124" s="2" t="n">
        <x:v>1119</x:v>
      </x:c>
      <x:c r="B1124" s="2" t="str">
        <x:v>TXN-01119</x:v>
      </x:c>
      <x:c r="C1124" s="2" t="str">
        <x:v>2025-10-06</x:v>
      </x:c>
      <x:c r="D1124" s="2" t="str">
        <x:v>Abuja</x:v>
      </x:c>
      <x:c r="E1124" s="2" t="str">
        <x:v>Electronics</x:v>
      </x:c>
      <x:c r="F1124" s="2" t="str">
        <x:v>Headphones</x:v>
      </x:c>
      <x:c r="G1124" s="2" t="str">
        <x:v>Online</x:v>
      </x:c>
      <x:c r="H1124" s="2" t="n">
        <x:v>1</x:v>
      </x:c>
      <x:c r="I1124" s="2" t="n">
        <x:v>18000</x:v>
      </x:c>
      <x:c r="J1124" s="2" t="n">
        <x:v>10500</x:v>
      </x:c>
      <x:c r="K1124" s="2" t="n">
        <x:v>0.05</x:v>
      </x:c>
      <x:c r="L1124" s="2" t="str">
        <x:v>Completed</x:v>
      </x:c>
    </x:row>
    <x:row r="1125" ht="21" customHeight="1">
      <x:c r="A1125" s="2" t="n">
        <x:v>1120</x:v>
      </x:c>
      <x:c r="B1125" s="2" t="str">
        <x:v>TXN-01120</x:v>
      </x:c>
      <x:c r="C1125" s="2" t="str">
        <x:v>2025-10-16</x:v>
      </x:c>
      <x:c r="D1125" s="2" t="str">
        <x:v>Lagos</x:v>
      </x:c>
      <x:c r="E1125" s="2" t="str">
        <x:v>Beauty</x:v>
      </x:c>
      <x:c r="F1125" s="2" t="str">
        <x:v>Body wash</x:v>
      </x:c>
      <x:c r="G1125" s="2" t="str">
        <x:v>In-store</x:v>
      </x:c>
      <x:c r="H1125" s="2" t="n">
        <x:v>1</x:v>
      </x:c>
      <x:c r="I1125" s="2" t="n">
        <x:v>4500</x:v>
      </x:c>
      <x:c r="J1125" s="2" t="n">
        <x:v>2300</x:v>
      </x:c>
      <x:c r="K1125" s="2" t="n">
        <x:v>0</x:v>
      </x:c>
      <x:c r="L1125" s="2" t="str">
        <x:v>Completed</x:v>
      </x:c>
    </x:row>
    <x:row r="1126" ht="21" customHeight="1">
      <x:c r="A1126" s="2" t="n">
        <x:v>1121</x:v>
      </x:c>
      <x:c r="B1126" s="2" t="str">
        <x:v>TXN-01121</x:v>
      </x:c>
      <x:c r="C1126" s="2" t="str">
        <x:v>2025-10-14</x:v>
      </x:c>
      <x:c r="D1126" s="2" t="str">
        <x:v> port harcourt </x:v>
      </x:c>
      <x:c r="E1126" s="2" t="str">
        <x:v>Beauty</x:v>
      </x:c>
      <x:c r="F1126" s="2" t="str">
        <x:v>Moisturizer</x:v>
      </x:c>
      <x:c r="G1126" s="2" t="str">
        <x:v>In-store</x:v>
      </x:c>
      <x:c r="H1126" s="2" t="n">
        <x:v>1</x:v>
      </x:c>
      <x:c r="I1126" s="2" t="n">
        <x:v>6500</x:v>
      </x:c>
      <x:c r="J1126" s="2" t="n">
        <x:v>3500</x:v>
      </x:c>
      <x:c r="K1126" s="2" t="n">
        <x:v>0</x:v>
      </x:c>
      <x:c r="L1126" s="2" t="str">
        <x:v>Completed</x:v>
      </x:c>
    </x:row>
    <x:row r="1127" ht="21" customHeight="1">
      <x:c r="A1127" s="2" t="n">
        <x:v>1122</x:v>
      </x:c>
      <x:c r="B1127" s="2" t="str">
        <x:v>TXN-01122</x:v>
      </x:c>
      <x:c r="C1127" s="2" t="str">
        <x:v>2025-10-02</x:v>
      </x:c>
      <x:c r="D1127" s="2" t="str">
        <x:v>Lagos</x:v>
      </x:c>
      <x:c r="E1127" s="2" t="str">
        <x:v>Beauty</x:v>
      </x:c>
      <x:c r="F1127" s="2" t="str">
        <x:v>Moisturizer</x:v>
      </x:c>
      <x:c r="G1127" s="2" t="str">
        <x:v>In-store</x:v>
      </x:c>
      <x:c r="H1127" s="2" t="n">
        <x:v>1</x:v>
      </x:c>
      <x:c r="I1127" s="2" t="n">
        <x:v>6500</x:v>
      </x:c>
      <x:c r="J1127" s="2" t="n">
        <x:v>3500</x:v>
      </x:c>
      <x:c r="K1127" s="2" t="n">
        <x:v>0</x:v>
      </x:c>
      <x:c r="L1127" s="2" t="str">
        <x:v>Completed</x:v>
      </x:c>
    </x:row>
    <x:row r="1128" ht="21" customHeight="1">
      <x:c r="A1128" s="2" t="n">
        <x:v>1123</x:v>
      </x:c>
      <x:c r="B1128" s="2" t="str">
        <x:v>TXN-01123</x:v>
      </x:c>
      <x:c r="C1128" s="2" t="str">
        <x:v>2025-10-31</x:v>
      </x:c>
      <x:c r="D1128" s="2" t="str">
        <x:v>Lagos</x:v>
      </x:c>
      <x:c r="E1128" s="2" t="str">
        <x:v>Beauty</x:v>
      </x:c>
      <x:c r="F1128" s="2" t="str">
        <x:v>Body wash</x:v>
      </x:c>
      <x:c r="G1128" s="2" t="str">
        <x:v> in-store </x:v>
      </x:c>
      <x:c r="H1128" s="2" t="n">
        <x:v>1</x:v>
      </x:c>
      <x:c r="I1128" s="2" t="n">
        <x:v>4500</x:v>
      </x:c>
      <x:c r="J1128" s="2" t="n">
        <x:v>2300</x:v>
      </x:c>
      <x:c r="K1128" s="2" t="n">
        <x:v>0</x:v>
      </x:c>
      <x:c r="L1128" s="2" t="str">
        <x:v>Completed</x:v>
      </x:c>
    </x:row>
    <x:row r="1129" ht="21" customHeight="1">
      <x:c r="A1129" s="2" t="n">
        <x:v>1124</x:v>
      </x:c>
      <x:c r="B1129" s="2" t="str">
        <x:v>TXN-01124</x:v>
      </x:c>
      <x:c r="C1129" s="2" t="str">
        <x:v>2025-10-31</x:v>
      </x:c>
      <x:c r="D1129" s="2" t="str">
        <x:v>Kano</x:v>
      </x:c>
      <x:c r="E1129" s="2" t="str">
        <x:v>Home</x:v>
      </x:c>
      <x:c r="F1129" s="2" t="str">
        <x:v>Cookware set</x:v>
      </x:c>
      <x:c r="G1129" s="2" t="str">
        <x:v>Online</x:v>
      </x:c>
      <x:c r="H1129" s="2" t="n">
        <x:v>2</x:v>
      </x:c>
      <x:c r="I1129" s="2" t="n">
        <x:v>35000</x:v>
      </x:c>
      <x:c r="J1129" s="2" t="n">
        <x:v>22500</x:v>
      </x:c>
      <x:c r="K1129" s="2" t="str"/>
      <x:c r="L1129" s="2" t="str">
        <x:v>Completed</x:v>
      </x:c>
    </x:row>
    <x:row r="1130" ht="21" customHeight="1">
      <x:c r="A1130" s="2" t="n">
        <x:v>1125</x:v>
      </x:c>
      <x:c r="B1130" s="2" t="str">
        <x:v>TXN-01125</x:v>
      </x:c>
      <x:c r="C1130" s="2" t="str">
        <x:v>2025-10-22</x:v>
      </x:c>
      <x:c r="D1130" s="2" t="str">
        <x:v>Abuja</x:v>
      </x:c>
      <x:c r="E1130" s="2" t="str">
        <x:v>Fashion</x:v>
      </x:c>
      <x:c r="F1130" s="2" t="str">
        <x:v>T-shirt</x:v>
      </x:c>
      <x:c r="G1130" s="2" t="str">
        <x:v>In-store</x:v>
      </x:c>
      <x:c r="H1130" s="2" t="n">
        <x:v>2</x:v>
      </x:c>
      <x:c r="I1130" s="2" t="n">
        <x:v>9000</x:v>
      </x:c>
      <x:c r="J1130" s="2" t="n">
        <x:v>5000</x:v>
      </x:c>
      <x:c r="K1130" s="2" t="n">
        <x:v>0.1</x:v>
      </x:c>
      <x:c r="L1130" s="2" t="str">
        <x:v>Completed</x:v>
      </x:c>
    </x:row>
    <x:row r="1131" ht="21" customHeight="1">
      <x:c r="A1131" s="2" t="n">
        <x:v>1126</x:v>
      </x:c>
      <x:c r="B1131" s="2" t="str">
        <x:v>TXN-01126</x:v>
      </x:c>
      <x:c r="C1131" s="2" t="str">
        <x:v>2025-10-20</x:v>
      </x:c>
      <x:c r="D1131" s="2" t="str">
        <x:v>Kano</x:v>
      </x:c>
      <x:c r="E1131" s="2" t="str">
        <x:v>Electronics</x:v>
      </x:c>
      <x:c r="F1131" s="2" t="str">
        <x:v>Headphones</x:v>
      </x:c>
      <x:c r="G1131" s="2" t="str">
        <x:v>Online</x:v>
      </x:c>
      <x:c r="H1131" s="2" t="n">
        <x:v>1</x:v>
      </x:c>
      <x:c r="I1131" s="2" t="n">
        <x:v>18000</x:v>
      </x:c>
      <x:c r="J1131" s="2" t="n">
        <x:v>10500</x:v>
      </x:c>
      <x:c r="K1131" s="2" t="n">
        <x:v>0.05</x:v>
      </x:c>
      <x:c r="L1131" s="2" t="str">
        <x:v> COMPLETED </x:v>
      </x:c>
    </x:row>
    <x:row r="1132" ht="21" customHeight="1">
      <x:c r="A1132" s="2" t="n">
        <x:v>1127</x:v>
      </x:c>
      <x:c r="B1132" s="2" t="str">
        <x:v>TXN-01127</x:v>
      </x:c>
      <x:c r="C1132" s="2" t="str">
        <x:v>2025-10-12</x:v>
      </x:c>
      <x:c r="D1132" s="2" t="str">
        <x:v>Lagos</x:v>
      </x:c>
      <x:c r="E1132" s="2" t="str">
        <x:v>Electronics</x:v>
      </x:c>
      <x:c r="F1132" s="2" t="str">
        <x:v>Power bank</x:v>
      </x:c>
      <x:c r="G1132" s="2" t="str">
        <x:v>In-store</x:v>
      </x:c>
      <x:c r="H1132" s="2" t="n">
        <x:v>2</x:v>
      </x:c>
      <x:c r="I1132" s="2" t="n">
        <x:v>15000</x:v>
      </x:c>
      <x:c r="J1132" s="2" t="n">
        <x:v>9500</x:v>
      </x:c>
      <x:c r="K1132" s="2" t="n">
        <x:v>0.1</x:v>
      </x:c>
      <x:c r="L1132" s="2" t="str">
        <x:v>Completed</x:v>
      </x:c>
    </x:row>
    <x:row r="1133" ht="21" customHeight="1">
      <x:c r="A1133" s="2" t="n">
        <x:v>1128</x:v>
      </x:c>
      <x:c r="B1133" s="2" t="str">
        <x:v>TXN-01128</x:v>
      </x:c>
      <x:c r="C1133" s="2" t="str">
        <x:v>2025-10-05</x:v>
      </x:c>
      <x:c r="D1133" s="2" t="str">
        <x:v> lagos </x:v>
      </x:c>
      <x:c r="E1133" s="2" t="str">
        <x:v>Fashion</x:v>
      </x:c>
      <x:c r="F1133" s="2" t="str">
        <x:v>Sneakers</x:v>
      </x:c>
      <x:c r="G1133" s="2" t="str">
        <x:v>Online</x:v>
      </x:c>
      <x:c r="H1133" s="2" t="n">
        <x:v>3</x:v>
      </x:c>
      <x:c r="I1133" s="2" t="n">
        <x:v>28000</x:v>
      </x:c>
      <x:c r="J1133" s="2" t="n">
        <x:v>17500</x:v>
      </x:c>
      <x:c r="K1133" s="2" t="n">
        <x:v>0</x:v>
      </x:c>
      <x:c r="L1133" s="2" t="str">
        <x:v>Completed</x:v>
      </x:c>
    </x:row>
    <x:row r="1134" ht="21" customHeight="1">
      <x:c r="A1134" s="2" t="n">
        <x:v>1129</x:v>
      </x:c>
      <x:c r="B1134" s="2" t="str">
        <x:v>TXN-01129</x:v>
      </x:c>
      <x:c r="C1134" s="2" t="str">
        <x:v>2025-10-12</x:v>
      </x:c>
      <x:c r="D1134" s="2" t="str">
        <x:v>Lagos</x:v>
      </x:c>
      <x:c r="E1134" s="2" t="str">
        <x:v>Beauty</x:v>
      </x:c>
      <x:c r="F1134" s="2" t="str">
        <x:v>Moisturizer</x:v>
      </x:c>
      <x:c r="G1134" s="2" t="str">
        <x:v>Online</x:v>
      </x:c>
      <x:c r="H1134" s="2" t="n">
        <x:v>1</x:v>
      </x:c>
      <x:c r="I1134" s="2" t="n">
        <x:v>6500</x:v>
      </x:c>
      <x:c r="J1134" s="2" t="n">
        <x:v>3500</x:v>
      </x:c>
      <x:c r="K1134" s="2" t="n">
        <x:v>0</x:v>
      </x:c>
      <x:c r="L1134" s="2" t="str">
        <x:v>Completed</x:v>
      </x:c>
    </x:row>
    <x:row r="1135" ht="21" customHeight="1">
      <x:c r="A1135" s="2" t="n">
        <x:v>1130</x:v>
      </x:c>
      <x:c r="B1135" s="2" t="str">
        <x:v>TXN-01130</x:v>
      </x:c>
      <x:c r="C1135" s="2" t="str">
        <x:v>2025-10-02</x:v>
      </x:c>
      <x:c r="D1135" s="2" t="str">
        <x:v>Lagos</x:v>
      </x:c>
      <x:c r="E1135" s="2" t="str">
        <x:v>Fashion</x:v>
      </x:c>
      <x:c r="F1135" s="2" t="str">
        <x:v>T-shirt</x:v>
      </x:c>
      <x:c r="G1135" s="2" t="str">
        <x:v>Online</x:v>
      </x:c>
      <x:c r="H1135" s="2" t="n">
        <x:v>1</x:v>
      </x:c>
      <x:c r="I1135" s="2" t="n">
        <x:v>9000</x:v>
      </x:c>
      <x:c r="J1135" s="2" t="n">
        <x:v>5000</x:v>
      </x:c>
      <x:c r="K1135" s="2" t="n">
        <x:v>0</x:v>
      </x:c>
      <x:c r="L1135" s="2" t="str">
        <x:v>Completed</x:v>
      </x:c>
    </x:row>
    <x:row r="1136" ht="21" customHeight="1">
      <x:c r="A1136" s="2" t="n">
        <x:v>1131</x:v>
      </x:c>
      <x:c r="B1136" s="2" t="str">
        <x:v>TXN-01131</x:v>
      </x:c>
      <x:c r="C1136" s="2" t="str">
        <x:v>2025-10-07</x:v>
      </x:c>
      <x:c r="D1136" s="2" t="str">
        <x:v>Lagos</x:v>
      </x:c>
      <x:c r="E1136" s="2" t="str">
        <x:v>Fashion</x:v>
      </x:c>
      <x:c r="F1136" s="2" t="str">
        <x:v>Sneakers</x:v>
      </x:c>
      <x:c r="G1136" s="2" t="str">
        <x:v>In-store</x:v>
      </x:c>
      <x:c r="H1136" s="2" t="n">
        <x:v>2</x:v>
      </x:c>
      <x:c r="I1136" s="2" t="n">
        <x:v>28000</x:v>
      </x:c>
      <x:c r="J1136" s="2" t="n">
        <x:v>17500</x:v>
      </x:c>
      <x:c r="K1136" s="2" t="n">
        <x:v>0.1</x:v>
      </x:c>
      <x:c r="L1136" s="2" t="str">
        <x:v>Completed</x:v>
      </x:c>
    </x:row>
    <x:row r="1137" ht="21" customHeight="1">
      <x:c r="A1137" s="2" t="n">
        <x:v>1132</x:v>
      </x:c>
      <x:c r="B1137" s="2" t="str">
        <x:v>TXN-01132</x:v>
      </x:c>
      <x:c r="C1137" s="2" t="str">
        <x:v>2025-10-13</x:v>
      </x:c>
      <x:c r="D1137" s="2" t="str">
        <x:v>Lagos</x:v>
      </x:c>
      <x:c r="E1137" s="2" t="str">
        <x:v>Home</x:v>
      </x:c>
      <x:c r="F1137" s="2" t="str">
        <x:v>Cookware set</x:v>
      </x:c>
      <x:c r="G1137" s="2" t="str">
        <x:v>Online</x:v>
      </x:c>
      <x:c r="H1137" s="2" t="n">
        <x:v>3</x:v>
      </x:c>
      <x:c r="I1137" s="2" t="n">
        <x:v>35000</x:v>
      </x:c>
      <x:c r="J1137" s="2" t="n">
        <x:v>22500</x:v>
      </x:c>
      <x:c r="K1137" s="2" t="n">
        <x:v>0.05</x:v>
      </x:c>
      <x:c r="L1137" s="2" t="str">
        <x:v>Completed</x:v>
      </x:c>
    </x:row>
    <x:row r="1138" ht="21" customHeight="1">
      <x:c r="A1138" s="2" t="n">
        <x:v>1133</x:v>
      </x:c>
      <x:c r="B1138" s="2" t="str">
        <x:v>TXN-01133</x:v>
      </x:c>
      <x:c r="C1138" s="2" t="str">
        <x:v>2025-10-01</x:v>
      </x:c>
      <x:c r="D1138" s="2" t="str">
        <x:v>Lagos</x:v>
      </x:c>
      <x:c r="E1138" s="2" t="str">
        <x:v>Beauty</x:v>
      </x:c>
      <x:c r="F1138" s="2" t="str">
        <x:v>Perfume</x:v>
      </x:c>
      <x:c r="G1138" s="2" t="str">
        <x:v>Online</x:v>
      </x:c>
      <x:c r="H1138" s="2" t="n">
        <x:v>1</x:v>
      </x:c>
      <x:c r="I1138" s="2" t="n">
        <x:v>17000</x:v>
      </x:c>
      <x:c r="J1138" s="2" t="n">
        <x:v>9000</x:v>
      </x:c>
      <x:c r="K1138" s="2" t="n">
        <x:v>0</x:v>
      </x:c>
      <x:c r="L1138" s="2" t="str">
        <x:v>Completed</x:v>
      </x:c>
    </x:row>
    <x:row r="1139" ht="21" customHeight="1">
      <x:c r="A1139" s="2" t="n">
        <x:v>1134</x:v>
      </x:c>
      <x:c r="B1139" s="2" t="str">
        <x:v>TXN-01134</x:v>
      </x:c>
      <x:c r="C1139" s="2" t="str">
        <x:v>2025-10-12</x:v>
      </x:c>
      <x:c r="D1139" s="2" t="str">
        <x:v>Lagos</x:v>
      </x:c>
      <x:c r="E1139" s="2" t="str">
        <x:v>Electronics</x:v>
      </x:c>
      <x:c r="F1139" s="2" t="str">
        <x:v>Power bank</x:v>
      </x:c>
      <x:c r="G1139" s="2" t="str">
        <x:v> online </x:v>
      </x:c>
      <x:c r="H1139" s="2" t="n">
        <x:v>3</x:v>
      </x:c>
      <x:c r="I1139" s="2" t="n">
        <x:v>15000</x:v>
      </x:c>
      <x:c r="J1139" s="2" t="n">
        <x:v>9500</x:v>
      </x:c>
      <x:c r="K1139" s="2" t="n">
        <x:v>0</x:v>
      </x:c>
      <x:c r="L1139" s="2" t="str">
        <x:v>Completed</x:v>
      </x:c>
    </x:row>
    <x:row r="1140" ht="21" customHeight="1">
      <x:c r="A1140" s="2" t="n">
        <x:v>1135</x:v>
      </x:c>
      <x:c r="B1140" s="2" t="str">
        <x:v>TXN-01135</x:v>
      </x:c>
      <x:c r="C1140" s="2" t="str">
        <x:v>2025-10-17</x:v>
      </x:c>
      <x:c r="D1140" s="2" t="str">
        <x:v> kano </x:v>
      </x:c>
      <x:c r="E1140" s="2" t="str">
        <x:v>Electronics</x:v>
      </x:c>
      <x:c r="F1140" s="2" t="str">
        <x:v>Power bank</x:v>
      </x:c>
      <x:c r="G1140" s="2" t="str">
        <x:v>Online</x:v>
      </x:c>
      <x:c r="H1140" s="2" t="n">
        <x:v>2</x:v>
      </x:c>
      <x:c r="I1140" s="2" t="n">
        <x:v>15000</x:v>
      </x:c>
      <x:c r="J1140" s="2" t="n">
        <x:v>9500</x:v>
      </x:c>
      <x:c r="K1140" s="2" t="str"/>
      <x:c r="L1140" s="2" t="str">
        <x:v> COMPLETED </x:v>
      </x:c>
    </x:row>
    <x:row r="1141" ht="21" customHeight="1">
      <x:c r="A1141" s="2" t="n">
        <x:v>1136</x:v>
      </x:c>
      <x:c r="B1141" s="2" t="str">
        <x:v>TXN-01136</x:v>
      </x:c>
      <x:c r="C1141" s="2" t="str">
        <x:v>2025-10-15</x:v>
      </x:c>
      <x:c r="D1141" s="2" t="str">
        <x:v>Lagos</x:v>
      </x:c>
      <x:c r="E1141" s="2" t="str">
        <x:v>Fashion</x:v>
      </x:c>
      <x:c r="F1141" s="2" t="str">
        <x:v>Handbag</x:v>
      </x:c>
      <x:c r="G1141" s="2" t="str">
        <x:v>Online</x:v>
      </x:c>
      <x:c r="H1141" s="2" t="n">
        <x:v>1</x:v>
      </x:c>
      <x:c r="I1141" s="2" t="n">
        <x:v>22000</x:v>
      </x:c>
      <x:c r="J1141" s="2" t="n">
        <x:v>13500</x:v>
      </x:c>
      <x:c r="K1141" s="2" t="n">
        <x:v>0</x:v>
      </x:c>
      <x:c r="L1141" s="2" t="str">
        <x:v>Completed</x:v>
      </x:c>
    </x:row>
    <x:row r="1142" ht="21" customHeight="1">
      <x:c r="A1142" s="2" t="n">
        <x:v>1137</x:v>
      </x:c>
      <x:c r="B1142" s="2" t="str">
        <x:v>TXN-01137</x:v>
      </x:c>
      <x:c r="C1142" s="2" t="str">
        <x:v>2025-10-15</x:v>
      </x:c>
      <x:c r="D1142" s="2" t="str">
        <x:v>Port Harcourt</x:v>
      </x:c>
      <x:c r="E1142" s="2" t="str">
        <x:v>Beauty</x:v>
      </x:c>
      <x:c r="F1142" s="2" t="str">
        <x:v>Body wash</x:v>
      </x:c>
      <x:c r="G1142" s="2" t="str">
        <x:v>In-store</x:v>
      </x:c>
      <x:c r="H1142" s="2" t="n">
        <x:v>2</x:v>
      </x:c>
      <x:c r="I1142" s="2" t="n">
        <x:v>4500</x:v>
      </x:c>
      <x:c r="J1142" s="2" t="n">
        <x:v>2300</x:v>
      </x:c>
      <x:c r="K1142" s="2" t="n">
        <x:v>0</x:v>
      </x:c>
      <x:c r="L1142" s="2" t="str">
        <x:v>Completed</x:v>
      </x:c>
    </x:row>
    <x:row r="1143" ht="21" customHeight="1">
      <x:c r="A1143" s="2" t="n">
        <x:v>1138</x:v>
      </x:c>
      <x:c r="B1143" s="2" t="str">
        <x:v>TXN-01138</x:v>
      </x:c>
      <x:c r="C1143" s="2" t="str">
        <x:v>2025-10-18</x:v>
      </x:c>
      <x:c r="D1143" s="2" t="str">
        <x:v>Lagos</x:v>
      </x:c>
      <x:c r="E1143" s="2" t="str">
        <x:v>Home</x:v>
      </x:c>
      <x:c r="F1143" s="2" t="str">
        <x:v>Bedsheet</x:v>
      </x:c>
      <x:c r="G1143" s="2" t="str">
        <x:v>In-store</x:v>
      </x:c>
      <x:c r="H1143" s="2" t="n">
        <x:v>2</x:v>
      </x:c>
      <x:c r="I1143" s="2" t="n">
        <x:v>14000</x:v>
      </x:c>
      <x:c r="J1143" s="2" t="n">
        <x:v>8500</x:v>
      </x:c>
      <x:c r="K1143" s="2" t="n">
        <x:v>0</x:v>
      </x:c>
      <x:c r="L1143" s="2" t="str">
        <x:v>Completed</x:v>
      </x:c>
    </x:row>
    <x:row r="1144" ht="21" customHeight="1">
      <x:c r="A1144" s="2" t="n">
        <x:v>1139</x:v>
      </x:c>
      <x:c r="B1144" s="2" t="str">
        <x:v>TXN-01139</x:v>
      </x:c>
      <x:c r="C1144" s="2" t="str">
        <x:v>2025-10-06</x:v>
      </x:c>
      <x:c r="D1144" s="2" t="str">
        <x:v>Port Harcourt</x:v>
      </x:c>
      <x:c r="E1144" s="2" t="str">
        <x:v>Fashion</x:v>
      </x:c>
      <x:c r="F1144" s="2" t="str">
        <x:v>Sneakers</x:v>
      </x:c>
      <x:c r="G1144" s="2" t="str">
        <x:v>Online</x:v>
      </x:c>
      <x:c r="H1144" s="2" t="n">
        <x:v>1</x:v>
      </x:c>
      <x:c r="I1144" s="2" t="n">
        <x:v>28000</x:v>
      </x:c>
      <x:c r="J1144" s="2" t="n">
        <x:v>17500</x:v>
      </x:c>
      <x:c r="K1144" s="2" t="n">
        <x:v>0.15</x:v>
      </x:c>
      <x:c r="L1144" s="2" t="str">
        <x:v>Completed</x:v>
      </x:c>
    </x:row>
    <x:row r="1145" ht="21" customHeight="1">
      <x:c r="A1145" s="2" t="n">
        <x:v>1140</x:v>
      </x:c>
      <x:c r="B1145" s="2" t="str">
        <x:v>TXN-01140</x:v>
      </x:c>
      <x:c r="C1145" s="2" t="str">
        <x:v>2025-10-09</x:v>
      </x:c>
      <x:c r="D1145" s="2" t="str">
        <x:v>Abuja</x:v>
      </x:c>
      <x:c r="E1145" s="2" t="str">
        <x:v>Electronics</x:v>
      </x:c>
      <x:c r="F1145" s="2" t="str">
        <x:v>Bluetooth speaker</x:v>
      </x:c>
      <x:c r="G1145" s="2" t="str">
        <x:v>In-store</x:v>
      </x:c>
      <x:c r="H1145" s="2" t="n">
        <x:v>2</x:v>
      </x:c>
      <x:c r="I1145" s="2" t="n">
        <x:v>26000</x:v>
      </x:c>
      <x:c r="J1145" s="2" t="n">
        <x:v>17000</x:v>
      </x:c>
      <x:c r="K1145" s="2" t="n">
        <x:v>0.1</x:v>
      </x:c>
      <x:c r="L1145" s="2" t="str">
        <x:v>Completed</x:v>
      </x:c>
    </x:row>
    <x:row r="1146" ht="21" customHeight="1">
      <x:c r="A1146" s="2" t="n">
        <x:v>1141</x:v>
      </x:c>
      <x:c r="B1146" s="2" t="str">
        <x:v>TXN-01141</x:v>
      </x:c>
      <x:c r="C1146" s="2" t="str">
        <x:v>2025-10-15</x:v>
      </x:c>
      <x:c r="D1146" s="2" t="str">
        <x:v>Abuja</x:v>
      </x:c>
      <x:c r="E1146" s="2" t="str">
        <x:v>Home</x:v>
      </x:c>
      <x:c r="F1146" s="2" t="str">
        <x:v>Cookware set</x:v>
      </x:c>
      <x:c r="G1146" s="2" t="str">
        <x:v>Online</x:v>
      </x:c>
      <x:c r="H1146" s="2" t="n">
        <x:v>1</x:v>
      </x:c>
      <x:c r="I1146" s="2" t="n">
        <x:v>35000</x:v>
      </x:c>
      <x:c r="J1146" s="2" t="n">
        <x:v>22500</x:v>
      </x:c>
      <x:c r="K1146" s="2" t="n">
        <x:v>0</x:v>
      </x:c>
      <x:c r="L1146" s="2" t="str">
        <x:v>Completed</x:v>
      </x:c>
    </x:row>
    <x:row r="1147" ht="21" customHeight="1">
      <x:c r="A1147" s="2" t="n">
        <x:v>1142</x:v>
      </x:c>
      <x:c r="B1147" s="2" t="str">
        <x:v>TXN-01142</x:v>
      </x:c>
      <x:c r="C1147" s="2" t="str">
        <x:v>2025-10-28</x:v>
      </x:c>
      <x:c r="D1147" s="2" t="str">
        <x:v> abuja </x:v>
      </x:c>
      <x:c r="E1147" s="2" t="str">
        <x:v>Electronics</x:v>
      </x:c>
      <x:c r="F1147" s="2" t="str">
        <x:v>Bluetooth speaker</x:v>
      </x:c>
      <x:c r="G1147" s="2" t="str">
        <x:v>Online</x:v>
      </x:c>
      <x:c r="H1147" s="2" t="n">
        <x:v>1</x:v>
      </x:c>
      <x:c r="I1147" s="2" t="n">
        <x:v>26000</x:v>
      </x:c>
      <x:c r="J1147" s="2" t="n">
        <x:v>17000</x:v>
      </x:c>
      <x:c r="K1147" s="2" t="n">
        <x:v>0.05</x:v>
      </x:c>
      <x:c r="L1147" s="2" t="str">
        <x:v>Returned</x:v>
      </x:c>
    </x:row>
    <x:row r="1148" ht="21" customHeight="1">
      <x:c r="A1148" s="2" t="n">
        <x:v>1143</x:v>
      </x:c>
      <x:c r="B1148" s="2" t="str">
        <x:v>TXN-01143</x:v>
      </x:c>
      <x:c r="C1148" s="2" t="str">
        <x:v>2025-10-07</x:v>
      </x:c>
      <x:c r="D1148" s="2" t="str">
        <x:v>Lagos</x:v>
      </x:c>
      <x:c r="E1148" s="2" t="str">
        <x:v>Electronics</x:v>
      </x:c>
      <x:c r="F1148" s="2" t="str">
        <x:v>Bluetooth speaker</x:v>
      </x:c>
      <x:c r="G1148" s="2" t="str">
        <x:v>Online</x:v>
      </x:c>
      <x:c r="H1148" s="2" t="n">
        <x:v>2</x:v>
      </x:c>
      <x:c r="I1148" s="2" t="n">
        <x:v>26000</x:v>
      </x:c>
      <x:c r="J1148" s="2" t="n">
        <x:v>17000</x:v>
      </x:c>
      <x:c r="K1148" s="2" t="n">
        <x:v>0.1</x:v>
      </x:c>
      <x:c r="L1148" s="2" t="str">
        <x:v>Completed</x:v>
      </x:c>
    </x:row>
    <x:row r="1149" ht="21" customHeight="1">
      <x:c r="A1149" s="2" t="n">
        <x:v>1144</x:v>
      </x:c>
      <x:c r="B1149" s="2" t="str">
        <x:v>TXN-01144</x:v>
      </x:c>
      <x:c r="C1149" s="2" t="str">
        <x:v>2025-10-25</x:v>
      </x:c>
      <x:c r="D1149" s="2" t="str">
        <x:v>Lagos</x:v>
      </x:c>
      <x:c r="E1149" s="2" t="str">
        <x:v>Electronics</x:v>
      </x:c>
      <x:c r="F1149" s="2" t="str">
        <x:v>Power bank</x:v>
      </x:c>
      <x:c r="G1149" s="2" t="str">
        <x:v>Online</x:v>
      </x:c>
      <x:c r="H1149" s="2" t="n">
        <x:v>2</x:v>
      </x:c>
      <x:c r="I1149" s="2" t="n">
        <x:v>15000</x:v>
      </x:c>
      <x:c r="J1149" s="2" t="n">
        <x:v>9500</x:v>
      </x:c>
      <x:c r="K1149" s="2" t="n">
        <x:v>0.1</x:v>
      </x:c>
      <x:c r="L1149" s="2" t="str">
        <x:v> COMPLETED </x:v>
      </x:c>
    </x:row>
    <x:row r="1150" ht="21" customHeight="1">
      <x:c r="A1150" s="2" t="n">
        <x:v>1145</x:v>
      </x:c>
      <x:c r="B1150" s="2" t="str">
        <x:v>TXN-01145</x:v>
      </x:c>
      <x:c r="C1150" s="2" t="str">
        <x:v>2025-10-21</x:v>
      </x:c>
      <x:c r="D1150" s="2" t="str">
        <x:v>Abuja</x:v>
      </x:c>
      <x:c r="E1150" s="2" t="str">
        <x:v>Beauty</x:v>
      </x:c>
      <x:c r="F1150" s="2" t="str">
        <x:v>Moisturizer</x:v>
      </x:c>
      <x:c r="G1150" s="2" t="str">
        <x:v> in-store </x:v>
      </x:c>
      <x:c r="H1150" s="2" t="n">
        <x:v>3</x:v>
      </x:c>
      <x:c r="I1150" s="2" t="n">
        <x:v>6500</x:v>
      </x:c>
      <x:c r="J1150" s="2" t="n">
        <x:v>3500</x:v>
      </x:c>
      <x:c r="K1150" s="2" t="n">
        <x:v>0.05</x:v>
      </x:c>
      <x:c r="L1150" s="2" t="str">
        <x:v>Completed</x:v>
      </x:c>
    </x:row>
    <x:row r="1151" ht="21" customHeight="1">
      <x:c r="A1151" s="2" t="n">
        <x:v>1146</x:v>
      </x:c>
      <x:c r="B1151" s="2" t="str">
        <x:v>TXN-01146</x:v>
      </x:c>
      <x:c r="C1151" s="2" t="str">
        <x:v>2025-10-11</x:v>
      </x:c>
      <x:c r="D1151" s="2" t="str">
        <x:v>Lagos</x:v>
      </x:c>
      <x:c r="E1151" s="2" t="str">
        <x:v>Home</x:v>
      </x:c>
      <x:c r="F1151" s="2" t="str">
        <x:v>Desk lamp</x:v>
      </x:c>
      <x:c r="G1151" s="2" t="str">
        <x:v>In-store</x:v>
      </x:c>
      <x:c r="H1151" s="2" t="n">
        <x:v>2</x:v>
      </x:c>
      <x:c r="I1151" s="2" t="n">
        <x:v>12000</x:v>
      </x:c>
      <x:c r="J1151" s="2" t="n">
        <x:v>7200</x:v>
      </x:c>
      <x:c r="K1151" s="2" t="n">
        <x:v>0.05</x:v>
      </x:c>
      <x:c r="L1151" s="2" t="str">
        <x:v>Completed</x:v>
      </x:c>
    </x:row>
    <x:row r="1152" ht="21" customHeight="1">
      <x:c r="A1152" s="2" t="n">
        <x:v>1147</x:v>
      </x:c>
      <x:c r="B1152" s="2" t="str">
        <x:v>TXN-01147</x:v>
      </x:c>
      <x:c r="C1152" s="2" t="str">
        <x:v>2025-10-09</x:v>
      </x:c>
      <x:c r="D1152" s="2" t="str">
        <x:v>Abuja</x:v>
      </x:c>
      <x:c r="E1152" s="2" t="str">
        <x:v>Fashion</x:v>
      </x:c>
      <x:c r="F1152" s="2" t="str">
        <x:v>Sneakers</x:v>
      </x:c>
      <x:c r="G1152" s="2" t="str">
        <x:v>In-store</x:v>
      </x:c>
      <x:c r="H1152" s="2" t="n">
        <x:v>3</x:v>
      </x:c>
      <x:c r="I1152" s="2" t="n">
        <x:v>28000</x:v>
      </x:c>
      <x:c r="J1152" s="2" t="n">
        <x:v>17500</x:v>
      </x:c>
      <x:c r="K1152" s="2" t="n">
        <x:v>0</x:v>
      </x:c>
      <x:c r="L1152" s="2" t="str">
        <x:v>Completed</x:v>
      </x:c>
    </x:row>
    <x:row r="1153" ht="21" customHeight="1">
      <x:c r="A1153" s="2" t="n">
        <x:v>1148</x:v>
      </x:c>
      <x:c r="B1153" s="2" t="str">
        <x:v>TXN-01148</x:v>
      </x:c>
      <x:c r="C1153" s="2" t="str">
        <x:v>2025-10-14</x:v>
      </x:c>
      <x:c r="D1153" s="2" t="str">
        <x:v>Lagos</x:v>
      </x:c>
      <x:c r="E1153" s="2" t="str">
        <x:v>Beauty</x:v>
      </x:c>
      <x:c r="F1153" s="2" t="str">
        <x:v>Body wash</x:v>
      </x:c>
      <x:c r="G1153" s="2" t="str">
        <x:v>Online</x:v>
      </x:c>
      <x:c r="H1153" s="2" t="n">
        <x:v>2</x:v>
      </x:c>
      <x:c r="I1153" s="2" t="n">
        <x:v>4500</x:v>
      </x:c>
      <x:c r="J1153" s="2" t="n">
        <x:v>2300</x:v>
      </x:c>
      <x:c r="K1153" s="2" t="n">
        <x:v>0</x:v>
      </x:c>
      <x:c r="L1153" s="2" t="str">
        <x:v>Completed</x:v>
      </x:c>
    </x:row>
    <x:row r="1154" ht="21" customHeight="1">
      <x:c r="A1154" s="2" t="n">
        <x:v>1149</x:v>
      </x:c>
      <x:c r="B1154" s="2" t="str">
        <x:v>TXN-01149</x:v>
      </x:c>
      <x:c r="C1154" s="2" t="str">
        <x:v>2025-10-29</x:v>
      </x:c>
      <x:c r="D1154" s="2" t="str">
        <x:v> lagos </x:v>
      </x:c>
      <x:c r="E1154" s="2" t="str">
        <x:v>Fashion</x:v>
      </x:c>
      <x:c r="F1154" s="2" t="str">
        <x:v>T-shirt</x:v>
      </x:c>
      <x:c r="G1154" s="2" t="str">
        <x:v>In-store</x:v>
      </x:c>
      <x:c r="H1154" s="2" t="n">
        <x:v>1</x:v>
      </x:c>
      <x:c r="I1154" s="2" t="n">
        <x:v>9000</x:v>
      </x:c>
      <x:c r="J1154" s="2" t="n">
        <x:v>5000</x:v>
      </x:c>
      <x:c r="K1154" s="2" t="n">
        <x:v>0.05</x:v>
      </x:c>
      <x:c r="L1154" s="2" t="str">
        <x:v>Completed</x:v>
      </x:c>
    </x:row>
    <x:row r="1155" ht="21" customHeight="1">
      <x:c r="A1155" s="2" t="n">
        <x:v>1150</x:v>
      </x:c>
      <x:c r="B1155" s="2" t="str">
        <x:v>TXN-01150</x:v>
      </x:c>
      <x:c r="C1155" s="2" t="str">
        <x:v>2025-10-27</x:v>
      </x:c>
      <x:c r="D1155" s="2" t="str">
        <x:v>Abuja</x:v>
      </x:c>
      <x:c r="E1155" s="2" t="str">
        <x:v>Electronics</x:v>
      </x:c>
      <x:c r="F1155" s="2" t="str">
        <x:v>Headphones</x:v>
      </x:c>
      <x:c r="G1155" s="2" t="str">
        <x:v>In-store</x:v>
      </x:c>
      <x:c r="H1155" s="2" t="n">
        <x:v>3</x:v>
      </x:c>
      <x:c r="I1155" s="2" t="n">
        <x:v>18000</x:v>
      </x:c>
      <x:c r="J1155" s="2" t="n">
        <x:v>10500</x:v>
      </x:c>
      <x:c r="K1155" s="2" t="n">
        <x:v>0</x:v>
      </x:c>
      <x:c r="L1155" s="2" t="str">
        <x:v>Completed</x:v>
      </x:c>
    </x:row>
    <x:row r="1156" ht="21" customHeight="1">
      <x:c r="A1156" s="2" t="n">
        <x:v>1151</x:v>
      </x:c>
      <x:c r="B1156" s="2" t="str">
        <x:v>TXN-01151</x:v>
      </x:c>
      <x:c r="C1156" s="2" t="str">
        <x:v>2025-10-07</x:v>
      </x:c>
      <x:c r="D1156" s="2" t="str">
        <x:v>Lagos</x:v>
      </x:c>
      <x:c r="E1156" s="2" t="str">
        <x:v>Fashion</x:v>
      </x:c>
      <x:c r="F1156" s="2" t="str">
        <x:v>Sneakers</x:v>
      </x:c>
      <x:c r="G1156" s="2" t="str">
        <x:v>Online</x:v>
      </x:c>
      <x:c r="H1156" s="2" t="n">
        <x:v>1</x:v>
      </x:c>
      <x:c r="I1156" s="2" t="n">
        <x:v>28000</x:v>
      </x:c>
      <x:c r="J1156" s="2" t="n">
        <x:v>17500</x:v>
      </x:c>
      <x:c r="K1156" s="2" t="n">
        <x:v>0</x:v>
      </x:c>
      <x:c r="L1156" s="2" t="str">
        <x:v>Completed</x:v>
      </x:c>
    </x:row>
    <x:row r="1157" ht="21" customHeight="1">
      <x:c r="A1157" s="2" t="n">
        <x:v>1152</x:v>
      </x:c>
      <x:c r="B1157" s="2" t="str">
        <x:v>TXN-01152</x:v>
      </x:c>
      <x:c r="C1157" s="2" t="str">
        <x:v>2025-10-21</x:v>
      </x:c>
      <x:c r="D1157" s="2" t="str">
        <x:v>Abuja</x:v>
      </x:c>
      <x:c r="E1157" s="2" t="str">
        <x:v>Electronics</x:v>
      </x:c>
      <x:c r="F1157" s="2" t="str">
        <x:v>Headphones</x:v>
      </x:c>
      <x:c r="G1157" s="2" t="str">
        <x:v>Online</x:v>
      </x:c>
      <x:c r="H1157" s="2" t="n">
        <x:v>3</x:v>
      </x:c>
      <x:c r="I1157" s="2" t="n">
        <x:v>18000</x:v>
      </x:c>
      <x:c r="J1157" s="2" t="n">
        <x:v>10500</x:v>
      </x:c>
      <x:c r="K1157" s="2" t="n">
        <x:v>0.1</x:v>
      </x:c>
      <x:c r="L1157" s="2" t="str">
        <x:v>Completed</x:v>
      </x:c>
    </x:row>
    <x:row r="1158" ht="21" customHeight="1">
      <x:c r="A1158" s="2" t="n">
        <x:v>1153</x:v>
      </x:c>
      <x:c r="B1158" s="2" t="str">
        <x:v>TXN-01153</x:v>
      </x:c>
      <x:c r="C1158" s="2" t="str">
        <x:v>2025-10-03</x:v>
      </x:c>
      <x:c r="D1158" s="2" t="str">
        <x:v>Lagos</x:v>
      </x:c>
      <x:c r="E1158" s="2" t="str">
        <x:v>Electronics</x:v>
      </x:c>
      <x:c r="F1158" s="2" t="str">
        <x:v>Headphones</x:v>
      </x:c>
      <x:c r="G1158" s="2" t="str">
        <x:v>Online</x:v>
      </x:c>
      <x:c r="H1158" s="2" t="n">
        <x:v>1</x:v>
      </x:c>
      <x:c r="I1158" s="2" t="n">
        <x:v>18000</x:v>
      </x:c>
      <x:c r="J1158" s="2" t="n">
        <x:v>10500</x:v>
      </x:c>
      <x:c r="K1158" s="2" t="n">
        <x:v>0</x:v>
      </x:c>
      <x:c r="L1158" s="2" t="str">
        <x:v> COMPLETED </x:v>
      </x:c>
    </x:row>
    <x:row r="1159" ht="21" customHeight="1">
      <x:c r="A1159" s="2" t="n">
        <x:v>1154</x:v>
      </x:c>
      <x:c r="B1159" s="2" t="str">
        <x:v>TXN-01154</x:v>
      </x:c>
      <x:c r="C1159" s="2" t="str">
        <x:v>2025-10-25</x:v>
      </x:c>
      <x:c r="D1159" s="2" t="str">
        <x:v>Lagos</x:v>
      </x:c>
      <x:c r="E1159" s="2" t="str">
        <x:v>Fashion</x:v>
      </x:c>
      <x:c r="F1159" s="2" t="str">
        <x:v>T-shirt</x:v>
      </x:c>
      <x:c r="G1159" s="2" t="str">
        <x:v>Online</x:v>
      </x:c>
      <x:c r="H1159" s="2" t="n">
        <x:v>2</x:v>
      </x:c>
      <x:c r="I1159" s="2" t="n">
        <x:v>9000</x:v>
      </x:c>
      <x:c r="J1159" s="2" t="n">
        <x:v>5000</x:v>
      </x:c>
      <x:c r="K1159" s="2" t="n">
        <x:v>0</x:v>
      </x:c>
      <x:c r="L1159" s="2" t="str">
        <x:v>Completed</x:v>
      </x:c>
    </x:row>
    <x:row r="1160" ht="21" customHeight="1">
      <x:c r="A1160" s="2" t="n">
        <x:v>1155</x:v>
      </x:c>
      <x:c r="B1160" s="2" t="str">
        <x:v>TXN-01155</x:v>
      </x:c>
      <x:c r="C1160" s="2" t="str">
        <x:v>2025-10-19</x:v>
      </x:c>
      <x:c r="D1160" s="2" t="str">
        <x:v>Lagos</x:v>
      </x:c>
      <x:c r="E1160" s="2" t="str">
        <x:v>Fashion</x:v>
      </x:c>
      <x:c r="F1160" s="2" t="str">
        <x:v>Handbag</x:v>
      </x:c>
      <x:c r="G1160" s="2" t="str">
        <x:v>In-store</x:v>
      </x:c>
      <x:c r="H1160" s="2" t="n">
        <x:v>2</x:v>
      </x:c>
      <x:c r="I1160" s="2" t="n">
        <x:v>22000</x:v>
      </x:c>
      <x:c r="J1160" s="2" t="n">
        <x:v>13500</x:v>
      </x:c>
      <x:c r="K1160" s="2" t="n">
        <x:v>0.1</x:v>
      </x:c>
      <x:c r="L1160" s="2" t="str">
        <x:v>Completed</x:v>
      </x:c>
    </x:row>
    <x:row r="1161" ht="21" customHeight="1">
      <x:c r="A1161" s="2" t="n">
        <x:v>1156</x:v>
      </x:c>
      <x:c r="B1161" s="2" t="str">
        <x:v>TXN-01156</x:v>
      </x:c>
      <x:c r="C1161" s="2" t="str">
        <x:v>2025-10-05</x:v>
      </x:c>
      <x:c r="D1161" s="2" t="str">
        <x:v> lagos </x:v>
      </x:c>
      <x:c r="E1161" s="2" t="str">
        <x:v>Home</x:v>
      </x:c>
      <x:c r="F1161" s="2" t="str">
        <x:v>Desk lamp</x:v>
      </x:c>
      <x:c r="G1161" s="2" t="str">
        <x:v> online </x:v>
      </x:c>
      <x:c r="H1161" s="2" t="n">
        <x:v>1</x:v>
      </x:c>
      <x:c r="I1161" s="2" t="n">
        <x:v>12000</x:v>
      </x:c>
      <x:c r="J1161" s="2" t="n">
        <x:v>7200</x:v>
      </x:c>
      <x:c r="K1161" s="2" t="n">
        <x:v>0</x:v>
      </x:c>
      <x:c r="L1161" s="2" t="str">
        <x:v>Completed</x:v>
      </x:c>
    </x:row>
    <x:row r="1162" ht="21" customHeight="1">
      <x:c r="A1162" s="2" t="n">
        <x:v>1157</x:v>
      </x:c>
      <x:c r="B1162" s="2" t="str">
        <x:v>TXN-01157</x:v>
      </x:c>
      <x:c r="C1162" s="2" t="str">
        <x:v>2025-10-28</x:v>
      </x:c>
      <x:c r="D1162" s="2" t="str">
        <x:v>Lagos</x:v>
      </x:c>
      <x:c r="E1162" s="2" t="str">
        <x:v>Electronics</x:v>
      </x:c>
      <x:c r="F1162" s="2" t="str">
        <x:v>Bluetooth speaker</x:v>
      </x:c>
      <x:c r="G1162" s="2" t="str">
        <x:v>Online</x:v>
      </x:c>
      <x:c r="H1162" s="2" t="n">
        <x:v>1</x:v>
      </x:c>
      <x:c r="I1162" s="2" t="n">
        <x:v>26000</x:v>
      </x:c>
      <x:c r="J1162" s="2" t="n">
        <x:v>17000</x:v>
      </x:c>
      <x:c r="K1162" s="2" t="n">
        <x:v>0.1</x:v>
      </x:c>
      <x:c r="L1162" s="2" t="str">
        <x:v>Completed</x:v>
      </x:c>
    </x:row>
    <x:row r="1163" ht="21" customHeight="1">
      <x:c r="A1163" s="2" t="n">
        <x:v>1158</x:v>
      </x:c>
      <x:c r="B1163" s="2" t="str">
        <x:v>TXN-01158</x:v>
      </x:c>
      <x:c r="C1163" s="2" t="str">
        <x:v>2025-10-18</x:v>
      </x:c>
      <x:c r="D1163" s="2" t="str">
        <x:v>Port Harcourt</x:v>
      </x:c>
      <x:c r="E1163" s="2" t="str">
        <x:v>Beauty</x:v>
      </x:c>
      <x:c r="F1163" s="2" t="str">
        <x:v>Body wash</x:v>
      </x:c>
      <x:c r="G1163" s="2" t="str">
        <x:v>Online</x:v>
      </x:c>
      <x:c r="H1163" s="2" t="n">
        <x:v>1</x:v>
      </x:c>
      <x:c r="I1163" s="2" t="n">
        <x:v>4500</x:v>
      </x:c>
      <x:c r="J1163" s="2" t="n">
        <x:v>2300</x:v>
      </x:c>
      <x:c r="K1163" s="2" t="n">
        <x:v>0.15</x:v>
      </x:c>
      <x:c r="L1163" s="2" t="str">
        <x:v>Completed</x:v>
      </x:c>
    </x:row>
    <x:row r="1164" ht="21" customHeight="1">
      <x:c r="A1164" s="2" t="n">
        <x:v>1159</x:v>
      </x:c>
      <x:c r="B1164" s="2" t="str">
        <x:v>TXN-01159</x:v>
      </x:c>
      <x:c r="C1164" s="2" t="str">
        <x:v>2025-10-18</x:v>
      </x:c>
      <x:c r="D1164" s="2" t="str">
        <x:v>Abuja</x:v>
      </x:c>
      <x:c r="E1164" s="2" t="str">
        <x:v>Fashion</x:v>
      </x:c>
      <x:c r="F1164" s="2" t="str">
        <x:v>Sneakers</x:v>
      </x:c>
      <x:c r="G1164" s="2" t="str">
        <x:v>In-store</x:v>
      </x:c>
      <x:c r="H1164" s="2" t="n">
        <x:v>2</x:v>
      </x:c>
      <x:c r="I1164" s="2" t="n">
        <x:v>28000</x:v>
      </x:c>
      <x:c r="J1164" s="2" t="n">
        <x:v>17500</x:v>
      </x:c>
      <x:c r="K1164" s="2" t="n">
        <x:v>0.15</x:v>
      </x:c>
      <x:c r="L1164" s="2" t="str">
        <x:v>Completed</x:v>
      </x:c>
    </x:row>
    <x:row r="1165" ht="21" customHeight="1">
      <x:c r="A1165" s="2" t="n">
        <x:v>1160</x:v>
      </x:c>
      <x:c r="B1165" s="2" t="str">
        <x:v>TXN-01160</x:v>
      </x:c>
      <x:c r="C1165" s="2" t="str">
        <x:v>2025-10-25</x:v>
      </x:c>
      <x:c r="D1165" s="2" t="str">
        <x:v>Lagos</x:v>
      </x:c>
      <x:c r="E1165" s="2" t="str">
        <x:v>Fashion</x:v>
      </x:c>
      <x:c r="F1165" s="2" t="str">
        <x:v>Sneakers</x:v>
      </x:c>
      <x:c r="G1165" s="2" t="str">
        <x:v>In-store</x:v>
      </x:c>
      <x:c r="H1165" s="2" t="n">
        <x:v>1</x:v>
      </x:c>
      <x:c r="I1165" s="2" t="n">
        <x:v>28000</x:v>
      </x:c>
      <x:c r="J1165" s="2" t="n">
        <x:v>17500</x:v>
      </x:c>
      <x:c r="K1165" s="2" t="n">
        <x:v>0</x:v>
      </x:c>
      <x:c r="L1165" s="2" t="str">
        <x:v>Returned</x:v>
      </x:c>
    </x:row>
    <x:row r="1166" ht="21" customHeight="1">
      <x:c r="A1166" s="2" t="n">
        <x:v>1161</x:v>
      </x:c>
      <x:c r="B1166" s="2" t="str">
        <x:v>TXN-01161</x:v>
      </x:c>
      <x:c r="C1166" s="2" t="str">
        <x:v>2025-10-08</x:v>
      </x:c>
      <x:c r="D1166" s="2" t="str">
        <x:v>Kano</x:v>
      </x:c>
      <x:c r="E1166" s="2" t="str">
        <x:v>Electronics</x:v>
      </x:c>
      <x:c r="F1166" s="2" t="str">
        <x:v>Headphones</x:v>
      </x:c>
      <x:c r="G1166" s="2" t="str">
        <x:v>In-store</x:v>
      </x:c>
      <x:c r="H1166" s="2" t="n">
        <x:v>1</x:v>
      </x:c>
      <x:c r="I1166" s="2" t="n">
        <x:v>18000</x:v>
      </x:c>
      <x:c r="J1166" s="2" t="n">
        <x:v>10500</x:v>
      </x:c>
      <x:c r="K1166" s="2" t="n">
        <x:v>0</x:v>
      </x:c>
      <x:c r="L1166" s="2" t="str">
        <x:v>Completed</x:v>
      </x:c>
    </x:row>
    <x:row r="1167" ht="21" customHeight="1">
      <x:c r="A1167" s="2" t="n">
        <x:v>1162</x:v>
      </x:c>
      <x:c r="B1167" s="2" t="str">
        <x:v>TXN-01162</x:v>
      </x:c>
      <x:c r="C1167" s="2" t="str">
        <x:v>2025-10-09</x:v>
      </x:c>
      <x:c r="D1167" s="2" t="str">
        <x:v>Port Harcourt</x:v>
      </x:c>
      <x:c r="E1167" s="2" t="str">
        <x:v>Electronics</x:v>
      </x:c>
      <x:c r="F1167" s="2" t="str">
        <x:v>Bluetooth speaker</x:v>
      </x:c>
      <x:c r="G1167" s="2" t="str">
        <x:v>In-store</x:v>
      </x:c>
      <x:c r="H1167" s="2" t="n">
        <x:v>1</x:v>
      </x:c>
      <x:c r="I1167" s="2" t="n">
        <x:v>26000</x:v>
      </x:c>
      <x:c r="J1167" s="2" t="n">
        <x:v>17000</x:v>
      </x:c>
      <x:c r="K1167" s="2" t="n">
        <x:v>0</x:v>
      </x:c>
      <x:c r="L1167" s="2" t="str">
        <x:v> COMPLETED </x:v>
      </x:c>
    </x:row>
    <x:row r="1168" ht="21" customHeight="1">
      <x:c r="A1168" s="2" t="n">
        <x:v>1163</x:v>
      </x:c>
      <x:c r="B1168" s="2" t="str">
        <x:v>TXN-01163</x:v>
      </x:c>
      <x:c r="C1168" s="2" t="str">
        <x:v>2025-10-20</x:v>
      </x:c>
      <x:c r="D1168" s="2" t="str">
        <x:v> abuja </x:v>
      </x:c>
      <x:c r="E1168" s="2" t="str">
        <x:v>Beauty</x:v>
      </x:c>
      <x:c r="F1168" s="2" t="str">
        <x:v>Body wash</x:v>
      </x:c>
      <x:c r="G1168" s="2" t="str">
        <x:v>In-store</x:v>
      </x:c>
      <x:c r="H1168" s="2" t="n">
        <x:v>3</x:v>
      </x:c>
      <x:c r="I1168" s="2" t="n">
        <x:v>4500</x:v>
      </x:c>
      <x:c r="J1168" s="2" t="n">
        <x:v>2300</x:v>
      </x:c>
      <x:c r="K1168" s="2" t="n">
        <x:v>0</x:v>
      </x:c>
      <x:c r="L1168" s="2" t="str">
        <x:v>Completed</x:v>
      </x:c>
    </x:row>
    <x:row r="1169" ht="21" customHeight="1">
      <x:c r="A1169" s="2" t="n">
        <x:v>1164</x:v>
      </x:c>
      <x:c r="B1169" s="2" t="str">
        <x:v>TXN-01164</x:v>
      </x:c>
      <x:c r="C1169" s="2" t="str">
        <x:v>2025-10-28</x:v>
      </x:c>
      <x:c r="D1169" s="2" t="str">
        <x:v>Lagos</x:v>
      </x:c>
      <x:c r="E1169" s="2" t="str">
        <x:v>Beauty</x:v>
      </x:c>
      <x:c r="F1169" s="2" t="str">
        <x:v>Perfume</x:v>
      </x:c>
      <x:c r="G1169" s="2" t="str">
        <x:v>In-store</x:v>
      </x:c>
      <x:c r="H1169" s="2" t="n">
        <x:v>1</x:v>
      </x:c>
      <x:c r="I1169" s="2" t="n">
        <x:v>17000</x:v>
      </x:c>
      <x:c r="J1169" s="2" t="n">
        <x:v>9000</x:v>
      </x:c>
      <x:c r="K1169" s="2" t="n">
        <x:v>0.05</x:v>
      </x:c>
      <x:c r="L1169" s="2" t="str">
        <x:v>Completed</x:v>
      </x:c>
    </x:row>
    <x:row r="1170" ht="21" customHeight="1">
      <x:c r="A1170" s="2" t="n">
        <x:v>1165</x:v>
      </x:c>
      <x:c r="B1170" s="2" t="str">
        <x:v>TXN-01165</x:v>
      </x:c>
      <x:c r="C1170" s="2" t="str">
        <x:v>2025-10-02</x:v>
      </x:c>
      <x:c r="D1170" s="2" t="str">
        <x:v>Kano</x:v>
      </x:c>
      <x:c r="E1170" s="2" t="str">
        <x:v>Electronics</x:v>
      </x:c>
      <x:c r="F1170" s="2" t="str">
        <x:v>Bluetooth speaker</x:v>
      </x:c>
      <x:c r="G1170" s="2" t="str">
        <x:v>Online</x:v>
      </x:c>
      <x:c r="H1170" s="2" t="n">
        <x:v>3</x:v>
      </x:c>
      <x:c r="I1170" s="2" t="n">
        <x:v>26000</x:v>
      </x:c>
      <x:c r="J1170" s="2" t="n">
        <x:v>17000</x:v>
      </x:c>
      <x:c r="K1170" s="2" t="n">
        <x:v>0.05</x:v>
      </x:c>
      <x:c r="L1170" s="2" t="str">
        <x:v>Completed</x:v>
      </x:c>
    </x:row>
    <x:row r="1171" ht="21" customHeight="1">
      <x:c r="A1171" s="2" t="n">
        <x:v>1166</x:v>
      </x:c>
      <x:c r="B1171" s="2" t="str">
        <x:v>TXN-01166</x:v>
      </x:c>
      <x:c r="C1171" s="2" t="str">
        <x:v>2025-10-01</x:v>
      </x:c>
      <x:c r="D1171" s="2" t="str">
        <x:v>Port Harcourt</x:v>
      </x:c>
      <x:c r="E1171" s="2" t="str">
        <x:v>Beauty</x:v>
      </x:c>
      <x:c r="F1171" s="2" t="str">
        <x:v>Moisturizer</x:v>
      </x:c>
      <x:c r="G1171" s="2" t="str">
        <x:v>In-store</x:v>
      </x:c>
      <x:c r="H1171" s="2" t="n">
        <x:v>3</x:v>
      </x:c>
      <x:c r="I1171" s="2" t="n">
        <x:v>6500</x:v>
      </x:c>
      <x:c r="J1171" s="2" t="n">
        <x:v>3500</x:v>
      </x:c>
      <x:c r="K1171" s="2" t="n">
        <x:v>0.05</x:v>
      </x:c>
      <x:c r="L1171" s="2" t="str">
        <x:v>Completed</x:v>
      </x:c>
    </x:row>
    <x:row r="1172" ht="21" customHeight="1">
      <x:c r="A1172" s="2" t="n">
        <x:v>1167</x:v>
      </x:c>
      <x:c r="B1172" s="2" t="str">
        <x:v>TXN-01167</x:v>
      </x:c>
      <x:c r="C1172" s="2" t="str">
        <x:v>2025-10-09</x:v>
      </x:c>
      <x:c r="D1172" s="2" t="str">
        <x:v>Lagos</x:v>
      </x:c>
      <x:c r="E1172" s="2" t="str">
        <x:v>Fashion</x:v>
      </x:c>
      <x:c r="F1172" s="2" t="str">
        <x:v>Sneakers</x:v>
      </x:c>
      <x:c r="G1172" s="2" t="str">
        <x:v> online </x:v>
      </x:c>
      <x:c r="H1172" s="2" t="n">
        <x:v>2</x:v>
      </x:c>
      <x:c r="I1172" s="2" t="n">
        <x:v>28000</x:v>
      </x:c>
      <x:c r="J1172" s="2" t="n">
        <x:v>17500</x:v>
      </x:c>
      <x:c r="K1172" s="2" t="n">
        <x:v>0</x:v>
      </x:c>
      <x:c r="L1172" s="2" t="str">
        <x:v>Completed</x:v>
      </x:c>
    </x:row>
    <x:row r="1173" ht="21" customHeight="1">
      <x:c r="A1173" s="2" t="n">
        <x:v>1168</x:v>
      </x:c>
      <x:c r="B1173" s="2" t="str">
        <x:v>TXN-01168</x:v>
      </x:c>
      <x:c r="C1173" s="2" t="str">
        <x:v>2025-10-20</x:v>
      </x:c>
      <x:c r="D1173" s="2" t="str">
        <x:v>Kano</x:v>
      </x:c>
      <x:c r="E1173" s="2" t="str">
        <x:v>Fashion</x:v>
      </x:c>
      <x:c r="F1173" s="2" t="str">
        <x:v>Sneakers</x:v>
      </x:c>
      <x:c r="G1173" s="2" t="str">
        <x:v>Online</x:v>
      </x:c>
      <x:c r="H1173" s="2" t="n">
        <x:v>4</x:v>
      </x:c>
      <x:c r="I1173" s="2" t="n">
        <x:v>28000</x:v>
      </x:c>
      <x:c r="J1173" s="2" t="n">
        <x:v>17500</x:v>
      </x:c>
      <x:c r="K1173" s="2" t="n">
        <x:v>0.05</x:v>
      </x:c>
      <x:c r="L1173" s="2" t="str">
        <x:v>Completed</x:v>
      </x:c>
    </x:row>
    <x:row r="1174" ht="21" customHeight="1">
      <x:c r="A1174" s="2" t="n">
        <x:v>1169</x:v>
      </x:c>
      <x:c r="B1174" s="2" t="str">
        <x:v>TXN-01169</x:v>
      </x:c>
      <x:c r="C1174" s="2" t="str">
        <x:v>2025-10-13</x:v>
      </x:c>
      <x:c r="D1174" s="2" t="str">
        <x:v>Port Harcourt</x:v>
      </x:c>
      <x:c r="E1174" s="2" t="str">
        <x:v>Home</x:v>
      </x:c>
      <x:c r="F1174" s="2" t="str">
        <x:v>Cookware set</x:v>
      </x:c>
      <x:c r="G1174" s="2" t="str">
        <x:v>In-store</x:v>
      </x:c>
      <x:c r="H1174" s="2" t="n">
        <x:v>1</x:v>
      </x:c>
      <x:c r="I1174" s="2" t="n">
        <x:v>35000</x:v>
      </x:c>
      <x:c r="J1174" s="2" t="n">
        <x:v>22500</x:v>
      </x:c>
      <x:c r="K1174" s="2" t="n">
        <x:v>0</x:v>
      </x:c>
      <x:c r="L1174" s="2" t="str">
        <x:v>Returned</x:v>
      </x:c>
    </x:row>
    <x:row r="1175" ht="21" customHeight="1">
      <x:c r="A1175" s="2" t="n">
        <x:v>1170</x:v>
      </x:c>
      <x:c r="B1175" s="2" t="str">
        <x:v>TXN-01170</x:v>
      </x:c>
      <x:c r="C1175" s="2" t="str">
        <x:v>2025-10-22</x:v>
      </x:c>
      <x:c r="D1175" s="2" t="str">
        <x:v> abuja </x:v>
      </x:c>
      <x:c r="E1175" s="2" t="str">
        <x:v>Home</x:v>
      </x:c>
      <x:c r="F1175" s="2" t="str">
        <x:v>Bedsheet</x:v>
      </x:c>
      <x:c r="G1175" s="2" t="str">
        <x:v>Online</x:v>
      </x:c>
      <x:c r="H1175" s="2" t="n">
        <x:v>1</x:v>
      </x:c>
      <x:c r="I1175" s="2" t="n">
        <x:v>14000</x:v>
      </x:c>
      <x:c r="J1175" s="2" t="n">
        <x:v>8500</x:v>
      </x:c>
      <x:c r="K1175" s="2" t="n">
        <x:v>0</x:v>
      </x:c>
      <x:c r="L1175" s="2" t="str">
        <x:v>Returned</x:v>
      </x:c>
    </x:row>
    <x:row r="1176" ht="21" customHeight="1">
      <x:c r="A1176" s="2" t="n">
        <x:v>1171</x:v>
      </x:c>
      <x:c r="B1176" s="2" t="str">
        <x:v>TXN-01171</x:v>
      </x:c>
      <x:c r="C1176" s="2" t="str">
        <x:v>2025-10-03</x:v>
      </x:c>
      <x:c r="D1176" s="2" t="str">
        <x:v>Kano</x:v>
      </x:c>
      <x:c r="E1176" s="2" t="str">
        <x:v>Home</x:v>
      </x:c>
      <x:c r="F1176" s="2" t="str">
        <x:v>Desk lamp</x:v>
      </x:c>
      <x:c r="G1176" s="2" t="str">
        <x:v>Online</x:v>
      </x:c>
      <x:c r="H1176" s="2" t="n">
        <x:v>1</x:v>
      </x:c>
      <x:c r="I1176" s="2" t="n">
        <x:v>12000</x:v>
      </x:c>
      <x:c r="J1176" s="2" t="n">
        <x:v>7200</x:v>
      </x:c>
      <x:c r="K1176" s="2" t="n">
        <x:v>0.1</x:v>
      </x:c>
      <x:c r="L1176" s="2" t="str">
        <x:v> RETURNED </x:v>
      </x:c>
    </x:row>
    <x:row r="1177" ht="21" customHeight="1">
      <x:c r="A1177" s="2" t="n">
        <x:v>1172</x:v>
      </x:c>
      <x:c r="B1177" s="2" t="str">
        <x:v>TXN-01172</x:v>
      </x:c>
      <x:c r="C1177" s="2" t="str">
        <x:v>2025-10-01</x:v>
      </x:c>
      <x:c r="D1177" s="2" t="str">
        <x:v>Kano</x:v>
      </x:c>
      <x:c r="E1177" s="2" t="str">
        <x:v>Electronics</x:v>
      </x:c>
      <x:c r="F1177" s="2" t="str">
        <x:v>Bluetooth speaker</x:v>
      </x:c>
      <x:c r="G1177" s="2" t="str">
        <x:v>In-store</x:v>
      </x:c>
      <x:c r="H1177" s="2" t="n">
        <x:v>4</x:v>
      </x:c>
      <x:c r="I1177" s="2" t="n">
        <x:v>26000</x:v>
      </x:c>
      <x:c r="J1177" s="2" t="n">
        <x:v>17000</x:v>
      </x:c>
      <x:c r="K1177" s="2" t="n">
        <x:v>0</x:v>
      </x:c>
      <x:c r="L1177" s="2" t="str">
        <x:v>Completed</x:v>
      </x:c>
    </x:row>
    <x:row r="1178" ht="21" customHeight="1">
      <x:c r="A1178" s="2" t="n">
        <x:v>1173</x:v>
      </x:c>
      <x:c r="B1178" s="2" t="str">
        <x:v>TXN-01173</x:v>
      </x:c>
      <x:c r="C1178" s="2" t="str">
        <x:v>2025-10-14</x:v>
      </x:c>
      <x:c r="D1178" s="2" t="str">
        <x:v>Lagos</x:v>
      </x:c>
      <x:c r="E1178" s="2" t="str">
        <x:v>Home</x:v>
      </x:c>
      <x:c r="F1178" s="2" t="str">
        <x:v>Bedsheet</x:v>
      </x:c>
      <x:c r="G1178" s="2" t="str">
        <x:v>In-store</x:v>
      </x:c>
      <x:c r="H1178" s="2" t="n">
        <x:v>1</x:v>
      </x:c>
      <x:c r="I1178" s="2" t="n">
        <x:v>14000</x:v>
      </x:c>
      <x:c r="J1178" s="2" t="n">
        <x:v>8500</x:v>
      </x:c>
      <x:c r="K1178" s="2" t="n">
        <x:v>0.15</x:v>
      </x:c>
      <x:c r="L1178" s="2" t="str">
        <x:v>Completed</x:v>
      </x:c>
    </x:row>
    <x:row r="1179" ht="21" customHeight="1">
      <x:c r="A1179" s="2" t="n">
        <x:v>1174</x:v>
      </x:c>
      <x:c r="B1179" s="2" t="str">
        <x:v>TXN-01174</x:v>
      </x:c>
      <x:c r="C1179" s="2" t="str">
        <x:v>2025-10-11</x:v>
      </x:c>
      <x:c r="D1179" s="2" t="str">
        <x:v>Kano</x:v>
      </x:c>
      <x:c r="E1179" s="2" t="str">
        <x:v>Fashion</x:v>
      </x:c>
      <x:c r="F1179" s="2" t="str">
        <x:v>Sneakers</x:v>
      </x:c>
      <x:c r="G1179" s="2" t="str">
        <x:v>In-store</x:v>
      </x:c>
      <x:c r="H1179" s="2" t="n">
        <x:v>3</x:v>
      </x:c>
      <x:c r="I1179" s="2" t="n">
        <x:v>28000</x:v>
      </x:c>
      <x:c r="J1179" s="2" t="n">
        <x:v>17500</x:v>
      </x:c>
      <x:c r="K1179" s="2" t="n">
        <x:v>0.1</x:v>
      </x:c>
      <x:c r="L1179" s="2" t="str">
        <x:v>Completed</x:v>
      </x:c>
    </x:row>
    <x:row r="1180" ht="21" customHeight="1">
      <x:c r="A1180" s="2" t="n">
        <x:v>1175</x:v>
      </x:c>
      <x:c r="B1180" s="2" t="str">
        <x:v>TXN-01175</x:v>
      </x:c>
      <x:c r="C1180" s="2" t="str">
        <x:v>2025-10-15</x:v>
      </x:c>
      <x:c r="D1180" s="2" t="str">
        <x:v>Port Harcourt</x:v>
      </x:c>
      <x:c r="E1180" s="2" t="str">
        <x:v>Beauty</x:v>
      </x:c>
      <x:c r="F1180" s="2" t="str">
        <x:v>Moisturizer</x:v>
      </x:c>
      <x:c r="G1180" s="2" t="str">
        <x:v>Online</x:v>
      </x:c>
      <x:c r="H1180" s="2" t="n">
        <x:v>3</x:v>
      </x:c>
      <x:c r="I1180" s="2" t="n">
        <x:v>6500</x:v>
      </x:c>
      <x:c r="J1180" s="2" t="n">
        <x:v>3500</x:v>
      </x:c>
      <x:c r="K1180" s="2" t="n">
        <x:v>0</x:v>
      </x:c>
      <x:c r="L1180" s="2" t="str">
        <x:v>Completed</x:v>
      </x:c>
    </x:row>
    <x:row r="1181" ht="21" customHeight="1">
      <x:c r="A1181" s="2" t="n">
        <x:v>1176</x:v>
      </x:c>
      <x:c r="B1181" s="2" t="str">
        <x:v>TXN-01176</x:v>
      </x:c>
      <x:c r="C1181" s="2" t="str">
        <x:v>2025-10-07</x:v>
      </x:c>
      <x:c r="D1181" s="2" t="str">
        <x:v>Lagos</x:v>
      </x:c>
      <x:c r="E1181" s="2" t="str">
        <x:v>Beauty</x:v>
      </x:c>
      <x:c r="F1181" s="2" t="str">
        <x:v>Body wash</x:v>
      </x:c>
      <x:c r="G1181" s="2" t="str">
        <x:v>In-store</x:v>
      </x:c>
      <x:c r="H1181" s="2" t="n">
        <x:v>3</x:v>
      </x:c>
      <x:c r="I1181" s="2" t="n">
        <x:v>4500</x:v>
      </x:c>
      <x:c r="J1181" s="2" t="n">
        <x:v>2300</x:v>
      </x:c>
      <x:c r="K1181" s="2" t="n">
        <x:v>0</x:v>
      </x:c>
      <x:c r="L1181" s="2" t="str">
        <x:v>Returned</x:v>
      </x:c>
    </x:row>
    <x:row r="1182" ht="21" customHeight="1">
      <x:c r="A1182" s="2" t="n">
        <x:v>1177</x:v>
      </x:c>
      <x:c r="B1182" s="2" t="str">
        <x:v>TXN-01177</x:v>
      </x:c>
      <x:c r="C1182" s="2" t="str">
        <x:v>2025-10-18</x:v>
      </x:c>
      <x:c r="D1182" s="2" t="str">
        <x:v> lagos </x:v>
      </x:c>
      <x:c r="E1182" s="2" t="str">
        <x:v>Beauty</x:v>
      </x:c>
      <x:c r="F1182" s="2" t="str">
        <x:v>Body wash</x:v>
      </x:c>
      <x:c r="G1182" s="2" t="str">
        <x:v>Online</x:v>
      </x:c>
      <x:c r="H1182" s="2" t="n">
        <x:v>3</x:v>
      </x:c>
      <x:c r="I1182" s="2" t="n">
        <x:v>4500</x:v>
      </x:c>
      <x:c r="J1182" s="2" t="n">
        <x:v>2300</x:v>
      </x:c>
      <x:c r="K1182" s="2" t="n">
        <x:v>0</x:v>
      </x:c>
      <x:c r="L1182" s="2" t="str">
        <x:v>Completed</x:v>
      </x:c>
    </x:row>
    <x:row r="1183" ht="21" customHeight="1">
      <x:c r="A1183" s="2" t="n">
        <x:v>1178</x:v>
      </x:c>
      <x:c r="B1183" s="2" t="str">
        <x:v>TXN-01178</x:v>
      </x:c>
      <x:c r="C1183" s="2" t="str">
        <x:v>2025-10-28</x:v>
      </x:c>
      <x:c r="D1183" s="2" t="str">
        <x:v>Port Harcourt</x:v>
      </x:c>
      <x:c r="E1183" s="2" t="str">
        <x:v>Beauty</x:v>
      </x:c>
      <x:c r="F1183" s="2" t="str">
        <x:v>Body wash</x:v>
      </x:c>
      <x:c r="G1183" s="2" t="str">
        <x:v> in-store </x:v>
      </x:c>
      <x:c r="H1183" s="2" t="n">
        <x:v>1</x:v>
      </x:c>
      <x:c r="I1183" s="2" t="n">
        <x:v>4500</x:v>
      </x:c>
      <x:c r="J1183" s="2" t="n">
        <x:v>2300</x:v>
      </x:c>
      <x:c r="K1183" s="2" t="n">
        <x:v>0.1</x:v>
      </x:c>
      <x:c r="L1183" s="2" t="str">
        <x:v>Completed</x:v>
      </x:c>
    </x:row>
    <x:row r="1184" ht="21" customHeight="1">
      <x:c r="A1184" s="2" t="n">
        <x:v>1179</x:v>
      </x:c>
      <x:c r="B1184" s="2" t="str">
        <x:v>TXN-01179</x:v>
      </x:c>
      <x:c r="C1184" s="2" t="str">
        <x:v>2025-10-27</x:v>
      </x:c>
      <x:c r="D1184" s="2" t="str">
        <x:v>Abuja</x:v>
      </x:c>
      <x:c r="E1184" s="2" t="str">
        <x:v>Beauty</x:v>
      </x:c>
      <x:c r="F1184" s="2" t="str">
        <x:v>Moisturizer</x:v>
      </x:c>
      <x:c r="G1184" s="2" t="str">
        <x:v>In-store</x:v>
      </x:c>
      <x:c r="H1184" s="2" t="n">
        <x:v>1</x:v>
      </x:c>
      <x:c r="I1184" s="2" t="n">
        <x:v>6500</x:v>
      </x:c>
      <x:c r="J1184" s="2" t="n">
        <x:v>3500</x:v>
      </x:c>
      <x:c r="K1184" s="2" t="n">
        <x:v>0.05</x:v>
      </x:c>
      <x:c r="L1184" s="2" t="str">
        <x:v>Completed</x:v>
      </x:c>
    </x:row>
    <x:row r="1185" ht="21" customHeight="1">
      <x:c r="A1185" s="2" t="n">
        <x:v>1180</x:v>
      </x:c>
      <x:c r="B1185" s="2" t="str">
        <x:v>TXN-01180</x:v>
      </x:c>
      <x:c r="C1185" s="2" t="str">
        <x:v>2025-10-16</x:v>
      </x:c>
      <x:c r="D1185" s="2" t="str">
        <x:v>Abuja</x:v>
      </x:c>
      <x:c r="E1185" s="2" t="str">
        <x:v>Electronics</x:v>
      </x:c>
      <x:c r="F1185" s="2" t="str">
        <x:v>Bluetooth speaker</x:v>
      </x:c>
      <x:c r="G1185" s="2" t="str">
        <x:v>Online</x:v>
      </x:c>
      <x:c r="H1185" s="2" t="n">
        <x:v>1</x:v>
      </x:c>
      <x:c r="I1185" s="2" t="n">
        <x:v>26000</x:v>
      </x:c>
      <x:c r="J1185" s="2" t="n">
        <x:v>17000</x:v>
      </x:c>
      <x:c r="K1185" s="2" t="n">
        <x:v>0.1</x:v>
      </x:c>
      <x:c r="L1185" s="2" t="str">
        <x:v> COMPLETED </x:v>
      </x:c>
    </x:row>
    <x:row r="1186" ht="21" customHeight="1">
      <x:c r="A1186" s="2" t="n">
        <x:v>1181</x:v>
      </x:c>
      <x:c r="B1186" s="2" t="str">
        <x:v>TXN-01181</x:v>
      </x:c>
      <x:c r="C1186" s="2" t="str">
        <x:v>2025-11-04</x:v>
      </x:c>
      <x:c r="D1186" s="2" t="str">
        <x:v>Lagos</x:v>
      </x:c>
      <x:c r="E1186" s="2" t="str">
        <x:v>Fashion</x:v>
      </x:c>
      <x:c r="F1186" s="2" t="str">
        <x:v>T-shirt</x:v>
      </x:c>
      <x:c r="G1186" s="2" t="str">
        <x:v>Online</x:v>
      </x:c>
      <x:c r="H1186" s="2" t="n">
        <x:v>1</x:v>
      </x:c>
      <x:c r="I1186" s="2" t="n">
        <x:v>9000</x:v>
      </x:c>
      <x:c r="J1186" s="2" t="n">
        <x:v>5000</x:v>
      </x:c>
      <x:c r="K1186" s="2" t="n">
        <x:v>0</x:v>
      </x:c>
      <x:c r="L1186" s="2" t="str">
        <x:v>Completed</x:v>
      </x:c>
    </x:row>
    <x:row r="1187" ht="21" customHeight="1">
      <x:c r="A1187" s="2" t="n">
        <x:v>1182</x:v>
      </x:c>
      <x:c r="B1187" s="2" t="str">
        <x:v>TXN-01182</x:v>
      </x:c>
      <x:c r="C1187" s="2" t="str">
        <x:v>2025-11-25</x:v>
      </x:c>
      <x:c r="D1187" s="2" t="str">
        <x:v>Lagos</x:v>
      </x:c>
      <x:c r="E1187" s="2" t="str">
        <x:v>Fashion</x:v>
      </x:c>
      <x:c r="F1187" s="2" t="str">
        <x:v>Handbag</x:v>
      </x:c>
      <x:c r="G1187" s="2" t="str">
        <x:v>In-store</x:v>
      </x:c>
      <x:c r="H1187" s="2" t="n">
        <x:v>1</x:v>
      </x:c>
      <x:c r="I1187" s="2" t="n">
        <x:v>22000</x:v>
      </x:c>
      <x:c r="J1187" s="2" t="n">
        <x:v>13500</x:v>
      </x:c>
      <x:c r="K1187" s="2" t="n">
        <x:v>0.1</x:v>
      </x:c>
      <x:c r="L1187" s="2" t="str">
        <x:v>Completed</x:v>
      </x:c>
    </x:row>
    <x:row r="1188" ht="21" customHeight="1">
      <x:c r="A1188" s="2" t="n">
        <x:v>1183</x:v>
      </x:c>
      <x:c r="B1188" s="2" t="str">
        <x:v>TXN-01183</x:v>
      </x:c>
      <x:c r="C1188" s="2" t="str">
        <x:v>2025-11-01</x:v>
      </x:c>
      <x:c r="D1188" s="2" t="str">
        <x:v>Lagos</x:v>
      </x:c>
      <x:c r="E1188" s="2" t="str">
        <x:v>Beauty</x:v>
      </x:c>
      <x:c r="F1188" s="2" t="str">
        <x:v>Body wash</x:v>
      </x:c>
      <x:c r="G1188" s="2" t="str">
        <x:v>Online</x:v>
      </x:c>
      <x:c r="H1188" s="2" t="n">
        <x:v>2</x:v>
      </x:c>
      <x:c r="I1188" s="2" t="n">
        <x:v>4500</x:v>
      </x:c>
      <x:c r="J1188" s="2" t="n">
        <x:v>2300</x:v>
      </x:c>
      <x:c r="K1188" s="2" t="n">
        <x:v>0.15</x:v>
      </x:c>
      <x:c r="L1188" s="2" t="str">
        <x:v>Completed</x:v>
      </x:c>
    </x:row>
    <x:row r="1189" ht="21" customHeight="1">
      <x:c r="A1189" s="2" t="n">
        <x:v>1184</x:v>
      </x:c>
      <x:c r="B1189" s="2" t="str">
        <x:v>TXN-01184</x:v>
      </x:c>
      <x:c r="C1189" s="2" t="str">
        <x:v>2025-11-29</x:v>
      </x:c>
      <x:c r="D1189" s="2" t="str">
        <x:v> lagos </x:v>
      </x:c>
      <x:c r="E1189" s="2" t="str">
        <x:v>Electronics</x:v>
      </x:c>
      <x:c r="F1189" s="2" t="str">
        <x:v>Bluetooth speaker</x:v>
      </x:c>
      <x:c r="G1189" s="2" t="str">
        <x:v>Online</x:v>
      </x:c>
      <x:c r="H1189" s="2" t="n">
        <x:v>2</x:v>
      </x:c>
      <x:c r="I1189" s="2" t="n">
        <x:v>26000</x:v>
      </x:c>
      <x:c r="J1189" s="2" t="n">
        <x:v>17000</x:v>
      </x:c>
      <x:c r="K1189" s="2" t="n">
        <x:v>0</x:v>
      </x:c>
      <x:c r="L1189" s="2" t="str">
        <x:v>Completed</x:v>
      </x:c>
    </x:row>
    <x:row r="1190" ht="21" customHeight="1">
      <x:c r="A1190" s="2" t="n">
        <x:v>1185</x:v>
      </x:c>
      <x:c r="B1190" s="2" t="str">
        <x:v>TXN-01185</x:v>
      </x:c>
      <x:c r="C1190" s="2" t="str">
        <x:v>2025-11-26</x:v>
      </x:c>
      <x:c r="D1190" s="2" t="str">
        <x:v>Lagos</x:v>
      </x:c>
      <x:c r="E1190" s="2" t="str">
        <x:v>Fashion</x:v>
      </x:c>
      <x:c r="F1190" s="2" t="str">
        <x:v>Sneakers</x:v>
      </x:c>
      <x:c r="G1190" s="2" t="str">
        <x:v>In-store</x:v>
      </x:c>
      <x:c r="H1190" s="2" t="n">
        <x:v>1</x:v>
      </x:c>
      <x:c r="I1190" s="2" t="n">
        <x:v>28000</x:v>
      </x:c>
      <x:c r="J1190" s="2" t="n">
        <x:v>17500</x:v>
      </x:c>
      <x:c r="K1190" s="2" t="n">
        <x:v>0.05</x:v>
      </x:c>
      <x:c r="L1190" s="2" t="str">
        <x:v>Completed</x:v>
      </x:c>
    </x:row>
    <x:row r="1191" ht="21" customHeight="1">
      <x:c r="A1191" s="2" t="n">
        <x:v>1186</x:v>
      </x:c>
      <x:c r="B1191" s="2" t="str">
        <x:v>TXN-01186</x:v>
      </x:c>
      <x:c r="C1191" s="2" t="str">
        <x:v>2025-11-16</x:v>
      </x:c>
      <x:c r="D1191" s="2" t="str">
        <x:v>Port Harcourt</x:v>
      </x:c>
      <x:c r="E1191" s="2" t="str">
        <x:v>Electronics</x:v>
      </x:c>
      <x:c r="F1191" s="2" t="str">
        <x:v>Power bank</x:v>
      </x:c>
      <x:c r="G1191" s="2" t="str">
        <x:v>Online</x:v>
      </x:c>
      <x:c r="H1191" s="2" t="n">
        <x:v>3</x:v>
      </x:c>
      <x:c r="I1191" s="2" t="n">
        <x:v>15000</x:v>
      </x:c>
      <x:c r="J1191" s="2" t="n">
        <x:v>9500</x:v>
      </x:c>
      <x:c r="K1191" s="2" t="n">
        <x:v>0.1</x:v>
      </x:c>
      <x:c r="L1191" s="2" t="str">
        <x:v>Completed</x:v>
      </x:c>
    </x:row>
    <x:row r="1192" ht="21" customHeight="1">
      <x:c r="A1192" s="2" t="n">
        <x:v>1187</x:v>
      </x:c>
      <x:c r="B1192" s="2" t="str">
        <x:v>TXN-01187</x:v>
      </x:c>
      <x:c r="C1192" s="2" t="str">
        <x:v>2025-11-28</x:v>
      </x:c>
      <x:c r="D1192" s="2" t="str">
        <x:v>Port Harcourt</x:v>
      </x:c>
      <x:c r="E1192" s="2" t="str">
        <x:v>Beauty</x:v>
      </x:c>
      <x:c r="F1192" s="2" t="str">
        <x:v>Body wash</x:v>
      </x:c>
      <x:c r="G1192" s="2" t="str">
        <x:v>Online</x:v>
      </x:c>
      <x:c r="H1192" s="2" t="n">
        <x:v>1</x:v>
      </x:c>
      <x:c r="I1192" s="2" t="n">
        <x:v>4500</x:v>
      </x:c>
      <x:c r="J1192" s="2" t="n">
        <x:v>2300</x:v>
      </x:c>
      <x:c r="K1192" s="2" t="n">
        <x:v>0.1</x:v>
      </x:c>
      <x:c r="L1192" s="2" t="str">
        <x:v>Completed</x:v>
      </x:c>
    </x:row>
    <x:row r="1193" ht="21" customHeight="1">
      <x:c r="A1193" s="2" t="n">
        <x:v>1188</x:v>
      </x:c>
      <x:c r="B1193" s="2" t="str">
        <x:v>TXN-01188</x:v>
      </x:c>
      <x:c r="C1193" s="2" t="str">
        <x:v>2025-11-15</x:v>
      </x:c>
      <x:c r="D1193" s="2" t="str">
        <x:v>Lagos</x:v>
      </x:c>
      <x:c r="E1193" s="2" t="str">
        <x:v>Electronics</x:v>
      </x:c>
      <x:c r="F1193" s="2" t="str">
        <x:v>Headphones</x:v>
      </x:c>
      <x:c r="G1193" s="2" t="str">
        <x:v>Online</x:v>
      </x:c>
      <x:c r="H1193" s="2" t="n">
        <x:v>3</x:v>
      </x:c>
      <x:c r="I1193" s="2" t="n">
        <x:v>18000</x:v>
      </x:c>
      <x:c r="J1193" s="2" t="n">
        <x:v>10500</x:v>
      </x:c>
      <x:c r="K1193" s="2" t="n">
        <x:v>0</x:v>
      </x:c>
      <x:c r="L1193" s="2" t="str">
        <x:v>Completed</x:v>
      </x:c>
    </x:row>
    <x:row r="1194" ht="21" customHeight="1">
      <x:c r="A1194" s="2" t="n">
        <x:v>1189</x:v>
      </x:c>
      <x:c r="B1194" s="2" t="str">
        <x:v>TXN-01189</x:v>
      </x:c>
      <x:c r="C1194" s="2" t="str">
        <x:v>2025-11-08</x:v>
      </x:c>
      <x:c r="D1194" s="2" t="str">
        <x:v>Lagos</x:v>
      </x:c>
      <x:c r="E1194" s="2" t="str">
        <x:v>Beauty</x:v>
      </x:c>
      <x:c r="F1194" s="2" t="str">
        <x:v>Moisturizer</x:v>
      </x:c>
      <x:c r="G1194" s="2" t="str">
        <x:v> in-store </x:v>
      </x:c>
      <x:c r="H1194" s="2" t="n">
        <x:v>1</x:v>
      </x:c>
      <x:c r="I1194" s="2" t="n">
        <x:v>6500</x:v>
      </x:c>
      <x:c r="J1194" s="2" t="n">
        <x:v>3500</x:v>
      </x:c>
      <x:c r="K1194" s="2" t="n">
        <x:v>0</x:v>
      </x:c>
      <x:c r="L1194" s="2" t="str">
        <x:v> COMPLETED </x:v>
      </x:c>
    </x:row>
    <x:row r="1195" ht="21" customHeight="1">
      <x:c r="A1195" s="2" t="n">
        <x:v>1190</x:v>
      </x:c>
      <x:c r="B1195" s="2" t="str">
        <x:v>TXN-01190</x:v>
      </x:c>
      <x:c r="C1195" s="2" t="str">
        <x:v>2025-11-11</x:v>
      </x:c>
      <x:c r="D1195" s="2" t="str">
        <x:v>Lagos</x:v>
      </x:c>
      <x:c r="E1195" s="2" t="str">
        <x:v>Electronics</x:v>
      </x:c>
      <x:c r="F1195" s="2" t="str">
        <x:v>Power bank</x:v>
      </x:c>
      <x:c r="G1195" s="2" t="str">
        <x:v>Online</x:v>
      </x:c>
      <x:c r="H1195" s="2" t="n">
        <x:v>2</x:v>
      </x:c>
      <x:c r="I1195" s="2" t="n">
        <x:v>15000</x:v>
      </x:c>
      <x:c r="J1195" s="2" t="n">
        <x:v>9500</x:v>
      </x:c>
      <x:c r="K1195" s="2" t="n">
        <x:v>0</x:v>
      </x:c>
      <x:c r="L1195" s="2" t="str">
        <x:v>Completed</x:v>
      </x:c>
    </x:row>
    <x:row r="1196" ht="21" customHeight="1">
      <x:c r="A1196" s="2" t="n">
        <x:v>1191</x:v>
      </x:c>
      <x:c r="B1196" s="2" t="str">
        <x:v>TXN-01191</x:v>
      </x:c>
      <x:c r="C1196" s="2" t="str">
        <x:v>2025-11-02</x:v>
      </x:c>
      <x:c r="D1196" s="2" t="str">
        <x:v> port harcourt </x:v>
      </x:c>
      <x:c r="E1196" s="2" t="str">
        <x:v>Electronics</x:v>
      </x:c>
      <x:c r="F1196" s="2" t="str">
        <x:v>Headphones</x:v>
      </x:c>
      <x:c r="G1196" s="2" t="str">
        <x:v>Online</x:v>
      </x:c>
      <x:c r="H1196" s="2" t="n">
        <x:v>2</x:v>
      </x:c>
      <x:c r="I1196" s="2" t="n">
        <x:v>18000</x:v>
      </x:c>
      <x:c r="J1196" s="2" t="n">
        <x:v>10500</x:v>
      </x:c>
      <x:c r="K1196" s="2" t="n">
        <x:v>0</x:v>
      </x:c>
      <x:c r="L1196" s="2" t="str">
        <x:v>Completed</x:v>
      </x:c>
    </x:row>
    <x:row r="1197" ht="21" customHeight="1">
      <x:c r="A1197" s="2" t="n">
        <x:v>1192</x:v>
      </x:c>
      <x:c r="B1197" s="2" t="str">
        <x:v>TXN-01192</x:v>
      </x:c>
      <x:c r="C1197" s="2" t="str">
        <x:v>2025-11-27</x:v>
      </x:c>
      <x:c r="D1197" s="2" t="str">
        <x:v>Abuja</x:v>
      </x:c>
      <x:c r="E1197" s="2" t="str">
        <x:v>Electronics</x:v>
      </x:c>
      <x:c r="F1197" s="2" t="str">
        <x:v>Power bank</x:v>
      </x:c>
      <x:c r="G1197" s="2" t="str">
        <x:v>Online</x:v>
      </x:c>
      <x:c r="H1197" s="2" t="n">
        <x:v>3</x:v>
      </x:c>
      <x:c r="I1197" s="2" t="n">
        <x:v>15000</x:v>
      </x:c>
      <x:c r="J1197" s="2" t="n">
        <x:v>9500</x:v>
      </x:c>
      <x:c r="K1197" s="2" t="n">
        <x:v>0</x:v>
      </x:c>
      <x:c r="L1197" s="2" t="str">
        <x:v>Completed</x:v>
      </x:c>
    </x:row>
    <x:row r="1198" ht="21" customHeight="1">
      <x:c r="A1198" s="2" t="n">
        <x:v>1193</x:v>
      </x:c>
      <x:c r="B1198" s="2" t="str">
        <x:v>TXN-01193</x:v>
      </x:c>
      <x:c r="C1198" s="2" t="str">
        <x:v>2025-11-20</x:v>
      </x:c>
      <x:c r="D1198" s="2" t="str">
        <x:v>Port Harcourt</x:v>
      </x:c>
      <x:c r="E1198" s="2" t="str">
        <x:v>Fashion</x:v>
      </x:c>
      <x:c r="F1198" s="2" t="str">
        <x:v>Sneakers</x:v>
      </x:c>
      <x:c r="G1198" s="2" t="str">
        <x:v>Online</x:v>
      </x:c>
      <x:c r="H1198" s="2" t="n">
        <x:v>2</x:v>
      </x:c>
      <x:c r="I1198" s="2" t="n">
        <x:v>28000</x:v>
      </x:c>
      <x:c r="J1198" s="2" t="n">
        <x:v>17500</x:v>
      </x:c>
      <x:c r="K1198" s="2" t="n">
        <x:v>0</x:v>
      </x:c>
      <x:c r="L1198" s="2" t="str">
        <x:v>Completed</x:v>
      </x:c>
    </x:row>
    <x:row r="1199" ht="21" customHeight="1">
      <x:c r="A1199" s="2" t="n">
        <x:v>1194</x:v>
      </x:c>
      <x:c r="B1199" s="2" t="str">
        <x:v>TXN-01194</x:v>
      </x:c>
      <x:c r="C1199" s="2" t="str">
        <x:v>2025-11-24</x:v>
      </x:c>
      <x:c r="D1199" s="2" t="str">
        <x:v>Lagos</x:v>
      </x:c>
      <x:c r="E1199" s="2" t="str">
        <x:v>Electronics</x:v>
      </x:c>
      <x:c r="F1199" s="2" t="str">
        <x:v>Headphones</x:v>
      </x:c>
      <x:c r="G1199" s="2" t="str">
        <x:v>Online</x:v>
      </x:c>
      <x:c r="H1199" s="2" t="n">
        <x:v>1</x:v>
      </x:c>
      <x:c r="I1199" s="2" t="n">
        <x:v>18000</x:v>
      </x:c>
      <x:c r="J1199" s="2" t="n">
        <x:v>10500</x:v>
      </x:c>
      <x:c r="K1199" s="2" t="n">
        <x:v>0</x:v>
      </x:c>
      <x:c r="L1199" s="2" t="str">
        <x:v>Completed</x:v>
      </x:c>
    </x:row>
    <x:row r="1200" ht="21" customHeight="1">
      <x:c r="A1200" s="2" t="n">
        <x:v>1195</x:v>
      </x:c>
      <x:c r="B1200" s="2" t="str">
        <x:v>TXN-01195</x:v>
      </x:c>
      <x:c r="C1200" s="2" t="str">
        <x:v>2025-11-29</x:v>
      </x:c>
      <x:c r="D1200" s="2" t="str">
        <x:v>Lagos</x:v>
      </x:c>
      <x:c r="E1200" s="2" t="str">
        <x:v>Electronics</x:v>
      </x:c>
      <x:c r="F1200" s="2" t="str">
        <x:v>Headphones</x:v>
      </x:c>
      <x:c r="G1200" s="2" t="str">
        <x:v>In-store</x:v>
      </x:c>
      <x:c r="H1200" s="2" t="n">
        <x:v>1</x:v>
      </x:c>
      <x:c r="I1200" s="2" t="n">
        <x:v>18000</x:v>
      </x:c>
      <x:c r="J1200" s="2" t="n">
        <x:v>10500</x:v>
      </x:c>
      <x:c r="K1200" s="2" t="n">
        <x:v>0.1</x:v>
      </x:c>
      <x:c r="L1200" s="2" t="str">
        <x:v>Completed</x:v>
      </x:c>
    </x:row>
    <x:row r="1201" ht="21" customHeight="1">
      <x:c r="A1201" s="2" t="n">
        <x:v>1196</x:v>
      </x:c>
      <x:c r="B1201" s="2" t="str">
        <x:v>TXN-01196</x:v>
      </x:c>
      <x:c r="C1201" s="2" t="str">
        <x:v>2025-11-22</x:v>
      </x:c>
      <x:c r="D1201" s="2" t="str">
        <x:v>Lagos</x:v>
      </x:c>
      <x:c r="E1201" s="2" t="str">
        <x:v>Fashion</x:v>
      </x:c>
      <x:c r="F1201" s="2" t="str">
        <x:v>Sneakers</x:v>
      </x:c>
      <x:c r="G1201" s="2" t="str">
        <x:v>Online</x:v>
      </x:c>
      <x:c r="H1201" s="2" t="n">
        <x:v>1</x:v>
      </x:c>
      <x:c r="I1201" s="2" t="n">
        <x:v>28000</x:v>
      </x:c>
      <x:c r="J1201" s="2" t="n">
        <x:v>17500</x:v>
      </x:c>
      <x:c r="K1201" s="2" t="n">
        <x:v>0</x:v>
      </x:c>
      <x:c r="L1201" s="2" t="str">
        <x:v>Returned</x:v>
      </x:c>
    </x:row>
    <x:row r="1202" ht="21" customHeight="1">
      <x:c r="A1202" s="2" t="n">
        <x:v>1197</x:v>
      </x:c>
      <x:c r="B1202" s="2" t="str">
        <x:v>TXN-01197</x:v>
      </x:c>
      <x:c r="C1202" s="2" t="str">
        <x:v>2025-11-22</x:v>
      </x:c>
      <x:c r="D1202" s="2" t="str">
        <x:v>Kano</x:v>
      </x:c>
      <x:c r="E1202" s="2" t="str">
        <x:v>Fashion</x:v>
      </x:c>
      <x:c r="F1202" s="2" t="str">
        <x:v>T-shirt</x:v>
      </x:c>
      <x:c r="G1202" s="2" t="str">
        <x:v>Online</x:v>
      </x:c>
      <x:c r="H1202" s="2" t="n">
        <x:v>1</x:v>
      </x:c>
      <x:c r="I1202" s="2" t="n">
        <x:v>9000</x:v>
      </x:c>
      <x:c r="J1202" s="2" t="n">
        <x:v>5000</x:v>
      </x:c>
      <x:c r="K1202" s="2" t="n">
        <x:v>0</x:v>
      </x:c>
      <x:c r="L1202" s="2" t="str">
        <x:v>Returned</x:v>
      </x:c>
    </x:row>
    <x:row r="1203" ht="21" customHeight="1">
      <x:c r="A1203" s="2" t="n">
        <x:v>1198</x:v>
      </x:c>
      <x:c r="B1203" s="2" t="str">
        <x:v>TXN-01198</x:v>
      </x:c>
      <x:c r="C1203" s="2" t="str">
        <x:v>2025-11-03</x:v>
      </x:c>
      <x:c r="D1203" s="2" t="str">
        <x:v> lagos </x:v>
      </x:c>
      <x:c r="E1203" s="2" t="str">
        <x:v>Fashion</x:v>
      </x:c>
      <x:c r="F1203" s="2" t="str">
        <x:v>Handbag</x:v>
      </x:c>
      <x:c r="G1203" s="2" t="str">
        <x:v>Online</x:v>
      </x:c>
      <x:c r="H1203" s="2" t="n">
        <x:v>4</x:v>
      </x:c>
      <x:c r="I1203" s="2" t="n">
        <x:v>22000</x:v>
      </x:c>
      <x:c r="J1203" s="2" t="n">
        <x:v>13500</x:v>
      </x:c>
      <x:c r="K1203" s="2" t="n">
        <x:v>0</x:v>
      </x:c>
      <x:c r="L1203" s="2" t="str">
        <x:v> COMPLETED </x:v>
      </x:c>
    </x:row>
    <x:row r="1204" ht="21" customHeight="1">
      <x:c r="A1204" s="2" t="n">
        <x:v>1199</x:v>
      </x:c>
      <x:c r="B1204" s="2" t="str">
        <x:v>TXN-01199</x:v>
      </x:c>
      <x:c r="C1204" s="2" t="str">
        <x:v>2025-11-10</x:v>
      </x:c>
      <x:c r="D1204" s="2" t="str">
        <x:v>Abuja</x:v>
      </x:c>
      <x:c r="E1204" s="2" t="str">
        <x:v>Fashion</x:v>
      </x:c>
      <x:c r="F1204" s="2" t="str">
        <x:v>Sneakers</x:v>
      </x:c>
      <x:c r="G1204" s="2" t="str">
        <x:v>In-store</x:v>
      </x:c>
      <x:c r="H1204" s="2" t="n">
        <x:v>1</x:v>
      </x:c>
      <x:c r="I1204" s="2" t="n">
        <x:v>28000</x:v>
      </x:c>
      <x:c r="J1204" s="2" t="n">
        <x:v>17500</x:v>
      </x:c>
      <x:c r="K1204" s="2" t="n">
        <x:v>0.05</x:v>
      </x:c>
      <x:c r="L1204" s="2" t="str">
        <x:v>Completed</x:v>
      </x:c>
    </x:row>
    <x:row r="1205" ht="21" customHeight="1">
      <x:c r="A1205" s="2" t="n">
        <x:v>1200</x:v>
      </x:c>
      <x:c r="B1205" s="2" t="str">
        <x:v>TXN-01200</x:v>
      </x:c>
      <x:c r="C1205" s="2" t="str">
        <x:v>2025-11-14</x:v>
      </x:c>
      <x:c r="D1205" s="2" t="str">
        <x:v>Port Harcourt</x:v>
      </x:c>
      <x:c r="E1205" s="2" t="str">
        <x:v>Fashion</x:v>
      </x:c>
      <x:c r="F1205" s="2" t="str">
        <x:v>Handbag</x:v>
      </x:c>
      <x:c r="G1205" s="2" t="str">
        <x:v> online </x:v>
      </x:c>
      <x:c r="H1205" s="2" t="n">
        <x:v>4</x:v>
      </x:c>
      <x:c r="I1205" s="2" t="n">
        <x:v>22000</x:v>
      </x:c>
      <x:c r="J1205" s="2" t="n">
        <x:v>13500</x:v>
      </x:c>
      <x:c r="K1205" s="2" t="n">
        <x:v>0</x:v>
      </x:c>
      <x:c r="L1205" s="2" t="str">
        <x:v>Completed</x:v>
      </x:c>
    </x:row>
    <x:row r="1206" ht="21" customHeight="1">
      <x:c r="A1206" s="2" t="n">
        <x:v>1201</x:v>
      </x:c>
      <x:c r="B1206" s="2" t="str">
        <x:v>TXN-01201</x:v>
      </x:c>
      <x:c r="C1206" s="2" t="str">
        <x:v>2025-11-17</x:v>
      </x:c>
      <x:c r="D1206" s="2" t="str">
        <x:v>Port Harcourt</x:v>
      </x:c>
      <x:c r="E1206" s="2" t="str">
        <x:v>Beauty</x:v>
      </x:c>
      <x:c r="F1206" s="2" t="str">
        <x:v>Perfume</x:v>
      </x:c>
      <x:c r="G1206" s="2" t="str">
        <x:v>Online</x:v>
      </x:c>
      <x:c r="H1206" s="2" t="n">
        <x:v>1</x:v>
      </x:c>
      <x:c r="I1206" s="2" t="n">
        <x:v>17000</x:v>
      </x:c>
      <x:c r="J1206" s="2" t="n">
        <x:v>9000</x:v>
      </x:c>
      <x:c r="K1206" s="2" t="n">
        <x:v>0.1</x:v>
      </x:c>
      <x:c r="L1206" s="2" t="str">
        <x:v>Completed</x:v>
      </x:c>
    </x:row>
    <x:row r="1207" ht="21" customHeight="1">
      <x:c r="A1207" s="2" t="n">
        <x:v>1202</x:v>
      </x:c>
      <x:c r="B1207" s="2" t="str">
        <x:v>TXN-01202</x:v>
      </x:c>
      <x:c r="C1207" s="2" t="str">
        <x:v>2025-11-03</x:v>
      </x:c>
      <x:c r="D1207" s="2" t="str">
        <x:v>Lagos</x:v>
      </x:c>
      <x:c r="E1207" s="2" t="str">
        <x:v>Fashion</x:v>
      </x:c>
      <x:c r="F1207" s="2" t="str">
        <x:v>Sneakers</x:v>
      </x:c>
      <x:c r="G1207" s="2" t="str">
        <x:v>Online</x:v>
      </x:c>
      <x:c r="H1207" s="2" t="n">
        <x:v>1</x:v>
      </x:c>
      <x:c r="I1207" s="2" t="n">
        <x:v>28000</x:v>
      </x:c>
      <x:c r="J1207" s="2" t="n">
        <x:v>17500</x:v>
      </x:c>
      <x:c r="K1207" s="2" t="n">
        <x:v>0</x:v>
      </x:c>
      <x:c r="L1207" s="2" t="str">
        <x:v>Completed</x:v>
      </x:c>
    </x:row>
    <x:row r="1208" ht="21" customHeight="1">
      <x:c r="A1208" s="2" t="n">
        <x:v>1203</x:v>
      </x:c>
      <x:c r="B1208" s="2" t="str">
        <x:v>TXN-01203</x:v>
      </x:c>
      <x:c r="C1208" s="2" t="str">
        <x:v>2025-11-11</x:v>
      </x:c>
      <x:c r="D1208" s="2" t="str">
        <x:v>Lagos</x:v>
      </x:c>
      <x:c r="E1208" s="2" t="str">
        <x:v>Home</x:v>
      </x:c>
      <x:c r="F1208" s="2" t="str">
        <x:v>Cookware set</x:v>
      </x:c>
      <x:c r="G1208" s="2" t="str">
        <x:v>In-store</x:v>
      </x:c>
      <x:c r="H1208" s="2" t="n">
        <x:v>3</x:v>
      </x:c>
      <x:c r="I1208" s="2" t="n">
        <x:v>35000</x:v>
      </x:c>
      <x:c r="J1208" s="2" t="n">
        <x:v>22500</x:v>
      </x:c>
      <x:c r="K1208" s="2" t="n">
        <x:v>0</x:v>
      </x:c>
      <x:c r="L1208" s="2" t="str">
        <x:v>Completed</x:v>
      </x:c>
    </x:row>
    <x:row r="1209" ht="21" customHeight="1">
      <x:c r="A1209" s="2" t="n">
        <x:v>1204</x:v>
      </x:c>
      <x:c r="B1209" s="2" t="str">
        <x:v>TXN-01204</x:v>
      </x:c>
      <x:c r="C1209" s="2" t="str">
        <x:v>2025-11-20</x:v>
      </x:c>
      <x:c r="D1209" s="2" t="str">
        <x:v>Abuja</x:v>
      </x:c>
      <x:c r="E1209" s="2" t="str">
        <x:v>Home</x:v>
      </x:c>
      <x:c r="F1209" s="2" t="str">
        <x:v>Bedsheet</x:v>
      </x:c>
      <x:c r="G1209" s="2" t="str">
        <x:v>Online</x:v>
      </x:c>
      <x:c r="H1209" s="2" t="n">
        <x:v>2</x:v>
      </x:c>
      <x:c r="I1209" s="2" t="n">
        <x:v>14000</x:v>
      </x:c>
      <x:c r="J1209" s="2" t="n">
        <x:v>8500</x:v>
      </x:c>
      <x:c r="K1209" s="2" t="n">
        <x:v>0.1</x:v>
      </x:c>
      <x:c r="L1209" s="2" t="str">
        <x:v>Completed</x:v>
      </x:c>
    </x:row>
    <x:row r="1210" ht="21" customHeight="1">
      <x:c r="A1210" s="2" t="n">
        <x:v>1205</x:v>
      </x:c>
      <x:c r="B1210" s="2" t="str">
        <x:v>TXN-01205</x:v>
      </x:c>
      <x:c r="C1210" s="2" t="str">
        <x:v>2025-11-12</x:v>
      </x:c>
      <x:c r="D1210" s="2" t="str">
        <x:v> abuja </x:v>
      </x:c>
      <x:c r="E1210" s="2" t="str">
        <x:v>Fashion</x:v>
      </x:c>
      <x:c r="F1210" s="2" t="str">
        <x:v>T-shirt</x:v>
      </x:c>
      <x:c r="G1210" s="2" t="str">
        <x:v>In-store</x:v>
      </x:c>
      <x:c r="H1210" s="2" t="n">
        <x:v>1</x:v>
      </x:c>
      <x:c r="I1210" s="2" t="n">
        <x:v>9000</x:v>
      </x:c>
      <x:c r="J1210" s="2" t="n">
        <x:v>5000</x:v>
      </x:c>
      <x:c r="K1210" s="2" t="n">
        <x:v>0.05</x:v>
      </x:c>
      <x:c r="L1210" s="2" t="str">
        <x:v>Completed</x:v>
      </x:c>
    </x:row>
    <x:row r="1211" ht="21" customHeight="1">
      <x:c r="A1211" s="2" t="n">
        <x:v>1206</x:v>
      </x:c>
      <x:c r="B1211" s="2" t="str">
        <x:v>TXN-01206</x:v>
      </x:c>
      <x:c r="C1211" s="2" t="str">
        <x:v>2025-11-20</x:v>
      </x:c>
      <x:c r="D1211" s="2" t="str">
        <x:v>Lagos</x:v>
      </x:c>
      <x:c r="E1211" s="2" t="str">
        <x:v>Electronics</x:v>
      </x:c>
      <x:c r="F1211" s="2" t="str">
        <x:v>Power bank</x:v>
      </x:c>
      <x:c r="G1211" s="2" t="str">
        <x:v>Online</x:v>
      </x:c>
      <x:c r="H1211" s="2" t="n">
        <x:v>1</x:v>
      </x:c>
      <x:c r="I1211" s="2" t="n">
        <x:v>15000</x:v>
      </x:c>
      <x:c r="J1211" s="2" t="n">
        <x:v>9500</x:v>
      </x:c>
      <x:c r="K1211" s="2" t="n">
        <x:v>0</x:v>
      </x:c>
      <x:c r="L1211" s="2" t="str">
        <x:v>Completed</x:v>
      </x:c>
    </x:row>
    <x:row r="1212" ht="21" customHeight="1">
      <x:c r="A1212" s="2" t="n">
        <x:v>1207</x:v>
      </x:c>
      <x:c r="B1212" s="2" t="str">
        <x:v>TXN-01207</x:v>
      </x:c>
      <x:c r="C1212" s="2" t="str">
        <x:v>2025-11-27</x:v>
      </x:c>
      <x:c r="D1212" s="2" t="str">
        <x:v>Lagos</x:v>
      </x:c>
      <x:c r="E1212" s="2" t="str">
        <x:v>Home</x:v>
      </x:c>
      <x:c r="F1212" s="2" t="str">
        <x:v>Bedsheet</x:v>
      </x:c>
      <x:c r="G1212" s="2" t="str">
        <x:v>Online</x:v>
      </x:c>
      <x:c r="H1212" s="2" t="n">
        <x:v>1</x:v>
      </x:c>
      <x:c r="I1212" s="2" t="n">
        <x:v>14000</x:v>
      </x:c>
      <x:c r="J1212" s="2" t="n">
        <x:v>8500</x:v>
      </x:c>
      <x:c r="K1212" s="2" t="n">
        <x:v>0.05</x:v>
      </x:c>
      <x:c r="L1212" s="2" t="str">
        <x:v> RETURNED </x:v>
      </x:c>
    </x:row>
    <x:row r="1213" ht="21" customHeight="1">
      <x:c r="A1213" s="2" t="n">
        <x:v>1208</x:v>
      </x:c>
      <x:c r="B1213" s="2" t="str">
        <x:v>TXN-01208</x:v>
      </x:c>
      <x:c r="C1213" s="2" t="str">
        <x:v>2025-11-08</x:v>
      </x:c>
      <x:c r="D1213" s="2" t="str">
        <x:v>Abuja</x:v>
      </x:c>
      <x:c r="E1213" s="2" t="str">
        <x:v>Fashion</x:v>
      </x:c>
      <x:c r="F1213" s="2" t="str">
        <x:v>Sneakers</x:v>
      </x:c>
      <x:c r="G1213" s="2" t="str">
        <x:v>Online</x:v>
      </x:c>
      <x:c r="H1213" s="2" t="n">
        <x:v>1</x:v>
      </x:c>
      <x:c r="I1213" s="2" t="n">
        <x:v>28000</x:v>
      </x:c>
      <x:c r="J1213" s="2" t="n">
        <x:v>17500</x:v>
      </x:c>
      <x:c r="K1213" s="2" t="n">
        <x:v>0</x:v>
      </x:c>
      <x:c r="L1213" s="2" t="str">
        <x:v>Completed</x:v>
      </x:c>
    </x:row>
    <x:row r="1214" ht="21" customHeight="1">
      <x:c r="A1214" s="2" t="n">
        <x:v>1209</x:v>
      </x:c>
      <x:c r="B1214" s="2" t="str">
        <x:v>TXN-01209</x:v>
      </x:c>
      <x:c r="C1214" s="2" t="str">
        <x:v>2025-11-15</x:v>
      </x:c>
      <x:c r="D1214" s="2" t="str">
        <x:v>Abuja</x:v>
      </x:c>
      <x:c r="E1214" s="2" t="str">
        <x:v>Fashion</x:v>
      </x:c>
      <x:c r="F1214" s="2" t="str">
        <x:v>T-shirt</x:v>
      </x:c>
      <x:c r="G1214" s="2" t="str">
        <x:v>Online</x:v>
      </x:c>
      <x:c r="H1214" s="2" t="n">
        <x:v>3</x:v>
      </x:c>
      <x:c r="I1214" s="2" t="n">
        <x:v>9000</x:v>
      </x:c>
      <x:c r="J1214" s="2" t="n">
        <x:v>5000</x:v>
      </x:c>
      <x:c r="K1214" s="2" t="n">
        <x:v>0.05</x:v>
      </x:c>
      <x:c r="L1214" s="2" t="str">
        <x:v>Completed</x:v>
      </x:c>
    </x:row>
    <x:row r="1215" ht="21" customHeight="1">
      <x:c r="A1215" s="2" t="n">
        <x:v>1210</x:v>
      </x:c>
      <x:c r="B1215" s="2" t="str">
        <x:v>TXN-01210</x:v>
      </x:c>
      <x:c r="C1215" s="2" t="str">
        <x:v>2025-11-16</x:v>
      </x:c>
      <x:c r="D1215" s="2" t="str">
        <x:v>Lagos</x:v>
      </x:c>
      <x:c r="E1215" s="2" t="str">
        <x:v>Electronics</x:v>
      </x:c>
      <x:c r="F1215" s="2" t="str">
        <x:v>Headphones</x:v>
      </x:c>
      <x:c r="G1215" s="2" t="str">
        <x:v>In-store</x:v>
      </x:c>
      <x:c r="H1215" s="2" t="n">
        <x:v>1</x:v>
      </x:c>
      <x:c r="I1215" s="2" t="n">
        <x:v>18000</x:v>
      </x:c>
      <x:c r="J1215" s="2" t="n">
        <x:v>10500</x:v>
      </x:c>
      <x:c r="K1215" s="2" t="n">
        <x:v>0</x:v>
      </x:c>
      <x:c r="L1215" s="2" t="str">
        <x:v>Completed</x:v>
      </x:c>
    </x:row>
    <x:row r="1216" ht="21" customHeight="1">
      <x:c r="A1216" s="2" t="n">
        <x:v>1211</x:v>
      </x:c>
      <x:c r="B1216" s="2" t="str">
        <x:v>TXN-01211</x:v>
      </x:c>
      <x:c r="C1216" s="2" t="str">
        <x:v>2025-11-28</x:v>
      </x:c>
      <x:c r="D1216" s="2" t="str">
        <x:v>Lagos</x:v>
      </x:c>
      <x:c r="E1216" s="2" t="str">
        <x:v>Beauty</x:v>
      </x:c>
      <x:c r="F1216" s="2" t="str">
        <x:v>Perfume</x:v>
      </x:c>
      <x:c r="G1216" s="2" t="str">
        <x:v> in-store </x:v>
      </x:c>
      <x:c r="H1216" s="2" t="n">
        <x:v>1</x:v>
      </x:c>
      <x:c r="I1216" s="2" t="n">
        <x:v>17000</x:v>
      </x:c>
      <x:c r="J1216" s="2" t="n">
        <x:v>9000</x:v>
      </x:c>
      <x:c r="K1216" s="2" t="n">
        <x:v>0</x:v>
      </x:c>
      <x:c r="L1216" s="2" t="str">
        <x:v>Completed</x:v>
      </x:c>
    </x:row>
    <x:row r="1217" ht="21" customHeight="1">
      <x:c r="A1217" s="2" t="n">
        <x:v>1212</x:v>
      </x:c>
      <x:c r="B1217" s="2" t="str">
        <x:v>TXN-01212</x:v>
      </x:c>
      <x:c r="C1217" s="2" t="str">
        <x:v>2025-11-11</x:v>
      </x:c>
      <x:c r="D1217" s="2" t="str">
        <x:v> lagos </x:v>
      </x:c>
      <x:c r="E1217" s="2" t="str">
        <x:v>Beauty</x:v>
      </x:c>
      <x:c r="F1217" s="2" t="str">
        <x:v>Perfume</x:v>
      </x:c>
      <x:c r="G1217" s="2" t="str">
        <x:v>In-store</x:v>
      </x:c>
      <x:c r="H1217" s="2" t="n">
        <x:v>1</x:v>
      </x:c>
      <x:c r="I1217" s="2" t="n">
        <x:v>17000</x:v>
      </x:c>
      <x:c r="J1217" s="2" t="n">
        <x:v>9000</x:v>
      </x:c>
      <x:c r="K1217" s="2" t="n">
        <x:v>0</x:v>
      </x:c>
      <x:c r="L1217" s="2" t="str">
        <x:v>Completed</x:v>
      </x:c>
    </x:row>
    <x:row r="1218" ht="21" customHeight="1">
      <x:c r="A1218" s="2" t="n">
        <x:v>1213</x:v>
      </x:c>
      <x:c r="B1218" s="2" t="str">
        <x:v>TXN-01213</x:v>
      </x:c>
      <x:c r="C1218" s="2" t="str">
        <x:v>2025-11-02</x:v>
      </x:c>
      <x:c r="D1218" s="2" t="str">
        <x:v>Lagos</x:v>
      </x:c>
      <x:c r="E1218" s="2" t="str">
        <x:v>Electronics</x:v>
      </x:c>
      <x:c r="F1218" s="2" t="str">
        <x:v>Headphones</x:v>
      </x:c>
      <x:c r="G1218" s="2" t="str">
        <x:v>Online</x:v>
      </x:c>
      <x:c r="H1218" s="2" t="n">
        <x:v>1</x:v>
      </x:c>
      <x:c r="I1218" s="2" t="n">
        <x:v>18000</x:v>
      </x:c>
      <x:c r="J1218" s="2" t="n">
        <x:v>10500</x:v>
      </x:c>
      <x:c r="K1218" s="2" t="n">
        <x:v>0.1</x:v>
      </x:c>
      <x:c r="L1218" s="2" t="str">
        <x:v>Completed</x:v>
      </x:c>
    </x:row>
    <x:row r="1219" ht="21" customHeight="1">
      <x:c r="A1219" s="2" t="n">
        <x:v>1214</x:v>
      </x:c>
      <x:c r="B1219" s="2" t="str">
        <x:v>TXN-01214</x:v>
      </x:c>
      <x:c r="C1219" s="2" t="str">
        <x:v>2025-11-26</x:v>
      </x:c>
      <x:c r="D1219" s="2" t="str">
        <x:v>Port Harcourt</x:v>
      </x:c>
      <x:c r="E1219" s="2" t="str">
        <x:v>Home</x:v>
      </x:c>
      <x:c r="F1219" s="2" t="str">
        <x:v>Cookware set</x:v>
      </x:c>
      <x:c r="G1219" s="2" t="str">
        <x:v>Online</x:v>
      </x:c>
      <x:c r="H1219" s="2" t="n">
        <x:v>2</x:v>
      </x:c>
      <x:c r="I1219" s="2" t="n">
        <x:v>35000</x:v>
      </x:c>
      <x:c r="J1219" s="2" t="n">
        <x:v>22500</x:v>
      </x:c>
      <x:c r="K1219" s="2" t="n">
        <x:v>0</x:v>
      </x:c>
      <x:c r="L1219" s="2" t="str">
        <x:v>Completed</x:v>
      </x:c>
    </x:row>
    <x:row r="1220" ht="21" customHeight="1">
      <x:c r="A1220" s="2" t="n">
        <x:v>1215</x:v>
      </x:c>
      <x:c r="B1220" s="2" t="str">
        <x:v>TXN-01215</x:v>
      </x:c>
      <x:c r="C1220" s="2" t="str">
        <x:v>2025-11-19</x:v>
      </x:c>
      <x:c r="D1220" s="2" t="str">
        <x:v>Lagos</x:v>
      </x:c>
      <x:c r="E1220" s="2" t="str">
        <x:v>Home</x:v>
      </x:c>
      <x:c r="F1220" s="2" t="str">
        <x:v>Desk lamp</x:v>
      </x:c>
      <x:c r="G1220" s="2" t="str">
        <x:v>In-store</x:v>
      </x:c>
      <x:c r="H1220" s="2" t="n">
        <x:v>1</x:v>
      </x:c>
      <x:c r="I1220" s="2" t="n">
        <x:v>12000</x:v>
      </x:c>
      <x:c r="J1220" s="2" t="n">
        <x:v>7200</x:v>
      </x:c>
      <x:c r="K1220" s="2" t="n">
        <x:v>0</x:v>
      </x:c>
      <x:c r="L1220" s="2" t="str">
        <x:v>Completed</x:v>
      </x:c>
    </x:row>
    <x:row r="1221" ht="21" customHeight="1">
      <x:c r="A1221" s="2" t="n">
        <x:v>1216</x:v>
      </x:c>
      <x:c r="B1221" s="2" t="str">
        <x:v>TXN-01216</x:v>
      </x:c>
      <x:c r="C1221" s="2" t="str">
        <x:v>2025-11-21</x:v>
      </x:c>
      <x:c r="D1221" s="2" t="str">
        <x:v>Lagos</x:v>
      </x:c>
      <x:c r="E1221" s="2" t="str">
        <x:v>Electronics</x:v>
      </x:c>
      <x:c r="F1221" s="2" t="str">
        <x:v>Bluetooth speaker</x:v>
      </x:c>
      <x:c r="G1221" s="2" t="str">
        <x:v>Online</x:v>
      </x:c>
      <x:c r="H1221" s="2" t="n">
        <x:v>2</x:v>
      </x:c>
      <x:c r="I1221" s="2" t="n">
        <x:v>26000</x:v>
      </x:c>
      <x:c r="J1221" s="2" t="n">
        <x:v>17000</x:v>
      </x:c>
      <x:c r="K1221" s="2" t="n">
        <x:v>0</x:v>
      </x:c>
      <x:c r="L1221" s="2" t="str">
        <x:v> COMPLETED </x:v>
      </x:c>
    </x:row>
    <x:row r="1222" ht="21" customHeight="1">
      <x:c r="A1222" s="2" t="n">
        <x:v>1217</x:v>
      </x:c>
      <x:c r="B1222" s="2" t="str">
        <x:v>TXN-01217</x:v>
      </x:c>
      <x:c r="C1222" s="2" t="str">
        <x:v>2025-11-13</x:v>
      </x:c>
      <x:c r="D1222" s="2" t="str">
        <x:v>Abuja</x:v>
      </x:c>
      <x:c r="E1222" s="2" t="str">
        <x:v>Home</x:v>
      </x:c>
      <x:c r="F1222" s="2" t="str">
        <x:v>Cookware set</x:v>
      </x:c>
      <x:c r="G1222" s="2" t="str">
        <x:v>In-store</x:v>
      </x:c>
      <x:c r="H1222" s="2" t="n">
        <x:v>1</x:v>
      </x:c>
      <x:c r="I1222" s="2" t="n">
        <x:v>35000</x:v>
      </x:c>
      <x:c r="J1222" s="2" t="n">
        <x:v>22500</x:v>
      </x:c>
      <x:c r="K1222" s="2" t="n">
        <x:v>0.15</x:v>
      </x:c>
      <x:c r="L1222" s="2" t="str">
        <x:v>Completed</x:v>
      </x:c>
    </x:row>
    <x:row r="1223" ht="21" customHeight="1">
      <x:c r="A1223" s="2" t="n">
        <x:v>1218</x:v>
      </x:c>
      <x:c r="B1223" s="2" t="str">
        <x:v>TXN-01218</x:v>
      </x:c>
      <x:c r="C1223" s="2" t="str">
        <x:v>2025-11-06</x:v>
      </x:c>
      <x:c r="D1223" s="2" t="str">
        <x:v>Port Harcourt</x:v>
      </x:c>
      <x:c r="E1223" s="2" t="str">
        <x:v>Electronics</x:v>
      </x:c>
      <x:c r="F1223" s="2" t="str">
        <x:v>Headphones</x:v>
      </x:c>
      <x:c r="G1223" s="2" t="str">
        <x:v>Online</x:v>
      </x:c>
      <x:c r="H1223" s="2" t="n">
        <x:v>1</x:v>
      </x:c>
      <x:c r="I1223" s="2" t="n">
        <x:v>18000</x:v>
      </x:c>
      <x:c r="J1223" s="2" t="n">
        <x:v>10500</x:v>
      </x:c>
      <x:c r="K1223" s="2" t="n">
        <x:v>0.1</x:v>
      </x:c>
      <x:c r="L1223" s="2" t="str">
        <x:v>Completed</x:v>
      </x:c>
    </x:row>
    <x:row r="1224" ht="21" customHeight="1">
      <x:c r="A1224" s="2" t="n">
        <x:v>1219</x:v>
      </x:c>
      <x:c r="B1224" s="2" t="str">
        <x:v>TXN-01219</x:v>
      </x:c>
      <x:c r="C1224" s="2" t="str">
        <x:v>2025-11-17</x:v>
      </x:c>
      <x:c r="D1224" s="2" t="str">
        <x:v> lagos </x:v>
      </x:c>
      <x:c r="E1224" s="2" t="str">
        <x:v>Beauty</x:v>
      </x:c>
      <x:c r="F1224" s="2" t="str">
        <x:v>Body wash</x:v>
      </x:c>
      <x:c r="G1224" s="2" t="str">
        <x:v>Online</x:v>
      </x:c>
      <x:c r="H1224" s="2" t="n">
        <x:v>1</x:v>
      </x:c>
      <x:c r="I1224" s="2" t="n">
        <x:v>4500</x:v>
      </x:c>
      <x:c r="J1224" s="2" t="n">
        <x:v>2300</x:v>
      </x:c>
      <x:c r="K1224" s="2" t="n">
        <x:v>0</x:v>
      </x:c>
      <x:c r="L1224" s="2" t="str">
        <x:v>Completed</x:v>
      </x:c>
    </x:row>
    <x:row r="1225" ht="21" customHeight="1">
      <x:c r="A1225" s="2" t="n">
        <x:v>1220</x:v>
      </x:c>
      <x:c r="B1225" s="2" t="str">
        <x:v>TXN-01220</x:v>
      </x:c>
      <x:c r="C1225" s="2" t="str">
        <x:v>2025-11-28</x:v>
      </x:c>
      <x:c r="D1225" s="2" t="str">
        <x:v>Lagos</x:v>
      </x:c>
      <x:c r="E1225" s="2" t="str">
        <x:v>Fashion</x:v>
      </x:c>
      <x:c r="F1225" s="2" t="str">
        <x:v>Handbag</x:v>
      </x:c>
      <x:c r="G1225" s="2" t="str">
        <x:v>In-store</x:v>
      </x:c>
      <x:c r="H1225" s="2" t="n">
        <x:v>1</x:v>
      </x:c>
      <x:c r="I1225" s="2" t="n">
        <x:v>22000</x:v>
      </x:c>
      <x:c r="J1225" s="2" t="n">
        <x:v>13500</x:v>
      </x:c>
      <x:c r="K1225" s="2" t="str"/>
      <x:c r="L1225" s="2" t="str">
        <x:v>Completed</x:v>
      </x:c>
    </x:row>
    <x:row r="1226" ht="21" customHeight="1">
      <x:c r="A1226" s="2" t="n">
        <x:v>1221</x:v>
      </x:c>
      <x:c r="B1226" s="2" t="str">
        <x:v>TXN-01221</x:v>
      </x:c>
      <x:c r="C1226" s="2" t="str">
        <x:v>2025-11-08</x:v>
      </x:c>
      <x:c r="D1226" s="2" t="str">
        <x:v>Kano</x:v>
      </x:c>
      <x:c r="E1226" s="2" t="str">
        <x:v>Fashion</x:v>
      </x:c>
      <x:c r="F1226" s="2" t="str">
        <x:v>T-shirt</x:v>
      </x:c>
      <x:c r="G1226" s="2" t="str">
        <x:v>In-store</x:v>
      </x:c>
      <x:c r="H1226" s="2" t="n">
        <x:v>2</x:v>
      </x:c>
      <x:c r="I1226" s="2" t="n">
        <x:v>9000</x:v>
      </x:c>
      <x:c r="J1226" s="2" t="n">
        <x:v>5000</x:v>
      </x:c>
      <x:c r="K1226" s="2" t="n">
        <x:v>0.05</x:v>
      </x:c>
      <x:c r="L1226" s="2" t="str">
        <x:v>Completed</x:v>
      </x:c>
    </x:row>
    <x:row r="1227" ht="21" customHeight="1">
      <x:c r="A1227" s="2" t="n">
        <x:v>1222</x:v>
      </x:c>
      <x:c r="B1227" s="2" t="str">
        <x:v>TXN-01222</x:v>
      </x:c>
      <x:c r="C1227" s="2" t="str">
        <x:v>2025-11-19</x:v>
      </x:c>
      <x:c r="D1227" s="2" t="str">
        <x:v>Port Harcourt</x:v>
      </x:c>
      <x:c r="E1227" s="2" t="str">
        <x:v>Beauty</x:v>
      </x:c>
      <x:c r="F1227" s="2" t="str">
        <x:v>Perfume</x:v>
      </x:c>
      <x:c r="G1227" s="2" t="str">
        <x:v> online </x:v>
      </x:c>
      <x:c r="H1227" s="2" t="n">
        <x:v>2</x:v>
      </x:c>
      <x:c r="I1227" s="2" t="n">
        <x:v>17000</x:v>
      </x:c>
      <x:c r="J1227" s="2" t="n">
        <x:v>9000</x:v>
      </x:c>
      <x:c r="K1227" s="2" t="n">
        <x:v>0</x:v>
      </x:c>
      <x:c r="L1227" s="2" t="str">
        <x:v>Completed</x:v>
      </x:c>
    </x:row>
    <x:row r="1228" ht="21" customHeight="1">
      <x:c r="A1228" s="2" t="n">
        <x:v>1223</x:v>
      </x:c>
      <x:c r="B1228" s="2" t="str">
        <x:v>TXN-01223</x:v>
      </x:c>
      <x:c r="C1228" s="2" t="str">
        <x:v>2025-11-04</x:v>
      </x:c>
      <x:c r="D1228" s="2" t="str">
        <x:v>Abuja</x:v>
      </x:c>
      <x:c r="E1228" s="2" t="str">
        <x:v>Fashion</x:v>
      </x:c>
      <x:c r="F1228" s="2" t="str">
        <x:v>Handbag</x:v>
      </x:c>
      <x:c r="G1228" s="2" t="str">
        <x:v>In-store</x:v>
      </x:c>
      <x:c r="H1228" s="2" t="n">
        <x:v>1</x:v>
      </x:c>
      <x:c r="I1228" s="2" t="n">
        <x:v>22000</x:v>
      </x:c>
      <x:c r="J1228" s="2" t="n">
        <x:v>13500</x:v>
      </x:c>
      <x:c r="K1228" s="2" t="str"/>
      <x:c r="L1228" s="2" t="str">
        <x:v>Completed</x:v>
      </x:c>
    </x:row>
    <x:row r="1229" ht="21" customHeight="1">
      <x:c r="A1229" s="2" t="n">
        <x:v>1224</x:v>
      </x:c>
      <x:c r="B1229" s="2" t="str">
        <x:v>TXN-01224</x:v>
      </x:c>
      <x:c r="C1229" s="2" t="str">
        <x:v>2025-11-19</x:v>
      </x:c>
      <x:c r="D1229" s="2" t="str">
        <x:v>Abuja</x:v>
      </x:c>
      <x:c r="E1229" s="2" t="str">
        <x:v>Fashion</x:v>
      </x:c>
      <x:c r="F1229" s="2" t="str">
        <x:v>T-shirt</x:v>
      </x:c>
      <x:c r="G1229" s="2" t="str">
        <x:v>In-store</x:v>
      </x:c>
      <x:c r="H1229" s="2" t="n">
        <x:v>3</x:v>
      </x:c>
      <x:c r="I1229" s="2" t="n">
        <x:v>9000</x:v>
      </x:c>
      <x:c r="J1229" s="2" t="n">
        <x:v>5000</x:v>
      </x:c>
      <x:c r="K1229" s="2" t="n">
        <x:v>0.15</x:v>
      </x:c>
      <x:c r="L1229" s="2" t="str">
        <x:v>Completed</x:v>
      </x:c>
    </x:row>
    <x:row r="1230" ht="21" customHeight="1">
      <x:c r="A1230" s="2" t="n">
        <x:v>1225</x:v>
      </x:c>
      <x:c r="B1230" s="2" t="str">
        <x:v>TXN-01225</x:v>
      </x:c>
      <x:c r="C1230" s="2" t="str">
        <x:v>2025-11-23</x:v>
      </x:c>
      <x:c r="D1230" s="2" t="str">
        <x:v>Port Harcourt</x:v>
      </x:c>
      <x:c r="E1230" s="2" t="str">
        <x:v>Home</x:v>
      </x:c>
      <x:c r="F1230" s="2" t="str">
        <x:v>Desk lamp</x:v>
      </x:c>
      <x:c r="G1230" s="2" t="str">
        <x:v>Online</x:v>
      </x:c>
      <x:c r="H1230" s="2" t="n">
        <x:v>1</x:v>
      </x:c>
      <x:c r="I1230" s="2" t="n">
        <x:v>12000</x:v>
      </x:c>
      <x:c r="J1230" s="2" t="n">
        <x:v>7200</x:v>
      </x:c>
      <x:c r="K1230" s="2" t="str"/>
      <x:c r="L1230" s="2" t="str">
        <x:v> COMPLETED </x:v>
      </x:c>
    </x:row>
    <x:row r="1231" ht="21" customHeight="1">
      <x:c r="A1231" s="2" t="n">
        <x:v>1226</x:v>
      </x:c>
      <x:c r="B1231" s="2" t="str">
        <x:v>TXN-01226</x:v>
      </x:c>
      <x:c r="C1231" s="2" t="str">
        <x:v>2025-11-21</x:v>
      </x:c>
      <x:c r="D1231" s="2" t="str">
        <x:v> lagos </x:v>
      </x:c>
      <x:c r="E1231" s="2" t="str">
        <x:v>Beauty</x:v>
      </x:c>
      <x:c r="F1231" s="2" t="str">
        <x:v>Moisturizer</x:v>
      </x:c>
      <x:c r="G1231" s="2" t="str">
        <x:v>Online</x:v>
      </x:c>
      <x:c r="H1231" s="2" t="n">
        <x:v>3</x:v>
      </x:c>
      <x:c r="I1231" s="2" t="n">
        <x:v>6500</x:v>
      </x:c>
      <x:c r="J1231" s="2" t="n">
        <x:v>3500</x:v>
      </x:c>
      <x:c r="K1231" s="2" t="n">
        <x:v>0.15</x:v>
      </x:c>
      <x:c r="L1231" s="2" t="str">
        <x:v>Completed</x:v>
      </x:c>
    </x:row>
    <x:row r="1232" ht="21" customHeight="1">
      <x:c r="A1232" s="2" t="n">
        <x:v>1227</x:v>
      </x:c>
      <x:c r="B1232" s="2" t="str">
        <x:v>TXN-01227</x:v>
      </x:c>
      <x:c r="C1232" s="2" t="str">
        <x:v>2025-11-07</x:v>
      </x:c>
      <x:c r="D1232" s="2" t="str">
        <x:v>Lagos</x:v>
      </x:c>
      <x:c r="E1232" s="2" t="str">
        <x:v>Fashion</x:v>
      </x:c>
      <x:c r="F1232" s="2" t="str">
        <x:v>Handbag</x:v>
      </x:c>
      <x:c r="G1232" s="2" t="str">
        <x:v>Online</x:v>
      </x:c>
      <x:c r="H1232" s="2" t="n">
        <x:v>1</x:v>
      </x:c>
      <x:c r="I1232" s="2" t="n">
        <x:v>22000</x:v>
      </x:c>
      <x:c r="J1232" s="2" t="n">
        <x:v>13500</x:v>
      </x:c>
      <x:c r="K1232" s="2" t="n">
        <x:v>0.05</x:v>
      </x:c>
      <x:c r="L1232" s="2" t="str">
        <x:v>Completed</x:v>
      </x:c>
    </x:row>
    <x:row r="1233" ht="21" customHeight="1">
      <x:c r="A1233" s="2" t="n">
        <x:v>1228</x:v>
      </x:c>
      <x:c r="B1233" s="2" t="str">
        <x:v>TXN-01228</x:v>
      </x:c>
      <x:c r="C1233" s="2" t="str">
        <x:v>2025-11-07</x:v>
      </x:c>
      <x:c r="D1233" s="2" t="str">
        <x:v>Lagos</x:v>
      </x:c>
      <x:c r="E1233" s="2" t="str">
        <x:v>Electronics</x:v>
      </x:c>
      <x:c r="F1233" s="2" t="str">
        <x:v>Power bank</x:v>
      </x:c>
      <x:c r="G1233" s="2" t="str">
        <x:v>Online</x:v>
      </x:c>
      <x:c r="H1233" s="2" t="n">
        <x:v>1</x:v>
      </x:c>
      <x:c r="I1233" s="2" t="n">
        <x:v>15000</x:v>
      </x:c>
      <x:c r="J1233" s="2" t="n">
        <x:v>9500</x:v>
      </x:c>
      <x:c r="K1233" s="2" t="n">
        <x:v>0.1</x:v>
      </x:c>
      <x:c r="L1233" s="2" t="str">
        <x:v>Completed</x:v>
      </x:c>
    </x:row>
    <x:row r="1234" ht="21" customHeight="1">
      <x:c r="A1234" s="2" t="n">
        <x:v>1229</x:v>
      </x:c>
      <x:c r="B1234" s="2" t="str">
        <x:v>TXN-01229</x:v>
      </x:c>
      <x:c r="C1234" s="2" t="str">
        <x:v>2025-11-01</x:v>
      </x:c>
      <x:c r="D1234" s="2" t="str">
        <x:v>Port Harcourt</x:v>
      </x:c>
      <x:c r="E1234" s="2" t="str">
        <x:v>Electronics</x:v>
      </x:c>
      <x:c r="F1234" s="2" t="str">
        <x:v>Headphones</x:v>
      </x:c>
      <x:c r="G1234" s="2" t="str">
        <x:v>In-store</x:v>
      </x:c>
      <x:c r="H1234" s="2" t="n">
        <x:v>3</x:v>
      </x:c>
      <x:c r="I1234" s="2" t="n">
        <x:v>18000</x:v>
      </x:c>
      <x:c r="J1234" s="2" t="n">
        <x:v>10500</x:v>
      </x:c>
      <x:c r="K1234" s="2" t="n">
        <x:v>0.1</x:v>
      </x:c>
      <x:c r="L1234" s="2" t="str">
        <x:v>Completed</x:v>
      </x:c>
    </x:row>
    <x:row r="1235" ht="21" customHeight="1">
      <x:c r="A1235" s="2" t="n">
        <x:v>1230</x:v>
      </x:c>
      <x:c r="B1235" s="2" t="str">
        <x:v>TXN-01230</x:v>
      </x:c>
      <x:c r="C1235" s="2" t="str">
        <x:v>2025-11-13</x:v>
      </x:c>
      <x:c r="D1235" s="2" t="str">
        <x:v>Abuja</x:v>
      </x:c>
      <x:c r="E1235" s="2" t="str">
        <x:v>Fashion</x:v>
      </x:c>
      <x:c r="F1235" s="2" t="str">
        <x:v>T-shirt</x:v>
      </x:c>
      <x:c r="G1235" s="2" t="str">
        <x:v>Online</x:v>
      </x:c>
      <x:c r="H1235" s="2" t="n">
        <x:v>1</x:v>
      </x:c>
      <x:c r="I1235" s="2" t="n">
        <x:v>9000</x:v>
      </x:c>
      <x:c r="J1235" s="2" t="n">
        <x:v>5000</x:v>
      </x:c>
      <x:c r="K1235" s="2" t="n">
        <x:v>0.15</x:v>
      </x:c>
      <x:c r="L1235" s="2" t="str">
        <x:v>Completed</x:v>
      </x:c>
    </x:row>
    <x:row r="1236" ht="21" customHeight="1">
      <x:c r="A1236" s="2" t="n">
        <x:v>1231</x:v>
      </x:c>
      <x:c r="B1236" s="2" t="str">
        <x:v>TXN-01231</x:v>
      </x:c>
      <x:c r="C1236" s="2" t="str">
        <x:v>2025-11-22</x:v>
      </x:c>
      <x:c r="D1236" s="2" t="str">
        <x:v>Lagos</x:v>
      </x:c>
      <x:c r="E1236" s="2" t="str">
        <x:v>Electronics</x:v>
      </x:c>
      <x:c r="F1236" s="2" t="str">
        <x:v>Bluetooth speaker</x:v>
      </x:c>
      <x:c r="G1236" s="2" t="str">
        <x:v>Online</x:v>
      </x:c>
      <x:c r="H1236" s="2" t="n">
        <x:v>1</x:v>
      </x:c>
      <x:c r="I1236" s="2" t="n">
        <x:v>26000</x:v>
      </x:c>
      <x:c r="J1236" s="2" t="n">
        <x:v>17000</x:v>
      </x:c>
      <x:c r="K1236" s="2" t="n">
        <x:v>0.05</x:v>
      </x:c>
      <x:c r="L1236" s="2" t="str">
        <x:v>Completed</x:v>
      </x:c>
    </x:row>
    <x:row r="1237" ht="21" customHeight="1">
      <x:c r="A1237" s="2" t="n">
        <x:v>1232</x:v>
      </x:c>
      <x:c r="B1237" s="2" t="str">
        <x:v>TXN-01232</x:v>
      </x:c>
      <x:c r="C1237" s="2" t="str">
        <x:v>2025-11-28</x:v>
      </x:c>
      <x:c r="D1237" s="2" t="str">
        <x:v>Lagos</x:v>
      </x:c>
      <x:c r="E1237" s="2" t="str">
        <x:v>Electronics</x:v>
      </x:c>
      <x:c r="F1237" s="2" t="str">
        <x:v>Power bank</x:v>
      </x:c>
      <x:c r="G1237" s="2" t="str">
        <x:v>In-store</x:v>
      </x:c>
      <x:c r="H1237" s="2" t="n">
        <x:v>3</x:v>
      </x:c>
      <x:c r="I1237" s="2" t="n">
        <x:v>15000</x:v>
      </x:c>
      <x:c r="J1237" s="2" t="n">
        <x:v>9500</x:v>
      </x:c>
      <x:c r="K1237" s="2" t="n">
        <x:v>0</x:v>
      </x:c>
      <x:c r="L1237" s="2" t="str">
        <x:v>Completed</x:v>
      </x:c>
    </x:row>
    <x:row r="1238" ht="21" customHeight="1">
      <x:c r="A1238" s="2" t="n">
        <x:v>1233</x:v>
      </x:c>
      <x:c r="B1238" s="2" t="str">
        <x:v>TXN-01233</x:v>
      </x:c>
      <x:c r="C1238" s="2" t="str">
        <x:v>2025-11-25</x:v>
      </x:c>
      <x:c r="D1238" s="2" t="str">
        <x:v> kano </x:v>
      </x:c>
      <x:c r="E1238" s="2" t="str">
        <x:v>Electronics</x:v>
      </x:c>
      <x:c r="F1238" s="2" t="str">
        <x:v>Bluetooth speaker</x:v>
      </x:c>
      <x:c r="G1238" s="2" t="str">
        <x:v> in-store </x:v>
      </x:c>
      <x:c r="H1238" s="2" t="n">
        <x:v>2</x:v>
      </x:c>
      <x:c r="I1238" s="2" t="n">
        <x:v>26000</x:v>
      </x:c>
      <x:c r="J1238" s="2" t="n">
        <x:v>17000</x:v>
      </x:c>
      <x:c r="K1238" s="2" t="n">
        <x:v>0</x:v>
      </x:c>
      <x:c r="L1238" s="2" t="str">
        <x:v>Completed</x:v>
      </x:c>
    </x:row>
    <x:row r="1239" ht="21" customHeight="1">
      <x:c r="A1239" s="2" t="n">
        <x:v>1234</x:v>
      </x:c>
      <x:c r="B1239" s="2" t="str">
        <x:v>TXN-01234</x:v>
      </x:c>
      <x:c r="C1239" s="2" t="str">
        <x:v>2025-11-08</x:v>
      </x:c>
      <x:c r="D1239" s="2" t="str">
        <x:v>Kano</x:v>
      </x:c>
      <x:c r="E1239" s="2" t="str">
        <x:v>Electronics</x:v>
      </x:c>
      <x:c r="F1239" s="2" t="str">
        <x:v>Headphones</x:v>
      </x:c>
      <x:c r="G1239" s="2" t="str">
        <x:v>Online</x:v>
      </x:c>
      <x:c r="H1239" s="2" t="n">
        <x:v>2</x:v>
      </x:c>
      <x:c r="I1239" s="2" t="n">
        <x:v>18000</x:v>
      </x:c>
      <x:c r="J1239" s="2" t="n">
        <x:v>10500</x:v>
      </x:c>
      <x:c r="K1239" s="2" t="n">
        <x:v>0</x:v>
      </x:c>
      <x:c r="L1239" s="2" t="str">
        <x:v> COMPLETED </x:v>
      </x:c>
    </x:row>
    <x:row r="1240" ht="21" customHeight="1">
      <x:c r="A1240" s="2" t="n">
        <x:v>1235</x:v>
      </x:c>
      <x:c r="B1240" s="2" t="str">
        <x:v>TXN-01235</x:v>
      </x:c>
      <x:c r="C1240" s="2" t="str">
        <x:v>2025-11-19</x:v>
      </x:c>
      <x:c r="D1240" s="2" t="str">
        <x:v>Kano</x:v>
      </x:c>
      <x:c r="E1240" s="2" t="str">
        <x:v>Home</x:v>
      </x:c>
      <x:c r="F1240" s="2" t="str">
        <x:v>Bedsheet</x:v>
      </x:c>
      <x:c r="G1240" s="2" t="str">
        <x:v>Online</x:v>
      </x:c>
      <x:c r="H1240" s="2" t="n">
        <x:v>2</x:v>
      </x:c>
      <x:c r="I1240" s="2" t="n">
        <x:v>14000</x:v>
      </x:c>
      <x:c r="J1240" s="2" t="n">
        <x:v>8500</x:v>
      </x:c>
      <x:c r="K1240" s="2" t="n">
        <x:v>0.05</x:v>
      </x:c>
      <x:c r="L1240" s="2" t="str">
        <x:v>Completed</x:v>
      </x:c>
    </x:row>
    <x:row r="1241" ht="21" customHeight="1">
      <x:c r="A1241" s="2" t="n">
        <x:v>1236</x:v>
      </x:c>
      <x:c r="B1241" s="2" t="str">
        <x:v>TXN-01236</x:v>
      </x:c>
      <x:c r="C1241" s="2" t="str">
        <x:v>2025-11-16</x:v>
      </x:c>
      <x:c r="D1241" s="2" t="str">
        <x:v>Lagos</x:v>
      </x:c>
      <x:c r="E1241" s="2" t="str">
        <x:v>Beauty</x:v>
      </x:c>
      <x:c r="F1241" s="2" t="str">
        <x:v>Perfume</x:v>
      </x:c>
      <x:c r="G1241" s="2" t="str">
        <x:v>Online</x:v>
      </x:c>
      <x:c r="H1241" s="2" t="n">
        <x:v>4</x:v>
      </x:c>
      <x:c r="I1241" s="2" t="n">
        <x:v>17000</x:v>
      </x:c>
      <x:c r="J1241" s="2" t="n">
        <x:v>9000</x:v>
      </x:c>
      <x:c r="K1241" s="2" t="n">
        <x:v>0.1</x:v>
      </x:c>
      <x:c r="L1241" s="2" t="str">
        <x:v>Completed</x:v>
      </x:c>
    </x:row>
    <x:row r="1242" ht="21" customHeight="1">
      <x:c r="A1242" s="2" t="n">
        <x:v>1237</x:v>
      </x:c>
      <x:c r="B1242" s="2" t="str">
        <x:v>TXN-01237</x:v>
      </x:c>
      <x:c r="C1242" s="2" t="str">
        <x:v>2025-11-30</x:v>
      </x:c>
      <x:c r="D1242" s="2" t="str">
        <x:v>Kano</x:v>
      </x:c>
      <x:c r="E1242" s="2" t="str">
        <x:v>Beauty</x:v>
      </x:c>
      <x:c r="F1242" s="2" t="str">
        <x:v>Perfume</x:v>
      </x:c>
      <x:c r="G1242" s="2" t="str">
        <x:v>In-store</x:v>
      </x:c>
      <x:c r="H1242" s="2" t="n">
        <x:v>1</x:v>
      </x:c>
      <x:c r="I1242" s="2" t="n">
        <x:v>17000</x:v>
      </x:c>
      <x:c r="J1242" s="2" t="n">
        <x:v>9000</x:v>
      </x:c>
      <x:c r="K1242" s="2" t="n">
        <x:v>0</x:v>
      </x:c>
      <x:c r="L1242" s="2" t="str">
        <x:v>Completed</x:v>
      </x:c>
    </x:row>
    <x:row r="1243" ht="21" customHeight="1">
      <x:c r="A1243" s="2" t="n">
        <x:v>1238</x:v>
      </x:c>
      <x:c r="B1243" s="2" t="str">
        <x:v>TXN-01238</x:v>
      </x:c>
      <x:c r="C1243" s="2" t="str">
        <x:v>2025-11-17</x:v>
      </x:c>
      <x:c r="D1243" s="2" t="str">
        <x:v>Abuja</x:v>
      </x:c>
      <x:c r="E1243" s="2" t="str">
        <x:v>Beauty</x:v>
      </x:c>
      <x:c r="F1243" s="2" t="str">
        <x:v>Moisturizer</x:v>
      </x:c>
      <x:c r="G1243" s="2" t="str">
        <x:v>Online</x:v>
      </x:c>
      <x:c r="H1243" s="2" t="n">
        <x:v>2</x:v>
      </x:c>
      <x:c r="I1243" s="2" t="n">
        <x:v>6500</x:v>
      </x:c>
      <x:c r="J1243" s="2" t="n">
        <x:v>3500</x:v>
      </x:c>
      <x:c r="K1243" s="2" t="n">
        <x:v>0</x:v>
      </x:c>
      <x:c r="L1243" s="2" t="str">
        <x:v>Returned</x:v>
      </x:c>
    </x:row>
    <x:row r="1244" ht="21" customHeight="1">
      <x:c r="A1244" s="2" t="n">
        <x:v>1239</x:v>
      </x:c>
      <x:c r="B1244" s="2" t="str">
        <x:v>TXN-01239</x:v>
      </x:c>
      <x:c r="C1244" s="2" t="str">
        <x:v>2025-11-17</x:v>
      </x:c>
      <x:c r="D1244" s="2" t="str">
        <x:v>Lagos</x:v>
      </x:c>
      <x:c r="E1244" s="2" t="str">
        <x:v>Home</x:v>
      </x:c>
      <x:c r="F1244" s="2" t="str">
        <x:v>Cookware set</x:v>
      </x:c>
      <x:c r="G1244" s="2" t="str">
        <x:v>Online</x:v>
      </x:c>
      <x:c r="H1244" s="2" t="n">
        <x:v>1</x:v>
      </x:c>
      <x:c r="I1244" s="2" t="n">
        <x:v>35000</x:v>
      </x:c>
      <x:c r="J1244" s="2" t="n">
        <x:v>22500</x:v>
      </x:c>
      <x:c r="K1244" s="2" t="n">
        <x:v>0.05</x:v>
      </x:c>
      <x:c r="L1244" s="2" t="str">
        <x:v>Completed</x:v>
      </x:c>
    </x:row>
    <x:row r="1245" ht="21" customHeight="1">
      <x:c r="A1245" s="2" t="n">
        <x:v>1240</x:v>
      </x:c>
      <x:c r="B1245" s="2" t="str">
        <x:v>TXN-01240</x:v>
      </x:c>
      <x:c r="C1245" s="2" t="str">
        <x:v>2025-11-30</x:v>
      </x:c>
      <x:c r="D1245" s="2" t="str">
        <x:v> port harcourt </x:v>
      </x:c>
      <x:c r="E1245" s="2" t="str">
        <x:v>Fashion</x:v>
      </x:c>
      <x:c r="F1245" s="2" t="str">
        <x:v>Sneakers</x:v>
      </x:c>
      <x:c r="G1245" s="2" t="str">
        <x:v>In-store</x:v>
      </x:c>
      <x:c r="H1245" s="2" t="n">
        <x:v>1</x:v>
      </x:c>
      <x:c r="I1245" s="2" t="n">
        <x:v>28000</x:v>
      </x:c>
      <x:c r="J1245" s="2" t="n">
        <x:v>17500</x:v>
      </x:c>
      <x:c r="K1245" s="2" t="n">
        <x:v>0</x:v>
      </x:c>
      <x:c r="L1245" s="2" t="str">
        <x:v>Completed</x:v>
      </x:c>
    </x:row>
    <x:row r="1246" ht="21" customHeight="1">
      <x:c r="A1246" s="2" t="n">
        <x:v>1241</x:v>
      </x:c>
      <x:c r="B1246" s="2" t="str">
        <x:v>TXN-01241</x:v>
      </x:c>
      <x:c r="C1246" s="2" t="str">
        <x:v>2025-11-28</x:v>
      </x:c>
      <x:c r="D1246" s="2" t="str">
        <x:v>Abuja</x:v>
      </x:c>
      <x:c r="E1246" s="2" t="str">
        <x:v>Electronics</x:v>
      </x:c>
      <x:c r="F1246" s="2" t="str">
        <x:v>Power bank</x:v>
      </x:c>
      <x:c r="G1246" s="2" t="str">
        <x:v>Online</x:v>
      </x:c>
      <x:c r="H1246" s="2" t="n">
        <x:v>1</x:v>
      </x:c>
      <x:c r="I1246" s="2" t="n">
        <x:v>15000</x:v>
      </x:c>
      <x:c r="J1246" s="2" t="n">
        <x:v>9500</x:v>
      </x:c>
      <x:c r="K1246" s="2" t="n">
        <x:v>0.05</x:v>
      </x:c>
      <x:c r="L1246" s="2" t="str">
        <x:v>Completed</x:v>
      </x:c>
    </x:row>
    <x:row r="1247" ht="21" customHeight="1">
      <x:c r="A1247" s="2" t="n">
        <x:v>1242</x:v>
      </x:c>
      <x:c r="B1247" s="2" t="str">
        <x:v>TXN-01242</x:v>
      </x:c>
      <x:c r="C1247" s="2" t="str">
        <x:v>2025-11-15</x:v>
      </x:c>
      <x:c r="D1247" s="2" t="str">
        <x:v>Port Harcourt</x:v>
      </x:c>
      <x:c r="E1247" s="2" t="str">
        <x:v>Electronics</x:v>
      </x:c>
      <x:c r="F1247" s="2" t="str">
        <x:v>Headphones</x:v>
      </x:c>
      <x:c r="G1247" s="2" t="str">
        <x:v>In-store</x:v>
      </x:c>
      <x:c r="H1247" s="2" t="n">
        <x:v>1</x:v>
      </x:c>
      <x:c r="I1247" s="2" t="n">
        <x:v>18000</x:v>
      </x:c>
      <x:c r="J1247" s="2" t="n">
        <x:v>10500</x:v>
      </x:c>
      <x:c r="K1247" s="2" t="n">
        <x:v>0</x:v>
      </x:c>
      <x:c r="L1247" s="2" t="str">
        <x:v>Returned</x:v>
      </x:c>
    </x:row>
    <x:row r="1248" ht="21" customHeight="1">
      <x:c r="A1248" s="2" t="n">
        <x:v>1243</x:v>
      </x:c>
      <x:c r="B1248" s="2" t="str">
        <x:v>TXN-01243</x:v>
      </x:c>
      <x:c r="C1248" s="2" t="str">
        <x:v>2025-11-08</x:v>
      </x:c>
      <x:c r="D1248" s="2" t="str">
        <x:v>Lagos</x:v>
      </x:c>
      <x:c r="E1248" s="2" t="str">
        <x:v>Beauty</x:v>
      </x:c>
      <x:c r="F1248" s="2" t="str">
        <x:v>Perfume</x:v>
      </x:c>
      <x:c r="G1248" s="2" t="str">
        <x:v>Online</x:v>
      </x:c>
      <x:c r="H1248" s="2" t="n">
        <x:v>2</x:v>
      </x:c>
      <x:c r="I1248" s="2" t="n">
        <x:v>17000</x:v>
      </x:c>
      <x:c r="J1248" s="2" t="n">
        <x:v>9000</x:v>
      </x:c>
      <x:c r="K1248" s="2" t="n">
        <x:v>0</x:v>
      </x:c>
      <x:c r="L1248" s="2" t="str">
        <x:v> COMPLETED </x:v>
      </x:c>
    </x:row>
    <x:row r="1249" ht="21" customHeight="1">
      <x:c r="A1249" s="2" t="n">
        <x:v>1244</x:v>
      </x:c>
      <x:c r="B1249" s="2" t="str">
        <x:v>TXN-01244</x:v>
      </x:c>
      <x:c r="C1249" s="2" t="str">
        <x:v>2025-11-14</x:v>
      </x:c>
      <x:c r="D1249" s="2" t="str">
        <x:v>Lagos</x:v>
      </x:c>
      <x:c r="E1249" s="2" t="str">
        <x:v>Electronics</x:v>
      </x:c>
      <x:c r="F1249" s="2" t="str">
        <x:v>Bluetooth speaker</x:v>
      </x:c>
      <x:c r="G1249" s="2" t="str">
        <x:v> online </x:v>
      </x:c>
      <x:c r="H1249" s="2" t="n">
        <x:v>1</x:v>
      </x:c>
      <x:c r="I1249" s="2" t="n">
        <x:v>26000</x:v>
      </x:c>
      <x:c r="J1249" s="2" t="n">
        <x:v>17000</x:v>
      </x:c>
      <x:c r="K1249" s="2" t="n">
        <x:v>0</x:v>
      </x:c>
      <x:c r="L1249" s="2" t="str">
        <x:v>Completed</x:v>
      </x:c>
    </x:row>
    <x:row r="1250" ht="21" customHeight="1">
      <x:c r="A1250" s="2" t="n">
        <x:v>1245</x:v>
      </x:c>
      <x:c r="B1250" s="2" t="str">
        <x:v>TXN-01245</x:v>
      </x:c>
      <x:c r="C1250" s="2" t="str">
        <x:v>2025-11-18</x:v>
      </x:c>
      <x:c r="D1250" s="2" t="str">
        <x:v>Abuja</x:v>
      </x:c>
      <x:c r="E1250" s="2" t="str">
        <x:v>Beauty</x:v>
      </x:c>
      <x:c r="F1250" s="2" t="str">
        <x:v>Moisturizer</x:v>
      </x:c>
      <x:c r="G1250" s="2" t="str">
        <x:v>In-store</x:v>
      </x:c>
      <x:c r="H1250" s="2" t="n">
        <x:v>1</x:v>
      </x:c>
      <x:c r="I1250" s="2" t="n">
        <x:v>6500</x:v>
      </x:c>
      <x:c r="J1250" s="2" t="n">
        <x:v>3500</x:v>
      </x:c>
      <x:c r="K1250" s="2" t="n">
        <x:v>0</x:v>
      </x:c>
      <x:c r="L1250" s="2" t="str">
        <x:v>Completed</x:v>
      </x:c>
    </x:row>
    <x:row r="1251" ht="21" customHeight="1">
      <x:c r="A1251" s="2" t="n">
        <x:v>1246</x:v>
      </x:c>
      <x:c r="B1251" s="2" t="str">
        <x:v>TXN-01246</x:v>
      </x:c>
      <x:c r="C1251" s="2" t="str">
        <x:v>2025-11-09</x:v>
      </x:c>
      <x:c r="D1251" s="2" t="str">
        <x:v>Lagos</x:v>
      </x:c>
      <x:c r="E1251" s="2" t="str">
        <x:v>Home</x:v>
      </x:c>
      <x:c r="F1251" s="2" t="str">
        <x:v>Desk lamp</x:v>
      </x:c>
      <x:c r="G1251" s="2" t="str">
        <x:v>In-store</x:v>
      </x:c>
      <x:c r="H1251" s="2" t="n">
        <x:v>2</x:v>
      </x:c>
      <x:c r="I1251" s="2" t="n">
        <x:v>12000</x:v>
      </x:c>
      <x:c r="J1251" s="2" t="n">
        <x:v>7200</x:v>
      </x:c>
      <x:c r="K1251" s="2" t="n">
        <x:v>0</x:v>
      </x:c>
      <x:c r="L1251" s="2" t="str">
        <x:v>Completed</x:v>
      </x:c>
    </x:row>
    <x:row r="1252" ht="21" customHeight="1">
      <x:c r="A1252" s="2" t="n">
        <x:v>1247</x:v>
      </x:c>
      <x:c r="B1252" s="2" t="str">
        <x:v>TXN-01247</x:v>
      </x:c>
      <x:c r="C1252" s="2" t="str">
        <x:v>2025-11-15</x:v>
      </x:c>
      <x:c r="D1252" s="2" t="str">
        <x:v> abuja </x:v>
      </x:c>
      <x:c r="E1252" s="2" t="str">
        <x:v>Home</x:v>
      </x:c>
      <x:c r="F1252" s="2" t="str">
        <x:v>Bedsheet</x:v>
      </x:c>
      <x:c r="G1252" s="2" t="str">
        <x:v>Online</x:v>
      </x:c>
      <x:c r="H1252" s="2" t="n">
        <x:v>2</x:v>
      </x:c>
      <x:c r="I1252" s="2" t="n">
        <x:v>14000</x:v>
      </x:c>
      <x:c r="J1252" s="2" t="n">
        <x:v>8500</x:v>
      </x:c>
      <x:c r="K1252" s="2" t="str"/>
      <x:c r="L1252" s="2" t="str">
        <x:v>Completed</x:v>
      </x:c>
    </x:row>
    <x:row r="1253" ht="21" customHeight="1">
      <x:c r="A1253" s="2" t="n">
        <x:v>1248</x:v>
      </x:c>
      <x:c r="B1253" s="2" t="str">
        <x:v>TXN-01248</x:v>
      </x:c>
      <x:c r="C1253" s="2" t="str">
        <x:v>2025-11-21</x:v>
      </x:c>
      <x:c r="D1253" s="2" t="str">
        <x:v>Lagos</x:v>
      </x:c>
      <x:c r="E1253" s="2" t="str">
        <x:v>Electronics</x:v>
      </x:c>
      <x:c r="F1253" s="2" t="str">
        <x:v>Bluetooth speaker</x:v>
      </x:c>
      <x:c r="G1253" s="2" t="str">
        <x:v>Online</x:v>
      </x:c>
      <x:c r="H1253" s="2" t="n">
        <x:v>1</x:v>
      </x:c>
      <x:c r="I1253" s="2" t="n">
        <x:v>26000</x:v>
      </x:c>
      <x:c r="J1253" s="2" t="n">
        <x:v>17000</x:v>
      </x:c>
      <x:c r="K1253" s="2" t="n">
        <x:v>0.05</x:v>
      </x:c>
      <x:c r="L1253" s="2" t="str">
        <x:v>Completed</x:v>
      </x:c>
    </x:row>
    <x:row r="1254" ht="21" customHeight="1">
      <x:c r="A1254" s="2" t="n">
        <x:v>1249</x:v>
      </x:c>
      <x:c r="B1254" s="2" t="str">
        <x:v>TXN-01249</x:v>
      </x:c>
      <x:c r="C1254" s="2" t="str">
        <x:v>2025-11-13</x:v>
      </x:c>
      <x:c r="D1254" s="2" t="str">
        <x:v>Lagos</x:v>
      </x:c>
      <x:c r="E1254" s="2" t="str">
        <x:v>Beauty</x:v>
      </x:c>
      <x:c r="F1254" s="2" t="str">
        <x:v>Body wash</x:v>
      </x:c>
      <x:c r="G1254" s="2" t="str">
        <x:v>Online</x:v>
      </x:c>
      <x:c r="H1254" s="2" t="n">
        <x:v>2</x:v>
      </x:c>
      <x:c r="I1254" s="2" t="n">
        <x:v>4500</x:v>
      </x:c>
      <x:c r="J1254" s="2" t="n">
        <x:v>2300</x:v>
      </x:c>
      <x:c r="K1254" s="2" t="n">
        <x:v>0</x:v>
      </x:c>
      <x:c r="L1254" s="2" t="str">
        <x:v>Completed</x:v>
      </x:c>
    </x:row>
    <x:row r="1255" ht="21" customHeight="1">
      <x:c r="A1255" s="2" t="n">
        <x:v>1250</x:v>
      </x:c>
      <x:c r="B1255" s="2" t="str">
        <x:v>TXN-01250</x:v>
      </x:c>
      <x:c r="C1255" s="2" t="str">
        <x:v>2025-11-05</x:v>
      </x:c>
      <x:c r="D1255" s="2" t="str">
        <x:v>Lagos</x:v>
      </x:c>
      <x:c r="E1255" s="2" t="str">
        <x:v>Electronics</x:v>
      </x:c>
      <x:c r="F1255" s="2" t="str">
        <x:v>Headphones</x:v>
      </x:c>
      <x:c r="G1255" s="2" t="str">
        <x:v>Online</x:v>
      </x:c>
      <x:c r="H1255" s="2" t="n">
        <x:v>3</x:v>
      </x:c>
      <x:c r="I1255" s="2" t="n">
        <x:v>18000</x:v>
      </x:c>
      <x:c r="J1255" s="2" t="n">
        <x:v>10500</x:v>
      </x:c>
      <x:c r="K1255" s="2" t="n">
        <x:v>0</x:v>
      </x:c>
      <x:c r="L1255" s="2" t="str">
        <x:v>Completed</x:v>
      </x:c>
    </x:row>
    <x:row r="1256" ht="21" customHeight="1">
      <x:c r="A1256" s="2" t="n">
        <x:v>1251</x:v>
      </x:c>
      <x:c r="B1256" s="2" t="str">
        <x:v>TXN-01251</x:v>
      </x:c>
      <x:c r="C1256" s="2" t="str">
        <x:v>2025-11-12</x:v>
      </x:c>
      <x:c r="D1256" s="2" t="str">
        <x:v>Lagos</x:v>
      </x:c>
      <x:c r="E1256" s="2" t="str">
        <x:v>Electronics</x:v>
      </x:c>
      <x:c r="F1256" s="2" t="str">
        <x:v>Bluetooth speaker</x:v>
      </x:c>
      <x:c r="G1256" s="2" t="str">
        <x:v>In-store</x:v>
      </x:c>
      <x:c r="H1256" s="2" t="n">
        <x:v>1</x:v>
      </x:c>
      <x:c r="I1256" s="2" t="n">
        <x:v>26000</x:v>
      </x:c>
      <x:c r="J1256" s="2" t="n">
        <x:v>17000</x:v>
      </x:c>
      <x:c r="K1256" s="2" t="n">
        <x:v>0.05</x:v>
      </x:c>
      <x:c r="L1256" s="2" t="str">
        <x:v>Completed</x:v>
      </x:c>
    </x:row>
    <x:row r="1257" ht="21" customHeight="1">
      <x:c r="A1257" s="2" t="n">
        <x:v>1252</x:v>
      </x:c>
      <x:c r="B1257" s="2" t="str">
        <x:v>TXN-01252</x:v>
      </x:c>
      <x:c r="C1257" s="2" t="str">
        <x:v>2025-11-14</x:v>
      </x:c>
      <x:c r="D1257" s="2" t="str">
        <x:v>Lagos</x:v>
      </x:c>
      <x:c r="E1257" s="2" t="str">
        <x:v>Fashion</x:v>
      </x:c>
      <x:c r="F1257" s="2" t="str">
        <x:v>Handbag</x:v>
      </x:c>
      <x:c r="G1257" s="2" t="str">
        <x:v>Online</x:v>
      </x:c>
      <x:c r="H1257" s="2" t="n">
        <x:v>3</x:v>
      </x:c>
      <x:c r="I1257" s="2" t="n">
        <x:v>22000</x:v>
      </x:c>
      <x:c r="J1257" s="2" t="n">
        <x:v>13500</x:v>
      </x:c>
      <x:c r="K1257" s="2" t="n">
        <x:v>0</x:v>
      </x:c>
      <x:c r="L1257" s="2" t="str">
        <x:v> COMPLETED </x:v>
      </x:c>
    </x:row>
    <x:row r="1258" ht="21" customHeight="1">
      <x:c r="A1258" s="2" t="n">
        <x:v>1253</x:v>
      </x:c>
      <x:c r="B1258" s="2" t="str">
        <x:v>TXN-01253</x:v>
      </x:c>
      <x:c r="C1258" s="2" t="str">
        <x:v>2025-11-09</x:v>
      </x:c>
      <x:c r="D1258" s="2" t="str">
        <x:v>Abuja</x:v>
      </x:c>
      <x:c r="E1258" s="2" t="str">
        <x:v>Electronics</x:v>
      </x:c>
      <x:c r="F1258" s="2" t="str">
        <x:v>Headphones</x:v>
      </x:c>
      <x:c r="G1258" s="2" t="str">
        <x:v>Online</x:v>
      </x:c>
      <x:c r="H1258" s="2" t="n">
        <x:v>1</x:v>
      </x:c>
      <x:c r="I1258" s="2" t="n">
        <x:v>18000</x:v>
      </x:c>
      <x:c r="J1258" s="2" t="n">
        <x:v>10500</x:v>
      </x:c>
      <x:c r="K1258" s="2" t="n">
        <x:v>0</x:v>
      </x:c>
      <x:c r="L1258" s="2" t="str">
        <x:v>Completed</x:v>
      </x:c>
    </x:row>
    <x:row r="1259" ht="21" customHeight="1">
      <x:c r="A1259" s="2" t="n">
        <x:v>1254</x:v>
      </x:c>
      <x:c r="B1259" s="2" t="str">
        <x:v>TXN-01254</x:v>
      </x:c>
      <x:c r="C1259" s="2" t="str">
        <x:v>2025-11-26</x:v>
      </x:c>
      <x:c r="D1259" s="2" t="str">
        <x:v> abuja </x:v>
      </x:c>
      <x:c r="E1259" s="2" t="str">
        <x:v>Beauty</x:v>
      </x:c>
      <x:c r="F1259" s="2" t="str">
        <x:v>Body wash</x:v>
      </x:c>
      <x:c r="G1259" s="2" t="str">
        <x:v>In-store</x:v>
      </x:c>
      <x:c r="H1259" s="2" t="n">
        <x:v>4</x:v>
      </x:c>
      <x:c r="I1259" s="2" t="n">
        <x:v>4500</x:v>
      </x:c>
      <x:c r="J1259" s="2" t="n">
        <x:v>2300</x:v>
      </x:c>
      <x:c r="K1259" s="2" t="n">
        <x:v>0</x:v>
      </x:c>
      <x:c r="L1259" s="2" t="str">
        <x:v>Completed</x:v>
      </x:c>
    </x:row>
    <x:row r="1260" ht="21" customHeight="1">
      <x:c r="A1260" s="2" t="n">
        <x:v>1255</x:v>
      </x:c>
      <x:c r="B1260" s="2" t="str">
        <x:v>TXN-01255</x:v>
      </x:c>
      <x:c r="C1260" s="2" t="str">
        <x:v>2025-11-14</x:v>
      </x:c>
      <x:c r="D1260" s="2" t="str">
        <x:v>Port Harcourt</x:v>
      </x:c>
      <x:c r="E1260" s="2" t="str">
        <x:v>Electronics</x:v>
      </x:c>
      <x:c r="F1260" s="2" t="str">
        <x:v>Power bank</x:v>
      </x:c>
      <x:c r="G1260" s="2" t="str">
        <x:v> in-store </x:v>
      </x:c>
      <x:c r="H1260" s="2" t="n">
        <x:v>4</x:v>
      </x:c>
      <x:c r="I1260" s="2" t="n">
        <x:v>15000</x:v>
      </x:c>
      <x:c r="J1260" s="2" t="n">
        <x:v>9500</x:v>
      </x:c>
      <x:c r="K1260" s="2" t="n">
        <x:v>0</x:v>
      </x:c>
      <x:c r="L1260" s="2" t="str">
        <x:v>Completed</x:v>
      </x:c>
    </x:row>
    <x:row r="1261" ht="21" customHeight="1">
      <x:c r="A1261" s="2" t="n">
        <x:v>1256</x:v>
      </x:c>
      <x:c r="B1261" s="2" t="str">
        <x:v>TXN-01256</x:v>
      </x:c>
      <x:c r="C1261" s="2" t="str">
        <x:v>2025-11-27</x:v>
      </x:c>
      <x:c r="D1261" s="2" t="str">
        <x:v>Lagos</x:v>
      </x:c>
      <x:c r="E1261" s="2" t="str">
        <x:v>Beauty</x:v>
      </x:c>
      <x:c r="F1261" s="2" t="str">
        <x:v>Body wash</x:v>
      </x:c>
      <x:c r="G1261" s="2" t="str">
        <x:v>Online</x:v>
      </x:c>
      <x:c r="H1261" s="2" t="n">
        <x:v>1</x:v>
      </x:c>
      <x:c r="I1261" s="2" t="n">
        <x:v>4500</x:v>
      </x:c>
      <x:c r="J1261" s="2" t="n">
        <x:v>2300</x:v>
      </x:c>
      <x:c r="K1261" s="2" t="n">
        <x:v>0</x:v>
      </x:c>
      <x:c r="L1261" s="2" t="str">
        <x:v>Completed</x:v>
      </x:c>
    </x:row>
    <x:row r="1262" ht="21" customHeight="1">
      <x:c r="A1262" s="2" t="n">
        <x:v>1257</x:v>
      </x:c>
      <x:c r="B1262" s="2" t="str">
        <x:v>TXN-01257</x:v>
      </x:c>
      <x:c r="C1262" s="2" t="str">
        <x:v>2025-11-25</x:v>
      </x:c>
      <x:c r="D1262" s="2" t="str">
        <x:v>Abuja</x:v>
      </x:c>
      <x:c r="E1262" s="2" t="str">
        <x:v>Fashion</x:v>
      </x:c>
      <x:c r="F1262" s="2" t="str">
        <x:v>T-shirt</x:v>
      </x:c>
      <x:c r="G1262" s="2" t="str">
        <x:v>Online</x:v>
      </x:c>
      <x:c r="H1262" s="2" t="n">
        <x:v>1</x:v>
      </x:c>
      <x:c r="I1262" s="2" t="n">
        <x:v>9000</x:v>
      </x:c>
      <x:c r="J1262" s="2" t="n">
        <x:v>5000</x:v>
      </x:c>
      <x:c r="K1262" s="2" t="n">
        <x:v>0.15</x:v>
      </x:c>
      <x:c r="L1262" s="2" t="str">
        <x:v>Returned</x:v>
      </x:c>
    </x:row>
    <x:row r="1263" ht="21" customHeight="1">
      <x:c r="A1263" s="2" t="n">
        <x:v>1258</x:v>
      </x:c>
      <x:c r="B1263" s="2" t="str">
        <x:v>TXN-01258</x:v>
      </x:c>
      <x:c r="C1263" s="2" t="str">
        <x:v>2025-11-18</x:v>
      </x:c>
      <x:c r="D1263" s="2" t="str">
        <x:v>Port Harcourt</x:v>
      </x:c>
      <x:c r="E1263" s="2" t="str">
        <x:v>Fashion</x:v>
      </x:c>
      <x:c r="F1263" s="2" t="str">
        <x:v>Sneakers</x:v>
      </x:c>
      <x:c r="G1263" s="2" t="str">
        <x:v>Online</x:v>
      </x:c>
      <x:c r="H1263" s="2" t="n">
        <x:v>1</x:v>
      </x:c>
      <x:c r="I1263" s="2" t="n">
        <x:v>28000</x:v>
      </x:c>
      <x:c r="J1263" s="2" t="n">
        <x:v>17500</x:v>
      </x:c>
      <x:c r="K1263" s="2" t="n">
        <x:v>0.05</x:v>
      </x:c>
      <x:c r="L1263" s="2" t="str">
        <x:v>Returned</x:v>
      </x:c>
    </x:row>
    <x:row r="1264" ht="21" customHeight="1">
      <x:c r="A1264" s="2" t="n">
        <x:v>1259</x:v>
      </x:c>
      <x:c r="B1264" s="2" t="str">
        <x:v>TXN-01259</x:v>
      </x:c>
      <x:c r="C1264" s="2" t="str">
        <x:v>2025-11-23</x:v>
      </x:c>
      <x:c r="D1264" s="2" t="str">
        <x:v>Kano</x:v>
      </x:c>
      <x:c r="E1264" s="2" t="str">
        <x:v>Home</x:v>
      </x:c>
      <x:c r="F1264" s="2" t="str">
        <x:v>Cookware set</x:v>
      </x:c>
      <x:c r="G1264" s="2" t="str">
        <x:v>In-store</x:v>
      </x:c>
      <x:c r="H1264" s="2" t="n">
        <x:v>2</x:v>
      </x:c>
      <x:c r="I1264" s="2" t="n">
        <x:v>35000</x:v>
      </x:c>
      <x:c r="J1264" s="2" t="n">
        <x:v>22500</x:v>
      </x:c>
      <x:c r="K1264" s="2" t="n">
        <x:v>0</x:v>
      </x:c>
      <x:c r="L1264" s="2" t="str">
        <x:v>Completed</x:v>
      </x:c>
    </x:row>
    <x:row r="1265" ht="21" customHeight="1">
      <x:c r="A1265" s="2" t="n">
        <x:v>1260</x:v>
      </x:c>
      <x:c r="B1265" s="2" t="str">
        <x:v>TXN-01260</x:v>
      </x:c>
      <x:c r="C1265" s="2" t="str">
        <x:v>2025-11-11</x:v>
      </x:c>
      <x:c r="D1265" s="2" t="str">
        <x:v>Lagos</x:v>
      </x:c>
      <x:c r="E1265" s="2" t="str">
        <x:v>Beauty</x:v>
      </x:c>
      <x:c r="F1265" s="2" t="str">
        <x:v>Body wash</x:v>
      </x:c>
      <x:c r="G1265" s="2" t="str">
        <x:v>Online</x:v>
      </x:c>
      <x:c r="H1265" s="2" t="n">
        <x:v>4</x:v>
      </x:c>
      <x:c r="I1265" s="2" t="n">
        <x:v>4500</x:v>
      </x:c>
      <x:c r="J1265" s="2" t="n">
        <x:v>2300</x:v>
      </x:c>
      <x:c r="K1265" s="2" t="n">
        <x:v>0.05</x:v>
      </x:c>
      <x:c r="L1265" s="2" t="str">
        <x:v>Completed</x:v>
      </x:c>
    </x:row>
    <x:row r="1266" ht="21" customHeight="1">
      <x:c r="A1266" s="2" t="n">
        <x:v>1261</x:v>
      </x:c>
      <x:c r="B1266" s="2" t="str">
        <x:v>TXN-01261</x:v>
      </x:c>
      <x:c r="C1266" s="2" t="str">
        <x:v>2025-11-08</x:v>
      </x:c>
      <x:c r="D1266" s="2" t="str">
        <x:v> abuja </x:v>
      </x:c>
      <x:c r="E1266" s="2" t="str">
        <x:v>Beauty</x:v>
      </x:c>
      <x:c r="F1266" s="2" t="str">
        <x:v>Perfume</x:v>
      </x:c>
      <x:c r="G1266" s="2" t="str">
        <x:v>In-store</x:v>
      </x:c>
      <x:c r="H1266" s="2" t="n">
        <x:v>2</x:v>
      </x:c>
      <x:c r="I1266" s="2" t="n">
        <x:v>17000</x:v>
      </x:c>
      <x:c r="J1266" s="2" t="n">
        <x:v>9000</x:v>
      </x:c>
      <x:c r="K1266" s="2" t="n">
        <x:v>0.1</x:v>
      </x:c>
      <x:c r="L1266" s="2" t="str">
        <x:v> COMPLETED </x:v>
      </x:c>
    </x:row>
    <x:row r="1267" ht="21" customHeight="1">
      <x:c r="A1267" s="2" t="n">
        <x:v>1262</x:v>
      </x:c>
      <x:c r="B1267" s="2" t="str">
        <x:v>TXN-01262</x:v>
      </x:c>
      <x:c r="C1267" s="2" t="str">
        <x:v>2025-11-03</x:v>
      </x:c>
      <x:c r="D1267" s="2" t="str">
        <x:v>Lagos</x:v>
      </x:c>
      <x:c r="E1267" s="2" t="str">
        <x:v>Beauty</x:v>
      </x:c>
      <x:c r="F1267" s="2" t="str">
        <x:v>Body wash</x:v>
      </x:c>
      <x:c r="G1267" s="2" t="str">
        <x:v>In-store</x:v>
      </x:c>
      <x:c r="H1267" s="2" t="n">
        <x:v>2</x:v>
      </x:c>
      <x:c r="I1267" s="2" t="n">
        <x:v>4500</x:v>
      </x:c>
      <x:c r="J1267" s="2" t="n">
        <x:v>2300</x:v>
      </x:c>
      <x:c r="K1267" s="2" t="n">
        <x:v>0</x:v>
      </x:c>
      <x:c r="L1267" s="2" t="str">
        <x:v>Completed</x:v>
      </x:c>
    </x:row>
    <x:row r="1268" ht="21" customHeight="1">
      <x:c r="A1268" s="2" t="n">
        <x:v>1263</x:v>
      </x:c>
      <x:c r="B1268" s="2" t="str">
        <x:v>TXN-01263</x:v>
      </x:c>
      <x:c r="C1268" s="2" t="str">
        <x:v>2025-11-02</x:v>
      </x:c>
      <x:c r="D1268" s="2" t="str">
        <x:v>Port Harcourt</x:v>
      </x:c>
      <x:c r="E1268" s="2" t="str">
        <x:v>Electronics</x:v>
      </x:c>
      <x:c r="F1268" s="2" t="str">
        <x:v>Headphones</x:v>
      </x:c>
      <x:c r="G1268" s="2" t="str">
        <x:v>Online</x:v>
      </x:c>
      <x:c r="H1268" s="2" t="n">
        <x:v>2</x:v>
      </x:c>
      <x:c r="I1268" s="2" t="n">
        <x:v>18000</x:v>
      </x:c>
      <x:c r="J1268" s="2" t="n">
        <x:v>10500</x:v>
      </x:c>
      <x:c r="K1268" s="2" t="n">
        <x:v>0</x:v>
      </x:c>
      <x:c r="L1268" s="2" t="str">
        <x:v>Completed</x:v>
      </x:c>
    </x:row>
    <x:row r="1269" ht="21" customHeight="1">
      <x:c r="A1269" s="2" t="n">
        <x:v>1264</x:v>
      </x:c>
      <x:c r="B1269" s="2" t="str">
        <x:v>TXN-01264</x:v>
      </x:c>
      <x:c r="C1269" s="2" t="str">
        <x:v>2025-11-24</x:v>
      </x:c>
      <x:c r="D1269" s="2" t="str">
        <x:v>Abuja</x:v>
      </x:c>
      <x:c r="E1269" s="2" t="str">
        <x:v>Fashion</x:v>
      </x:c>
      <x:c r="F1269" s="2" t="str">
        <x:v>Handbag</x:v>
      </x:c>
      <x:c r="G1269" s="2" t="str">
        <x:v>In-store</x:v>
      </x:c>
      <x:c r="H1269" s="2" t="n">
        <x:v>1</x:v>
      </x:c>
      <x:c r="I1269" s="2" t="n">
        <x:v>22000</x:v>
      </x:c>
      <x:c r="J1269" s="2" t="n">
        <x:v>13500</x:v>
      </x:c>
      <x:c r="K1269" s="2" t="n">
        <x:v>0</x:v>
      </x:c>
      <x:c r="L1269" s="2" t="str">
        <x:v>Completed</x:v>
      </x:c>
    </x:row>
    <x:row r="1270" ht="21" customHeight="1">
      <x:c r="A1270" s="2" t="n">
        <x:v>1265</x:v>
      </x:c>
      <x:c r="B1270" s="2" t="str">
        <x:v>TXN-01265</x:v>
      </x:c>
      <x:c r="C1270" s="2" t="str">
        <x:v>2025-11-13</x:v>
      </x:c>
      <x:c r="D1270" s="2" t="str">
        <x:v>Abuja</x:v>
      </x:c>
      <x:c r="E1270" s="2" t="str">
        <x:v>Home</x:v>
      </x:c>
      <x:c r="F1270" s="2" t="str">
        <x:v>Bedsheet</x:v>
      </x:c>
      <x:c r="G1270" s="2" t="str">
        <x:v>In-store</x:v>
      </x:c>
      <x:c r="H1270" s="2" t="n">
        <x:v>2</x:v>
      </x:c>
      <x:c r="I1270" s="2" t="n">
        <x:v>14000</x:v>
      </x:c>
      <x:c r="J1270" s="2" t="n">
        <x:v>8500</x:v>
      </x:c>
      <x:c r="K1270" s="2" t="n">
        <x:v>0</x:v>
      </x:c>
      <x:c r="L1270" s="2" t="str">
        <x:v>Completed</x:v>
      </x:c>
    </x:row>
    <x:row r="1271" ht="21" customHeight="1">
      <x:c r="A1271" s="2" t="n">
        <x:v>1266</x:v>
      </x:c>
      <x:c r="B1271" s="2" t="str">
        <x:v>TXN-01266</x:v>
      </x:c>
      <x:c r="C1271" s="2" t="str">
        <x:v>2025-11-13</x:v>
      </x:c>
      <x:c r="D1271" s="2" t="str">
        <x:v>Abuja</x:v>
      </x:c>
      <x:c r="E1271" s="2" t="str">
        <x:v>Fashion</x:v>
      </x:c>
      <x:c r="F1271" s="2" t="str">
        <x:v>Sneakers</x:v>
      </x:c>
      <x:c r="G1271" s="2" t="str">
        <x:v> in-store </x:v>
      </x:c>
      <x:c r="H1271" s="2" t="n">
        <x:v>1</x:v>
      </x:c>
      <x:c r="I1271" s="2" t="n">
        <x:v>28000</x:v>
      </x:c>
      <x:c r="J1271" s="2" t="n">
        <x:v>17500</x:v>
      </x:c>
      <x:c r="K1271" s="2" t="n">
        <x:v>0</x:v>
      </x:c>
      <x:c r="L1271" s="2" t="str">
        <x:v>Completed</x:v>
      </x:c>
    </x:row>
    <x:row r="1272" ht="21" customHeight="1">
      <x:c r="A1272" s="2" t="n">
        <x:v>1267</x:v>
      </x:c>
      <x:c r="B1272" s="2" t="str">
        <x:v>TXN-01267</x:v>
      </x:c>
      <x:c r="C1272" s="2" t="str">
        <x:v>2025-11-03</x:v>
      </x:c>
      <x:c r="D1272" s="2" t="str">
        <x:v>Port Harcourt</x:v>
      </x:c>
      <x:c r="E1272" s="2" t="str">
        <x:v>Fashion</x:v>
      </x:c>
      <x:c r="F1272" s="2" t="str">
        <x:v>Handbag</x:v>
      </x:c>
      <x:c r="G1272" s="2" t="str">
        <x:v>In-store</x:v>
      </x:c>
      <x:c r="H1272" s="2" t="n">
        <x:v>1</x:v>
      </x:c>
      <x:c r="I1272" s="2" t="n">
        <x:v>22000</x:v>
      </x:c>
      <x:c r="J1272" s="2" t="n">
        <x:v>13500</x:v>
      </x:c>
      <x:c r="K1272" s="2" t="n">
        <x:v>0</x:v>
      </x:c>
      <x:c r="L1272" s="2" t="str">
        <x:v>Completed</x:v>
      </x:c>
    </x:row>
    <x:row r="1273" ht="21" customHeight="1">
      <x:c r="A1273" s="2" t="n">
        <x:v>1268</x:v>
      </x:c>
      <x:c r="B1273" s="2" t="str">
        <x:v>TXN-01268</x:v>
      </x:c>
      <x:c r="C1273" s="2" t="str">
        <x:v>2025-11-11</x:v>
      </x:c>
      <x:c r="D1273" s="2" t="str">
        <x:v> lagos </x:v>
      </x:c>
      <x:c r="E1273" s="2" t="str">
        <x:v>Home</x:v>
      </x:c>
      <x:c r="F1273" s="2" t="str">
        <x:v>Cookware set</x:v>
      </x:c>
      <x:c r="G1273" s="2" t="str">
        <x:v>Online</x:v>
      </x:c>
      <x:c r="H1273" s="2" t="n">
        <x:v>1</x:v>
      </x:c>
      <x:c r="I1273" s="2" t="n">
        <x:v>35000</x:v>
      </x:c>
      <x:c r="J1273" s="2" t="n">
        <x:v>22500</x:v>
      </x:c>
      <x:c r="K1273" s="2" t="n">
        <x:v>0</x:v>
      </x:c>
      <x:c r="L1273" s="2" t="str">
        <x:v>Completed</x:v>
      </x:c>
    </x:row>
    <x:row r="1274" ht="21" customHeight="1">
      <x:c r="A1274" s="2" t="n">
        <x:v>1269</x:v>
      </x:c>
      <x:c r="B1274" s="2" t="str">
        <x:v>TXN-01269</x:v>
      </x:c>
      <x:c r="C1274" s="2" t="str">
        <x:v>2025-11-12</x:v>
      </x:c>
      <x:c r="D1274" s="2" t="str">
        <x:v>Abuja</x:v>
      </x:c>
      <x:c r="E1274" s="2" t="str">
        <x:v>Home</x:v>
      </x:c>
      <x:c r="F1274" s="2" t="str">
        <x:v>Bedsheet</x:v>
      </x:c>
      <x:c r="G1274" s="2" t="str">
        <x:v>Online</x:v>
      </x:c>
      <x:c r="H1274" s="2" t="n">
        <x:v>2</x:v>
      </x:c>
      <x:c r="I1274" s="2" t="n">
        <x:v>14000</x:v>
      </x:c>
      <x:c r="J1274" s="2" t="n">
        <x:v>8500</x:v>
      </x:c>
      <x:c r="K1274" s="2" t="n">
        <x:v>0.1</x:v>
      </x:c>
      <x:c r="L1274" s="2" t="str">
        <x:v>Completed</x:v>
      </x:c>
    </x:row>
    <x:row r="1275" ht="21" customHeight="1">
      <x:c r="A1275" s="2" t="n">
        <x:v>1270</x:v>
      </x:c>
      <x:c r="B1275" s="2" t="str">
        <x:v>TXN-01270</x:v>
      </x:c>
      <x:c r="C1275" s="2" t="str">
        <x:v>2025-11-14</x:v>
      </x:c>
      <x:c r="D1275" s="2" t="str">
        <x:v>Kano</x:v>
      </x:c>
      <x:c r="E1275" s="2" t="str">
        <x:v>Home</x:v>
      </x:c>
      <x:c r="F1275" s="2" t="str">
        <x:v>Desk lamp</x:v>
      </x:c>
      <x:c r="G1275" s="2" t="str">
        <x:v>In-store</x:v>
      </x:c>
      <x:c r="H1275" s="2" t="n">
        <x:v>2</x:v>
      </x:c>
      <x:c r="I1275" s="2" t="n">
        <x:v>12000</x:v>
      </x:c>
      <x:c r="J1275" s="2" t="n">
        <x:v>7200</x:v>
      </x:c>
      <x:c r="K1275" s="2" t="n">
        <x:v>0</x:v>
      </x:c>
      <x:c r="L1275" s="2" t="str">
        <x:v> COMPLETED </x:v>
      </x:c>
    </x:row>
    <x:row r="1276" ht="21" customHeight="1">
      <x:c r="A1276" s="2" t="n">
        <x:v>1271</x:v>
      </x:c>
      <x:c r="B1276" s="2" t="str">
        <x:v>TXN-01271</x:v>
      </x:c>
      <x:c r="C1276" s="2" t="str">
        <x:v>2025-11-07</x:v>
      </x:c>
      <x:c r="D1276" s="2" t="str">
        <x:v>Lagos</x:v>
      </x:c>
      <x:c r="E1276" s="2" t="str">
        <x:v>Home</x:v>
      </x:c>
      <x:c r="F1276" s="2" t="str">
        <x:v>Desk lamp</x:v>
      </x:c>
      <x:c r="G1276" s="2" t="str">
        <x:v>Online</x:v>
      </x:c>
      <x:c r="H1276" s="2" t="n">
        <x:v>1</x:v>
      </x:c>
      <x:c r="I1276" s="2" t="n">
        <x:v>12000</x:v>
      </x:c>
      <x:c r="J1276" s="2" t="n">
        <x:v>7200</x:v>
      </x:c>
      <x:c r="K1276" s="2" t="n">
        <x:v>0.05</x:v>
      </x:c>
      <x:c r="L1276" s="2" t="str">
        <x:v>Completed</x:v>
      </x:c>
    </x:row>
    <x:row r="1277" ht="21" customHeight="1">
      <x:c r="A1277" s="2" t="n">
        <x:v>1272</x:v>
      </x:c>
      <x:c r="B1277" s="2" t="str">
        <x:v>TXN-01272</x:v>
      </x:c>
      <x:c r="C1277" s="2" t="str">
        <x:v>2025-11-05</x:v>
      </x:c>
      <x:c r="D1277" s="2" t="str">
        <x:v>Lagos</x:v>
      </x:c>
      <x:c r="E1277" s="2" t="str">
        <x:v>Electronics</x:v>
      </x:c>
      <x:c r="F1277" s="2" t="str">
        <x:v>Headphones</x:v>
      </x:c>
      <x:c r="G1277" s="2" t="str">
        <x:v>Online</x:v>
      </x:c>
      <x:c r="H1277" s="2" t="n">
        <x:v>2</x:v>
      </x:c>
      <x:c r="I1277" s="2" t="n">
        <x:v>18000</x:v>
      </x:c>
      <x:c r="J1277" s="2" t="n">
        <x:v>10500</x:v>
      </x:c>
      <x:c r="K1277" s="2" t="n">
        <x:v>0</x:v>
      </x:c>
      <x:c r="L1277" s="2" t="str">
        <x:v>Completed</x:v>
      </x:c>
    </x:row>
    <x:row r="1278" ht="21" customHeight="1">
      <x:c r="A1278" s="2" t="n">
        <x:v>1273</x:v>
      </x:c>
      <x:c r="B1278" s="2" t="str">
        <x:v>TXN-01273</x:v>
      </x:c>
      <x:c r="C1278" s="2" t="str">
        <x:v>2025-11-16</x:v>
      </x:c>
      <x:c r="D1278" s="2" t="str"/>
      <x:c r="E1278" s="2" t="str">
        <x:v>Beauty</x:v>
      </x:c>
      <x:c r="F1278" s="2" t="str">
        <x:v>Body wash</x:v>
      </x:c>
      <x:c r="G1278" s="2" t="str">
        <x:v>Online</x:v>
      </x:c>
      <x:c r="H1278" s="2" t="n">
        <x:v>2</x:v>
      </x:c>
      <x:c r="I1278" s="2" t="n">
        <x:v>4500</x:v>
      </x:c>
      <x:c r="J1278" s="2" t="n">
        <x:v>2300</x:v>
      </x:c>
      <x:c r="K1278" s="2" t="n">
        <x:v>0</x:v>
      </x:c>
      <x:c r="L1278" s="2" t="str">
        <x:v>Completed</x:v>
      </x:c>
    </x:row>
    <x:row r="1279" ht="21" customHeight="1">
      <x:c r="A1279" s="2" t="n">
        <x:v>1274</x:v>
      </x:c>
      <x:c r="B1279" s="2" t="str">
        <x:v>TXN-01274</x:v>
      </x:c>
      <x:c r="C1279" s="2" t="str">
        <x:v>2025-11-24</x:v>
      </x:c>
      <x:c r="D1279" s="2" t="str">
        <x:v>Lagos</x:v>
      </x:c>
      <x:c r="E1279" s="2" t="str">
        <x:v>Beauty</x:v>
      </x:c>
      <x:c r="F1279" s="2" t="str">
        <x:v>Perfume</x:v>
      </x:c>
      <x:c r="G1279" s="2" t="str">
        <x:v>In-store</x:v>
      </x:c>
      <x:c r="H1279" s="2" t="n">
        <x:v>1</x:v>
      </x:c>
      <x:c r="I1279" s="2" t="n">
        <x:v>17000</x:v>
      </x:c>
      <x:c r="J1279" s="2" t="n">
        <x:v>9000</x:v>
      </x:c>
      <x:c r="K1279" s="2" t="n">
        <x:v>0</x:v>
      </x:c>
      <x:c r="L1279" s="2" t="str">
        <x:v>Completed</x:v>
      </x:c>
    </x:row>
    <x:row r="1280" ht="21" customHeight="1">
      <x:c r="A1280" s="2" t="n">
        <x:v>1275</x:v>
      </x:c>
      <x:c r="B1280" s="2" t="str">
        <x:v>TXN-01275</x:v>
      </x:c>
      <x:c r="C1280" s="2" t="str">
        <x:v>2025-11-23</x:v>
      </x:c>
      <x:c r="D1280" s="2" t="str">
        <x:v> lagos </x:v>
      </x:c>
      <x:c r="E1280" s="2" t="str">
        <x:v>Electronics</x:v>
      </x:c>
      <x:c r="F1280" s="2" t="str">
        <x:v>Headphones</x:v>
      </x:c>
      <x:c r="G1280" s="2" t="str">
        <x:v>Online</x:v>
      </x:c>
      <x:c r="H1280" s="2" t="n">
        <x:v>2</x:v>
      </x:c>
      <x:c r="I1280" s="2" t="n">
        <x:v>18000</x:v>
      </x:c>
      <x:c r="J1280" s="2" t="n">
        <x:v>10500</x:v>
      </x:c>
      <x:c r="K1280" s="2" t="n">
        <x:v>0</x:v>
      </x:c>
      <x:c r="L1280" s="2" t="str">
        <x:v>Completed</x:v>
      </x:c>
    </x:row>
    <x:row r="1281" ht="21" customHeight="1">
      <x:c r="A1281" s="2" t="n">
        <x:v>1276</x:v>
      </x:c>
      <x:c r="B1281" s="2" t="str">
        <x:v>TXN-01276</x:v>
      </x:c>
      <x:c r="C1281" s="2" t="str">
        <x:v>2025-11-16</x:v>
      </x:c>
      <x:c r="D1281" s="2" t="str">
        <x:v>Abuja</x:v>
      </x:c>
      <x:c r="E1281" s="2" t="str">
        <x:v>Beauty</x:v>
      </x:c>
      <x:c r="F1281" s="2" t="str">
        <x:v>Body wash</x:v>
      </x:c>
      <x:c r="G1281" s="2" t="str">
        <x:v>Online</x:v>
      </x:c>
      <x:c r="H1281" s="2" t="n">
        <x:v>2</x:v>
      </x:c>
      <x:c r="I1281" s="2" t="n">
        <x:v>4500</x:v>
      </x:c>
      <x:c r="J1281" s="2" t="n">
        <x:v>2300</x:v>
      </x:c>
      <x:c r="K1281" s="2" t="n">
        <x:v>0.05</x:v>
      </x:c>
      <x:c r="L1281" s="2" t="str">
        <x:v>Completed</x:v>
      </x:c>
    </x:row>
    <x:row r="1282" ht="21" customHeight="1">
      <x:c r="A1282" s="2" t="n">
        <x:v>1277</x:v>
      </x:c>
      <x:c r="B1282" s="2" t="str">
        <x:v>TXN-01277</x:v>
      </x:c>
      <x:c r="C1282" s="2" t="str">
        <x:v>2025-11-18</x:v>
      </x:c>
      <x:c r="D1282" s="2" t="str">
        <x:v>Lagos</x:v>
      </x:c>
      <x:c r="E1282" s="2" t="str">
        <x:v>Electronics</x:v>
      </x:c>
      <x:c r="F1282" s="2" t="str">
        <x:v>Power bank</x:v>
      </x:c>
      <x:c r="G1282" s="2" t="str">
        <x:v> online </x:v>
      </x:c>
      <x:c r="H1282" s="2" t="n">
        <x:v>2</x:v>
      </x:c>
      <x:c r="I1282" s="2" t="n">
        <x:v>15000</x:v>
      </x:c>
      <x:c r="J1282" s="2" t="n">
        <x:v>9500</x:v>
      </x:c>
      <x:c r="K1282" s="2" t="n">
        <x:v>0</x:v>
      </x:c>
      <x:c r="L1282" s="2" t="str">
        <x:v>Completed</x:v>
      </x:c>
    </x:row>
    <x:row r="1283" ht="21" customHeight="1">
      <x:c r="A1283" s="2" t="n">
        <x:v>1278</x:v>
      </x:c>
      <x:c r="B1283" s="2" t="str">
        <x:v>TXN-01278</x:v>
      </x:c>
      <x:c r="C1283" s="2" t="str">
        <x:v>2025-11-09</x:v>
      </x:c>
      <x:c r="D1283" s="2" t="str">
        <x:v>Lagos</x:v>
      </x:c>
      <x:c r="E1283" s="2" t="str">
        <x:v>Beauty</x:v>
      </x:c>
      <x:c r="F1283" s="2" t="str">
        <x:v>Body wash</x:v>
      </x:c>
      <x:c r="G1283" s="2" t="str">
        <x:v>In-store</x:v>
      </x:c>
      <x:c r="H1283" s="2" t="n">
        <x:v>1</x:v>
      </x:c>
      <x:c r="I1283" s="2" t="n">
        <x:v>4500</x:v>
      </x:c>
      <x:c r="J1283" s="2" t="n">
        <x:v>2300</x:v>
      </x:c>
      <x:c r="K1283" s="2" t="n">
        <x:v>0</x:v>
      </x:c>
      <x:c r="L1283" s="2" t="str">
        <x:v>Completed</x:v>
      </x:c>
    </x:row>
    <x:row r="1284" ht="21" customHeight="1">
      <x:c r="A1284" s="2" t="n">
        <x:v>1279</x:v>
      </x:c>
      <x:c r="B1284" s="2" t="str">
        <x:v>TXN-01279</x:v>
      </x:c>
      <x:c r="C1284" s="2" t="str">
        <x:v>2025-11-01</x:v>
      </x:c>
      <x:c r="D1284" s="2" t="str">
        <x:v>Abuja</x:v>
      </x:c>
      <x:c r="E1284" s="2" t="str">
        <x:v>Fashion</x:v>
      </x:c>
      <x:c r="F1284" s="2" t="str">
        <x:v>Handbag</x:v>
      </x:c>
      <x:c r="G1284" s="2" t="str">
        <x:v>Online</x:v>
      </x:c>
      <x:c r="H1284" s="2" t="n">
        <x:v>1</x:v>
      </x:c>
      <x:c r="I1284" s="2" t="n">
        <x:v>22000</x:v>
      </x:c>
      <x:c r="J1284" s="2" t="n">
        <x:v>13500</x:v>
      </x:c>
      <x:c r="K1284" s="2" t="n">
        <x:v>0.1</x:v>
      </x:c>
      <x:c r="L1284" s="2" t="str">
        <x:v> COMPLETED </x:v>
      </x:c>
    </x:row>
    <x:row r="1285" ht="21" customHeight="1">
      <x:c r="A1285" s="2" t="n">
        <x:v>1280</x:v>
      </x:c>
      <x:c r="B1285" s="2" t="str">
        <x:v>TXN-01280</x:v>
      </x:c>
      <x:c r="C1285" s="2" t="str">
        <x:v>2025-11-21</x:v>
      </x:c>
      <x:c r="D1285" s="2" t="str">
        <x:v>Lagos</x:v>
      </x:c>
      <x:c r="E1285" s="2" t="str">
        <x:v>Beauty</x:v>
      </x:c>
      <x:c r="F1285" s="2" t="str">
        <x:v>Perfume</x:v>
      </x:c>
      <x:c r="G1285" s="2" t="str">
        <x:v>Online</x:v>
      </x:c>
      <x:c r="H1285" s="2" t="n">
        <x:v>1</x:v>
      </x:c>
      <x:c r="I1285" s="2" t="n">
        <x:v>17000</x:v>
      </x:c>
      <x:c r="J1285" s="2" t="n">
        <x:v>9000</x:v>
      </x:c>
      <x:c r="K1285" s="2" t="n">
        <x:v>0</x:v>
      </x:c>
      <x:c r="L1285" s="2" t="str">
        <x:v>Completed</x:v>
      </x:c>
    </x:row>
    <x:row r="1286" ht="21" customHeight="1">
      <x:c r="A1286" s="2" t="n">
        <x:v>1281</x:v>
      </x:c>
      <x:c r="B1286" s="2" t="str">
        <x:v>TXN-01281</x:v>
      </x:c>
      <x:c r="C1286" s="2" t="str">
        <x:v>2025-11-19</x:v>
      </x:c>
      <x:c r="D1286" s="2" t="str">
        <x:v>Kano</x:v>
      </x:c>
      <x:c r="E1286" s="2" t="str">
        <x:v>Fashion</x:v>
      </x:c>
      <x:c r="F1286" s="2" t="str">
        <x:v>Sneakers</x:v>
      </x:c>
      <x:c r="G1286" s="2" t="str">
        <x:v>Online</x:v>
      </x:c>
      <x:c r="H1286" s="2" t="n">
        <x:v>2</x:v>
      </x:c>
      <x:c r="I1286" s="2" t="n">
        <x:v>28000</x:v>
      </x:c>
      <x:c r="J1286" s="2" t="n">
        <x:v>17500</x:v>
      </x:c>
      <x:c r="K1286" s="2" t="n">
        <x:v>0.1</x:v>
      </x:c>
      <x:c r="L1286" s="2" t="str">
        <x:v>Completed</x:v>
      </x:c>
    </x:row>
    <x:row r="1287" ht="21" customHeight="1">
      <x:c r="A1287" s="2" t="n">
        <x:v>1282</x:v>
      </x:c>
      <x:c r="B1287" s="2" t="str">
        <x:v>TXN-01282</x:v>
      </x:c>
      <x:c r="C1287" s="2" t="str">
        <x:v>2025-11-25</x:v>
      </x:c>
      <x:c r="D1287" s="2" t="str">
        <x:v> port harcourt </x:v>
      </x:c>
      <x:c r="E1287" s="2" t="str">
        <x:v>Electronics</x:v>
      </x:c>
      <x:c r="F1287" s="2" t="str">
        <x:v>Bluetooth speaker</x:v>
      </x:c>
      <x:c r="G1287" s="2" t="str">
        <x:v>Online</x:v>
      </x:c>
      <x:c r="H1287" s="2" t="n">
        <x:v>1</x:v>
      </x:c>
      <x:c r="I1287" s="2" t="n">
        <x:v>26000</x:v>
      </x:c>
      <x:c r="J1287" s="2" t="n">
        <x:v>17000</x:v>
      </x:c>
      <x:c r="K1287" s="2" t="n">
        <x:v>0.15</x:v>
      </x:c>
      <x:c r="L1287" s="2" t="str">
        <x:v>Completed</x:v>
      </x:c>
    </x:row>
    <x:row r="1288" ht="21" customHeight="1">
      <x:c r="A1288" s="2" t="n">
        <x:v>1283</x:v>
      </x:c>
      <x:c r="B1288" s="2" t="str">
        <x:v>TXN-01283</x:v>
      </x:c>
      <x:c r="C1288" s="2" t="str">
        <x:v>2025-11-12</x:v>
      </x:c>
      <x:c r="D1288" s="2" t="str">
        <x:v>Abuja</x:v>
      </x:c>
      <x:c r="E1288" s="2" t="str">
        <x:v>Beauty</x:v>
      </x:c>
      <x:c r="F1288" s="2" t="str">
        <x:v>Body wash</x:v>
      </x:c>
      <x:c r="G1288" s="2" t="str">
        <x:v>Online</x:v>
      </x:c>
      <x:c r="H1288" s="2" t="n">
        <x:v>1</x:v>
      </x:c>
      <x:c r="I1288" s="2" t="n">
        <x:v>4500</x:v>
      </x:c>
      <x:c r="J1288" s="2" t="n">
        <x:v>2300</x:v>
      </x:c>
      <x:c r="K1288" s="2" t="n">
        <x:v>0</x:v>
      </x:c>
      <x:c r="L1288" s="2" t="str">
        <x:v>Completed</x:v>
      </x:c>
    </x:row>
    <x:row r="1289" ht="21" customHeight="1">
      <x:c r="A1289" s="2" t="n">
        <x:v>1284</x:v>
      </x:c>
      <x:c r="B1289" s="2" t="str">
        <x:v>TXN-01284</x:v>
      </x:c>
      <x:c r="C1289" s="2" t="str">
        <x:v>2025-11-12</x:v>
      </x:c>
      <x:c r="D1289" s="2" t="str">
        <x:v>Abuja</x:v>
      </x:c>
      <x:c r="E1289" s="2" t="str">
        <x:v>Fashion</x:v>
      </x:c>
      <x:c r="F1289" s="2" t="str">
        <x:v>T-shirt</x:v>
      </x:c>
      <x:c r="G1289" s="2" t="str">
        <x:v>Online</x:v>
      </x:c>
      <x:c r="H1289" s="2" t="n">
        <x:v>2</x:v>
      </x:c>
      <x:c r="I1289" s="2" t="n">
        <x:v>9000</x:v>
      </x:c>
      <x:c r="J1289" s="2" t="n">
        <x:v>5000</x:v>
      </x:c>
      <x:c r="K1289" s="2" t="n">
        <x:v>0.05</x:v>
      </x:c>
      <x:c r="L1289" s="2" t="str">
        <x:v>Completed</x:v>
      </x:c>
    </x:row>
    <x:row r="1290" ht="21" customHeight="1">
      <x:c r="A1290" s="2" t="n">
        <x:v>1285</x:v>
      </x:c>
      <x:c r="B1290" s="2" t="str">
        <x:v>TXN-01285</x:v>
      </x:c>
      <x:c r="C1290" s="2" t="str">
        <x:v>2025-11-06</x:v>
      </x:c>
      <x:c r="D1290" s="2" t="str">
        <x:v>Lagos</x:v>
      </x:c>
      <x:c r="E1290" s="2" t="str">
        <x:v>Fashion</x:v>
      </x:c>
      <x:c r="F1290" s="2" t="str">
        <x:v>Sneakers</x:v>
      </x:c>
      <x:c r="G1290" s="2" t="str">
        <x:v>In-store</x:v>
      </x:c>
      <x:c r="H1290" s="2" t="n">
        <x:v>3</x:v>
      </x:c>
      <x:c r="I1290" s="2" t="n">
        <x:v>28000</x:v>
      </x:c>
      <x:c r="J1290" s="2" t="n">
        <x:v>17500</x:v>
      </x:c>
      <x:c r="K1290" s="2" t="n">
        <x:v>0.1</x:v>
      </x:c>
      <x:c r="L1290" s="2" t="str">
        <x:v>Completed</x:v>
      </x:c>
    </x:row>
    <x:row r="1291" ht="21" customHeight="1">
      <x:c r="A1291" s="2" t="n">
        <x:v>1286</x:v>
      </x:c>
      <x:c r="B1291" s="2" t="str">
        <x:v>TXN-01286</x:v>
      </x:c>
      <x:c r="C1291" s="2" t="str">
        <x:v>2025-11-27</x:v>
      </x:c>
      <x:c r="D1291" s="2" t="str">
        <x:v>Abuja</x:v>
      </x:c>
      <x:c r="E1291" s="2" t="str">
        <x:v>Electronics</x:v>
      </x:c>
      <x:c r="F1291" s="2" t="str">
        <x:v>Headphones</x:v>
      </x:c>
      <x:c r="G1291" s="2" t="str">
        <x:v>Online</x:v>
      </x:c>
      <x:c r="H1291" s="2" t="n">
        <x:v>2</x:v>
      </x:c>
      <x:c r="I1291" s="2" t="n">
        <x:v>18000</x:v>
      </x:c>
      <x:c r="J1291" s="2" t="n">
        <x:v>10500</x:v>
      </x:c>
      <x:c r="K1291" s="2" t="n">
        <x:v>0</x:v>
      </x:c>
      <x:c r="L1291" s="2" t="str">
        <x:v>Completed</x:v>
      </x:c>
    </x:row>
    <x:row r="1292" ht="21" customHeight="1">
      <x:c r="A1292" s="2" t="n">
        <x:v>1287</x:v>
      </x:c>
      <x:c r="B1292" s="2" t="str">
        <x:v>TXN-01287</x:v>
      </x:c>
      <x:c r="C1292" s="2" t="str">
        <x:v>2025-11-11</x:v>
      </x:c>
      <x:c r="D1292" s="2" t="str">
        <x:v>Abuja</x:v>
      </x:c>
      <x:c r="E1292" s="2" t="str">
        <x:v>Electronics</x:v>
      </x:c>
      <x:c r="F1292" s="2" t="str">
        <x:v>Power bank</x:v>
      </x:c>
      <x:c r="G1292" s="2" t="str">
        <x:v>Online</x:v>
      </x:c>
      <x:c r="H1292" s="2" t="n">
        <x:v>1</x:v>
      </x:c>
      <x:c r="I1292" s="2" t="n">
        <x:v>15000</x:v>
      </x:c>
      <x:c r="J1292" s="2" t="n">
        <x:v>9500</x:v>
      </x:c>
      <x:c r="K1292" s="2" t="n">
        <x:v>0</x:v>
      </x:c>
      <x:c r="L1292" s="2" t="str">
        <x:v>Completed</x:v>
      </x:c>
    </x:row>
    <x:row r="1293" ht="21" customHeight="1">
      <x:c r="A1293" s="2" t="n">
        <x:v>1288</x:v>
      </x:c>
      <x:c r="B1293" s="2" t="str">
        <x:v>TXN-01288</x:v>
      </x:c>
      <x:c r="C1293" s="2" t="str">
        <x:v>2025-11-28</x:v>
      </x:c>
      <x:c r="D1293" s="2" t="str">
        <x:v>Port Harcourt</x:v>
      </x:c>
      <x:c r="E1293" s="2" t="str">
        <x:v>Beauty</x:v>
      </x:c>
      <x:c r="F1293" s="2" t="str">
        <x:v>Moisturizer</x:v>
      </x:c>
      <x:c r="G1293" s="2" t="str">
        <x:v> in-store </x:v>
      </x:c>
      <x:c r="H1293" s="2" t="n">
        <x:v>2</x:v>
      </x:c>
      <x:c r="I1293" s="2" t="n">
        <x:v>6500</x:v>
      </x:c>
      <x:c r="J1293" s="2" t="n">
        <x:v>3500</x:v>
      </x:c>
      <x:c r="K1293" s="2" t="n">
        <x:v>0.05</x:v>
      </x:c>
      <x:c r="L1293" s="2" t="str">
        <x:v> COMPLETED </x:v>
      </x:c>
    </x:row>
    <x:row r="1294" ht="21" customHeight="1">
      <x:c r="A1294" s="2" t="n">
        <x:v>1289</x:v>
      </x:c>
      <x:c r="B1294" s="2" t="str">
        <x:v>TXN-01289</x:v>
      </x:c>
      <x:c r="C1294" s="2" t="str">
        <x:v>2025-11-12</x:v>
      </x:c>
      <x:c r="D1294" s="2" t="str">
        <x:v> abuja </x:v>
      </x:c>
      <x:c r="E1294" s="2" t="str">
        <x:v>Home</x:v>
      </x:c>
      <x:c r="F1294" s="2" t="str">
        <x:v>Desk lamp</x:v>
      </x:c>
      <x:c r="G1294" s="2" t="str">
        <x:v>Online</x:v>
      </x:c>
      <x:c r="H1294" s="2" t="n">
        <x:v>2</x:v>
      </x:c>
      <x:c r="I1294" s="2" t="n">
        <x:v>12000</x:v>
      </x:c>
      <x:c r="J1294" s="2" t="n">
        <x:v>7200</x:v>
      </x:c>
      <x:c r="K1294" s="2" t="n">
        <x:v>0</x:v>
      </x:c>
      <x:c r="L1294" s="2" t="str">
        <x:v>Completed</x:v>
      </x:c>
    </x:row>
    <x:row r="1295" ht="21" customHeight="1">
      <x:c r="A1295" s="2" t="n">
        <x:v>1290</x:v>
      </x:c>
      <x:c r="B1295" s="2" t="str">
        <x:v>TXN-01290</x:v>
      </x:c>
      <x:c r="C1295" s="2" t="str">
        <x:v>2025-11-10</x:v>
      </x:c>
      <x:c r="D1295" s="2" t="str">
        <x:v>Lagos</x:v>
      </x:c>
      <x:c r="E1295" s="2" t="str">
        <x:v>Fashion</x:v>
      </x:c>
      <x:c r="F1295" s="2" t="str">
        <x:v>Handbag</x:v>
      </x:c>
      <x:c r="G1295" s="2" t="str">
        <x:v>Online</x:v>
      </x:c>
      <x:c r="H1295" s="2" t="n">
        <x:v>1</x:v>
      </x:c>
      <x:c r="I1295" s="2" t="n">
        <x:v>22000</x:v>
      </x:c>
      <x:c r="J1295" s="2" t="n">
        <x:v>13500</x:v>
      </x:c>
      <x:c r="K1295" s="2" t="n">
        <x:v>0</x:v>
      </x:c>
      <x:c r="L1295" s="2" t="str">
        <x:v>Completed</x:v>
      </x:c>
    </x:row>
    <x:row r="1296" ht="21" customHeight="1">
      <x:c r="A1296" s="2" t="n">
        <x:v>1291</x:v>
      </x:c>
      <x:c r="B1296" s="2" t="str">
        <x:v>TXN-01291</x:v>
      </x:c>
      <x:c r="C1296" s="2" t="str">
        <x:v>2025-11-14</x:v>
      </x:c>
      <x:c r="D1296" s="2" t="str">
        <x:v>Abuja</x:v>
      </x:c>
      <x:c r="E1296" s="2" t="str">
        <x:v>Beauty</x:v>
      </x:c>
      <x:c r="F1296" s="2" t="str">
        <x:v>Body wash</x:v>
      </x:c>
      <x:c r="G1296" s="2" t="str">
        <x:v>Online</x:v>
      </x:c>
      <x:c r="H1296" s="2" t="n">
        <x:v>2</x:v>
      </x:c>
      <x:c r="I1296" s="2" t="n">
        <x:v>4500</x:v>
      </x:c>
      <x:c r="J1296" s="2" t="n">
        <x:v>2300</x:v>
      </x:c>
      <x:c r="K1296" s="2" t="n">
        <x:v>0</x:v>
      </x:c>
      <x:c r="L1296" s="2" t="str">
        <x:v>Returned</x:v>
      </x:c>
    </x:row>
    <x:row r="1297" ht="21" customHeight="1">
      <x:c r="A1297" s="2" t="n">
        <x:v>1292</x:v>
      </x:c>
      <x:c r="B1297" s="2" t="str">
        <x:v>TXN-01292</x:v>
      </x:c>
      <x:c r="C1297" s="2" t="str">
        <x:v>2025-11-29</x:v>
      </x:c>
      <x:c r="D1297" s="2" t="str">
        <x:v>Lagos</x:v>
      </x:c>
      <x:c r="E1297" s="2" t="str">
        <x:v>Fashion</x:v>
      </x:c>
      <x:c r="F1297" s="2" t="str">
        <x:v>Sneakers</x:v>
      </x:c>
      <x:c r="G1297" s="2" t="str">
        <x:v>In-store</x:v>
      </x:c>
      <x:c r="H1297" s="2" t="n">
        <x:v>1</x:v>
      </x:c>
      <x:c r="I1297" s="2" t="n">
        <x:v>28000</x:v>
      </x:c>
      <x:c r="J1297" s="2" t="n">
        <x:v>17500</x:v>
      </x:c>
      <x:c r="K1297" s="2" t="n">
        <x:v>0</x:v>
      </x:c>
      <x:c r="L1297" s="2" t="str">
        <x:v>Completed</x:v>
      </x:c>
    </x:row>
    <x:row r="1298" ht="21" customHeight="1">
      <x:c r="A1298" s="2" t="n">
        <x:v>1293</x:v>
      </x:c>
      <x:c r="B1298" s="2" t="str">
        <x:v>TXN-01293</x:v>
      </x:c>
      <x:c r="C1298" s="2" t="str">
        <x:v>2025-11-11</x:v>
      </x:c>
      <x:c r="D1298" s="2" t="str">
        <x:v>Abuja</x:v>
      </x:c>
      <x:c r="E1298" s="2" t="str">
        <x:v>Electronics</x:v>
      </x:c>
      <x:c r="F1298" s="2" t="str">
        <x:v>Power bank</x:v>
      </x:c>
      <x:c r="G1298" s="2" t="str">
        <x:v>Online</x:v>
      </x:c>
      <x:c r="H1298" s="2" t="n">
        <x:v>2</x:v>
      </x:c>
      <x:c r="I1298" s="2" t="n">
        <x:v>15000</x:v>
      </x:c>
      <x:c r="J1298" s="2" t="n">
        <x:v>9500</x:v>
      </x:c>
      <x:c r="K1298" s="2" t="n">
        <x:v>0</x:v>
      </x:c>
      <x:c r="L1298" s="2" t="str">
        <x:v>Completed</x:v>
      </x:c>
    </x:row>
    <x:row r="1299" ht="21" customHeight="1">
      <x:c r="A1299" s="2" t="n">
        <x:v>1294</x:v>
      </x:c>
      <x:c r="B1299" s="2" t="str">
        <x:v>TXN-01294</x:v>
      </x:c>
      <x:c r="C1299" s="2" t="str">
        <x:v>2025-11-06</x:v>
      </x:c>
      <x:c r="D1299" s="2" t="str">
        <x:v>Lagos</x:v>
      </x:c>
      <x:c r="E1299" s="2" t="str">
        <x:v>Electronics</x:v>
      </x:c>
      <x:c r="F1299" s="2" t="str">
        <x:v>Power bank</x:v>
      </x:c>
      <x:c r="G1299" s="2" t="str">
        <x:v>Online</x:v>
      </x:c>
      <x:c r="H1299" s="2" t="n">
        <x:v>4</x:v>
      </x:c>
      <x:c r="I1299" s="2" t="n">
        <x:v>15000</x:v>
      </x:c>
      <x:c r="J1299" s="2" t="n">
        <x:v>9500</x:v>
      </x:c>
      <x:c r="K1299" s="2" t="n">
        <x:v>0</x:v>
      </x:c>
      <x:c r="L1299" s="2" t="str">
        <x:v>Completed</x:v>
      </x:c>
    </x:row>
    <x:row r="1300" ht="21" customHeight="1">
      <x:c r="A1300" s="2" t="n">
        <x:v>1295</x:v>
      </x:c>
      <x:c r="B1300" s="2" t="str">
        <x:v>TXN-01295</x:v>
      </x:c>
      <x:c r="C1300" s="2" t="str">
        <x:v>2025-11-09</x:v>
      </x:c>
      <x:c r="D1300" s="2" t="str">
        <x:v>Abuja</x:v>
      </x:c>
      <x:c r="E1300" s="2" t="str">
        <x:v>Beauty</x:v>
      </x:c>
      <x:c r="F1300" s="2" t="str">
        <x:v>Body wash</x:v>
      </x:c>
      <x:c r="G1300" s="2" t="str">
        <x:v>In-store</x:v>
      </x:c>
      <x:c r="H1300" s="2" t="n">
        <x:v>3</x:v>
      </x:c>
      <x:c r="I1300" s="2" t="n">
        <x:v>4500</x:v>
      </x:c>
      <x:c r="J1300" s="2" t="n">
        <x:v>2300</x:v>
      </x:c>
      <x:c r="K1300" s="2" t="n">
        <x:v>0</x:v>
      </x:c>
      <x:c r="L1300" s="2" t="str">
        <x:v>Completed</x:v>
      </x:c>
    </x:row>
    <x:row r="1301" ht="21" customHeight="1">
      <x:c r="A1301" s="2" t="n">
        <x:v>1296</x:v>
      </x:c>
      <x:c r="B1301" s="2" t="str">
        <x:v>TXN-01296</x:v>
      </x:c>
      <x:c r="C1301" s="2" t="str">
        <x:v>2025-11-18</x:v>
      </x:c>
      <x:c r="D1301" s="2" t="str">
        <x:v> lagos </x:v>
      </x:c>
      <x:c r="E1301" s="2" t="str">
        <x:v>Electronics</x:v>
      </x:c>
      <x:c r="F1301" s="2" t="str">
        <x:v>Bluetooth speaker</x:v>
      </x:c>
      <x:c r="G1301" s="2" t="str">
        <x:v>Online</x:v>
      </x:c>
      <x:c r="H1301" s="2" t="n">
        <x:v>2</x:v>
      </x:c>
      <x:c r="I1301" s="2" t="n">
        <x:v>26000</x:v>
      </x:c>
      <x:c r="J1301" s="2" t="n">
        <x:v>17000</x:v>
      </x:c>
      <x:c r="K1301" s="2" t="n">
        <x:v>0.05</x:v>
      </x:c>
      <x:c r="L1301" s="2" t="str">
        <x:v>Returned</x:v>
      </x:c>
    </x:row>
    <x:row r="1302" ht="21" customHeight="1">
      <x:c r="A1302" s="2" t="n">
        <x:v>1297</x:v>
      </x:c>
      <x:c r="B1302" s="2" t="str">
        <x:v>TXN-01297</x:v>
      </x:c>
      <x:c r="C1302" s="2" t="str">
        <x:v>2025-11-06</x:v>
      </x:c>
      <x:c r="D1302" s="2" t="str">
        <x:v>Abuja</x:v>
      </x:c>
      <x:c r="E1302" s="2" t="str">
        <x:v>Fashion</x:v>
      </x:c>
      <x:c r="F1302" s="2" t="str">
        <x:v>T-shirt</x:v>
      </x:c>
      <x:c r="G1302" s="2" t="str">
        <x:v>In-store</x:v>
      </x:c>
      <x:c r="H1302" s="2" t="n">
        <x:v>1</x:v>
      </x:c>
      <x:c r="I1302" s="2" t="n">
        <x:v>9000</x:v>
      </x:c>
      <x:c r="J1302" s="2" t="n">
        <x:v>5000</x:v>
      </x:c>
      <x:c r="K1302" s="2" t="n">
        <x:v>0.1</x:v>
      </x:c>
      <x:c r="L1302" s="2" t="str">
        <x:v> COMPLETED </x:v>
      </x:c>
    </x:row>
    <x:row r="1303" ht="21" customHeight="1">
      <x:c r="A1303" s="2" t="n">
        <x:v>1298</x:v>
      </x:c>
      <x:c r="B1303" s="2" t="str">
        <x:v>TXN-01298</x:v>
      </x:c>
      <x:c r="C1303" s="2" t="str">
        <x:v>2025-11-07</x:v>
      </x:c>
      <x:c r="D1303" s="2" t="str">
        <x:v>Lagos</x:v>
      </x:c>
      <x:c r="E1303" s="2" t="str">
        <x:v>Beauty</x:v>
      </x:c>
      <x:c r="F1303" s="2" t="str">
        <x:v>Body wash</x:v>
      </x:c>
      <x:c r="G1303" s="2" t="str">
        <x:v>Online</x:v>
      </x:c>
      <x:c r="H1303" s="2" t="n">
        <x:v>2</x:v>
      </x:c>
      <x:c r="I1303" s="2" t="n">
        <x:v>4500</x:v>
      </x:c>
      <x:c r="J1303" s="2" t="n">
        <x:v>2300</x:v>
      </x:c>
      <x:c r="K1303" s="2" t="n">
        <x:v>0</x:v>
      </x:c>
      <x:c r="L1303" s="2" t="str">
        <x:v>Completed</x:v>
      </x:c>
    </x:row>
    <x:row r="1304" ht="21" customHeight="1">
      <x:c r="A1304" s="2" t="n">
        <x:v>1299</x:v>
      </x:c>
      <x:c r="B1304" s="2" t="str">
        <x:v>TXN-01299</x:v>
      </x:c>
      <x:c r="C1304" s="2" t="str">
        <x:v>2025-11-26</x:v>
      </x:c>
      <x:c r="D1304" s="2" t="str">
        <x:v>Abuja</x:v>
      </x:c>
      <x:c r="E1304" s="2" t="str">
        <x:v>Electronics</x:v>
      </x:c>
      <x:c r="F1304" s="2" t="str">
        <x:v>Power bank</x:v>
      </x:c>
      <x:c r="G1304" s="2" t="str">
        <x:v> in-store </x:v>
      </x:c>
      <x:c r="H1304" s="2" t="n">
        <x:v>2</x:v>
      </x:c>
      <x:c r="I1304" s="2" t="n">
        <x:v>15000</x:v>
      </x:c>
      <x:c r="J1304" s="2" t="n">
        <x:v>9500</x:v>
      </x:c>
      <x:c r="K1304" s="2" t="n">
        <x:v>0</x:v>
      </x:c>
      <x:c r="L1304" s="2" t="str">
        <x:v>Completed</x:v>
      </x:c>
    </x:row>
    <x:row r="1305" ht="21" customHeight="1">
      <x:c r="A1305" s="2" t="n">
        <x:v>1300</x:v>
      </x:c>
      <x:c r="B1305" s="2" t="str">
        <x:v>TXN-01300</x:v>
      </x:c>
      <x:c r="C1305" s="2" t="str">
        <x:v>2025-11-10</x:v>
      </x:c>
      <x:c r="D1305" s="2" t="str">
        <x:v>Port Harcourt</x:v>
      </x:c>
      <x:c r="E1305" s="2" t="str">
        <x:v>Electronics</x:v>
      </x:c>
      <x:c r="F1305" s="2" t="str">
        <x:v>Bluetooth speaker</x:v>
      </x:c>
      <x:c r="G1305" s="2" t="str">
        <x:v>Online</x:v>
      </x:c>
      <x:c r="H1305" s="2" t="n">
        <x:v>3</x:v>
      </x:c>
      <x:c r="I1305" s="2" t="n">
        <x:v>26000</x:v>
      </x:c>
      <x:c r="J1305" s="2" t="n">
        <x:v>17000</x:v>
      </x:c>
      <x:c r="K1305" s="2" t="n">
        <x:v>0</x:v>
      </x:c>
      <x:c r="L1305" s="2" t="str">
        <x:v>Completed</x:v>
      </x:c>
    </x:row>
    <x:row r="1306" ht="21" customHeight="1">
      <x:c r="A1306" s="2" t="n">
        <x:v>1301</x:v>
      </x:c>
      <x:c r="B1306" s="2" t="str">
        <x:v>TXN-01301</x:v>
      </x:c>
      <x:c r="C1306" s="2" t="str">
        <x:v>2025-11-16</x:v>
      </x:c>
      <x:c r="D1306" s="2" t="str">
        <x:v>Abuja</x:v>
      </x:c>
      <x:c r="E1306" s="2" t="str">
        <x:v>Fashion</x:v>
      </x:c>
      <x:c r="F1306" s="2" t="str">
        <x:v>Handbag</x:v>
      </x:c>
      <x:c r="G1306" s="2" t="str">
        <x:v>Online</x:v>
      </x:c>
      <x:c r="H1306" s="2" t="n">
        <x:v>2</x:v>
      </x:c>
      <x:c r="I1306" s="2" t="n">
        <x:v>22000</x:v>
      </x:c>
      <x:c r="J1306" s="2" t="n">
        <x:v>13500</x:v>
      </x:c>
      <x:c r="K1306" s="2" t="n">
        <x:v>0</x:v>
      </x:c>
      <x:c r="L1306" s="2" t="str">
        <x:v>Completed</x:v>
      </x:c>
    </x:row>
    <x:row r="1307" ht="21" customHeight="1">
      <x:c r="A1307" s="2" t="n">
        <x:v>1302</x:v>
      </x:c>
      <x:c r="B1307" s="2" t="str">
        <x:v>TXN-01302</x:v>
      </x:c>
      <x:c r="C1307" s="2" t="str">
        <x:v>2025-11-21</x:v>
      </x:c>
      <x:c r="D1307" s="2" t="str">
        <x:v>Port Harcourt</x:v>
      </x:c>
      <x:c r="E1307" s="2" t="str">
        <x:v>Electronics</x:v>
      </x:c>
      <x:c r="F1307" s="2" t="str">
        <x:v>Headphones</x:v>
      </x:c>
      <x:c r="G1307" s="2" t="str">
        <x:v>Online</x:v>
      </x:c>
      <x:c r="H1307" s="2" t="n">
        <x:v>2</x:v>
      </x:c>
      <x:c r="I1307" s="2" t="n">
        <x:v>18000</x:v>
      </x:c>
      <x:c r="J1307" s="2" t="n">
        <x:v>10500</x:v>
      </x:c>
      <x:c r="K1307" s="2" t="str"/>
      <x:c r="L1307" s="2" t="str">
        <x:v>Completed</x:v>
      </x:c>
    </x:row>
    <x:row r="1308" ht="21" customHeight="1">
      <x:c r="A1308" s="2" t="n">
        <x:v>1303</x:v>
      </x:c>
      <x:c r="B1308" s="2" t="str">
        <x:v>TXN-01303</x:v>
      </x:c>
      <x:c r="C1308" s="2" t="str">
        <x:v>2025-11-27</x:v>
      </x:c>
      <x:c r="D1308" s="2" t="str">
        <x:v> port harcourt </x:v>
      </x:c>
      <x:c r="E1308" s="2" t="str">
        <x:v>Beauty</x:v>
      </x:c>
      <x:c r="F1308" s="2" t="str">
        <x:v>Moisturizer</x:v>
      </x:c>
      <x:c r="G1308" s="2" t="str">
        <x:v>In-store</x:v>
      </x:c>
      <x:c r="H1308" s="2" t="n">
        <x:v>1</x:v>
      </x:c>
      <x:c r="I1308" s="2" t="n">
        <x:v>6500</x:v>
      </x:c>
      <x:c r="J1308" s="2" t="n">
        <x:v>3500</x:v>
      </x:c>
      <x:c r="K1308" s="2" t="n">
        <x:v>0.05</x:v>
      </x:c>
      <x:c r="L1308" s="2" t="str">
        <x:v>Completed</x:v>
      </x:c>
    </x:row>
    <x:row r="1309" ht="21" customHeight="1">
      <x:c r="A1309" s="2" t="n">
        <x:v>1304</x:v>
      </x:c>
      <x:c r="B1309" s="2" t="str">
        <x:v>TXN-01304</x:v>
      </x:c>
      <x:c r="C1309" s="2" t="str">
        <x:v>2025-11-03</x:v>
      </x:c>
      <x:c r="D1309" s="2" t="str">
        <x:v>Abuja</x:v>
      </x:c>
      <x:c r="E1309" s="2" t="str">
        <x:v>Electronics</x:v>
      </x:c>
      <x:c r="F1309" s="2" t="str">
        <x:v>Bluetooth speaker</x:v>
      </x:c>
      <x:c r="G1309" s="2" t="str">
        <x:v>In-store</x:v>
      </x:c>
      <x:c r="H1309" s="2" t="n">
        <x:v>1</x:v>
      </x:c>
      <x:c r="I1309" s="2" t="n">
        <x:v>26000</x:v>
      </x:c>
      <x:c r="J1309" s="2" t="n">
        <x:v>17000</x:v>
      </x:c>
      <x:c r="K1309" s="2" t="n">
        <x:v>0</x:v>
      </x:c>
      <x:c r="L1309" s="2" t="str">
        <x:v>Completed</x:v>
      </x:c>
    </x:row>
    <x:row r="1310" ht="21" customHeight="1">
      <x:c r="A1310" s="2" t="n">
        <x:v>1305</x:v>
      </x:c>
      <x:c r="B1310" s="2" t="str">
        <x:v>TXN-01305</x:v>
      </x:c>
      <x:c r="C1310" s="2" t="str">
        <x:v>2025-11-19</x:v>
      </x:c>
      <x:c r="D1310" s="2" t="str">
        <x:v>Lagos</x:v>
      </x:c>
      <x:c r="E1310" s="2" t="str">
        <x:v>Electronics</x:v>
      </x:c>
      <x:c r="F1310" s="2" t="str">
        <x:v>Headphones</x:v>
      </x:c>
      <x:c r="G1310" s="2" t="str">
        <x:v>Online</x:v>
      </x:c>
      <x:c r="H1310" s="2" t="n">
        <x:v>2</x:v>
      </x:c>
      <x:c r="I1310" s="2" t="n">
        <x:v>18000</x:v>
      </x:c>
      <x:c r="J1310" s="2" t="n">
        <x:v>10500</x:v>
      </x:c>
      <x:c r="K1310" s="2" t="n">
        <x:v>0.1</x:v>
      </x:c>
      <x:c r="L1310" s="2" t="str">
        <x:v>Returned</x:v>
      </x:c>
    </x:row>
    <x:row r="1311" ht="21" customHeight="1">
      <x:c r="A1311" s="2" t="n">
        <x:v>1306</x:v>
      </x:c>
      <x:c r="B1311" s="2" t="str">
        <x:v>TXN-01306</x:v>
      </x:c>
      <x:c r="C1311" s="2" t="str">
        <x:v>2025-11-26</x:v>
      </x:c>
      <x:c r="D1311" s="2" t="str">
        <x:v>Lagos</x:v>
      </x:c>
      <x:c r="E1311" s="2" t="str">
        <x:v>Beauty</x:v>
      </x:c>
      <x:c r="F1311" s="2" t="str">
        <x:v>Perfume</x:v>
      </x:c>
      <x:c r="G1311" s="2" t="str">
        <x:v>In-store</x:v>
      </x:c>
      <x:c r="H1311" s="2" t="n">
        <x:v>2</x:v>
      </x:c>
      <x:c r="I1311" s="2" t="n">
        <x:v>17000</x:v>
      </x:c>
      <x:c r="J1311" s="2" t="n">
        <x:v>9000</x:v>
      </x:c>
      <x:c r="K1311" s="2" t="n">
        <x:v>0</x:v>
      </x:c>
      <x:c r="L1311" s="2" t="str">
        <x:v> COMPLETED </x:v>
      </x:c>
    </x:row>
    <x:row r="1312" ht="21" customHeight="1">
      <x:c r="A1312" s="2" t="n">
        <x:v>1307</x:v>
      </x:c>
      <x:c r="B1312" s="2" t="str">
        <x:v>TXN-01307</x:v>
      </x:c>
      <x:c r="C1312" s="2" t="str">
        <x:v>2025-11-29</x:v>
      </x:c>
      <x:c r="D1312" s="2" t="str">
        <x:v>Lagos</x:v>
      </x:c>
      <x:c r="E1312" s="2" t="str">
        <x:v>Beauty</x:v>
      </x:c>
      <x:c r="F1312" s="2" t="str">
        <x:v>Moisturizer</x:v>
      </x:c>
      <x:c r="G1312" s="2" t="str">
        <x:v>Online</x:v>
      </x:c>
      <x:c r="H1312" s="2" t="n">
        <x:v>1</x:v>
      </x:c>
      <x:c r="I1312" s="2" t="n">
        <x:v>6500</x:v>
      </x:c>
      <x:c r="J1312" s="2" t="n">
        <x:v>3500</x:v>
      </x:c>
      <x:c r="K1312" s="2" t="n">
        <x:v>0</x:v>
      </x:c>
      <x:c r="L1312" s="2" t="str">
        <x:v>Completed</x:v>
      </x:c>
    </x:row>
    <x:row r="1313" ht="21" customHeight="1">
      <x:c r="A1313" s="2" t="n">
        <x:v>1308</x:v>
      </x:c>
      <x:c r="B1313" s="2" t="str">
        <x:v>TXN-01308</x:v>
      </x:c>
      <x:c r="C1313" s="2" t="str">
        <x:v>2025-11-04</x:v>
      </x:c>
      <x:c r="D1313" s="2" t="str">
        <x:v>Lagos</x:v>
      </x:c>
      <x:c r="E1313" s="2" t="str">
        <x:v>Beauty</x:v>
      </x:c>
      <x:c r="F1313" s="2" t="str">
        <x:v>Perfume</x:v>
      </x:c>
      <x:c r="G1313" s="2" t="str">
        <x:v>In-store</x:v>
      </x:c>
      <x:c r="H1313" s="2" t="n">
        <x:v>2</x:v>
      </x:c>
      <x:c r="I1313" s="2" t="n">
        <x:v>17000</x:v>
      </x:c>
      <x:c r="J1313" s="2" t="n">
        <x:v>9000</x:v>
      </x:c>
      <x:c r="K1313" s="2" t="n">
        <x:v>0.1</x:v>
      </x:c>
      <x:c r="L1313" s="2" t="str">
        <x:v>Completed</x:v>
      </x:c>
    </x:row>
    <x:row r="1314" ht="21" customHeight="1">
      <x:c r="A1314" s="2" t="n">
        <x:v>1309</x:v>
      </x:c>
      <x:c r="B1314" s="2" t="str">
        <x:v>TXN-01309</x:v>
      </x:c>
      <x:c r="C1314" s="2" t="str">
        <x:v>2025-11-22</x:v>
      </x:c>
      <x:c r="D1314" s="2" t="str">
        <x:v>Lagos</x:v>
      </x:c>
      <x:c r="E1314" s="2" t="str">
        <x:v>Home</x:v>
      </x:c>
      <x:c r="F1314" s="2" t="str">
        <x:v>Bedsheet</x:v>
      </x:c>
      <x:c r="G1314" s="2" t="str">
        <x:v>Online</x:v>
      </x:c>
      <x:c r="H1314" s="2" t="n">
        <x:v>4</x:v>
      </x:c>
      <x:c r="I1314" s="2" t="n">
        <x:v>14000</x:v>
      </x:c>
      <x:c r="J1314" s="2" t="n">
        <x:v>8500</x:v>
      </x:c>
      <x:c r="K1314" s="2" t="n">
        <x:v>0</x:v>
      </x:c>
      <x:c r="L1314" s="2" t="str">
        <x:v>Completed</x:v>
      </x:c>
    </x:row>
    <x:row r="1315" ht="21" customHeight="1">
      <x:c r="A1315" s="2" t="n">
        <x:v>1310</x:v>
      </x:c>
      <x:c r="B1315" s="2" t="str">
        <x:v>TXN-01310</x:v>
      </x:c>
      <x:c r="C1315" s="2" t="str">
        <x:v>2025-11-21</x:v>
      </x:c>
      <x:c r="D1315" s="2" t="str">
        <x:v> abuja </x:v>
      </x:c>
      <x:c r="E1315" s="2" t="str">
        <x:v>Fashion</x:v>
      </x:c>
      <x:c r="F1315" s="2" t="str">
        <x:v>T-shirt</x:v>
      </x:c>
      <x:c r="G1315" s="2" t="str">
        <x:v> online </x:v>
      </x:c>
      <x:c r="H1315" s="2" t="n">
        <x:v>3</x:v>
      </x:c>
      <x:c r="I1315" s="2" t="n">
        <x:v>9000</x:v>
      </x:c>
      <x:c r="J1315" s="2" t="n">
        <x:v>5000</x:v>
      </x:c>
      <x:c r="K1315" s="2" t="n">
        <x:v>0</x:v>
      </x:c>
      <x:c r="L1315" s="2" t="str">
        <x:v>Completed</x:v>
      </x:c>
    </x:row>
    <x:row r="1316" ht="21" customHeight="1">
      <x:c r="A1316" s="2" t="n">
        <x:v>1311</x:v>
      </x:c>
      <x:c r="B1316" s="2" t="str">
        <x:v>TXN-01311</x:v>
      </x:c>
      <x:c r="C1316" s="2" t="str">
        <x:v>2025-11-26</x:v>
      </x:c>
      <x:c r="D1316" s="2" t="str">
        <x:v>Abuja</x:v>
      </x:c>
      <x:c r="E1316" s="2" t="str">
        <x:v>Fashion</x:v>
      </x:c>
      <x:c r="F1316" s="2" t="str">
        <x:v>Handbag</x:v>
      </x:c>
      <x:c r="G1316" s="2" t="str">
        <x:v>Online</x:v>
      </x:c>
      <x:c r="H1316" s="2" t="n">
        <x:v>1</x:v>
      </x:c>
      <x:c r="I1316" s="2" t="n">
        <x:v>22000</x:v>
      </x:c>
      <x:c r="J1316" s="2" t="n">
        <x:v>13500</x:v>
      </x:c>
      <x:c r="K1316" s="2" t="n">
        <x:v>0</x:v>
      </x:c>
      <x:c r="L1316" s="2" t="str">
        <x:v>Returned</x:v>
      </x:c>
    </x:row>
    <x:row r="1317" ht="21" customHeight="1">
      <x:c r="A1317" s="2" t="n">
        <x:v>1312</x:v>
      </x:c>
      <x:c r="B1317" s="2" t="str">
        <x:v>TXN-01312</x:v>
      </x:c>
      <x:c r="C1317" s="2" t="str">
        <x:v>2025-11-04</x:v>
      </x:c>
      <x:c r="D1317" s="2" t="str">
        <x:v>Lagos</x:v>
      </x:c>
      <x:c r="E1317" s="2" t="str">
        <x:v>Beauty</x:v>
      </x:c>
      <x:c r="F1317" s="2" t="str">
        <x:v>Perfume</x:v>
      </x:c>
      <x:c r="G1317" s="2" t="str">
        <x:v>In-store</x:v>
      </x:c>
      <x:c r="H1317" s="2" t="n">
        <x:v>1</x:v>
      </x:c>
      <x:c r="I1317" s="2" t="n">
        <x:v>17000</x:v>
      </x:c>
      <x:c r="J1317" s="2" t="n">
        <x:v>9000</x:v>
      </x:c>
      <x:c r="K1317" s="2" t="n">
        <x:v>0.05</x:v>
      </x:c>
      <x:c r="L1317" s="2" t="str">
        <x:v>Returned</x:v>
      </x:c>
    </x:row>
    <x:row r="1318" ht="21" customHeight="1">
      <x:c r="A1318" s="2" t="n">
        <x:v>1313</x:v>
      </x:c>
      <x:c r="B1318" s="2" t="str">
        <x:v>TXN-01313</x:v>
      </x:c>
      <x:c r="C1318" s="2" t="str">
        <x:v>2025-11-15</x:v>
      </x:c>
      <x:c r="D1318" s="2" t="str">
        <x:v>Kano</x:v>
      </x:c>
      <x:c r="E1318" s="2" t="str">
        <x:v>Electronics</x:v>
      </x:c>
      <x:c r="F1318" s="2" t="str">
        <x:v>Power bank</x:v>
      </x:c>
      <x:c r="G1318" s="2" t="str">
        <x:v>Online</x:v>
      </x:c>
      <x:c r="H1318" s="2" t="n">
        <x:v>1</x:v>
      </x:c>
      <x:c r="I1318" s="2" t="n">
        <x:v>15000</x:v>
      </x:c>
      <x:c r="J1318" s="2" t="n">
        <x:v>9500</x:v>
      </x:c>
      <x:c r="K1318" s="2" t="n">
        <x:v>0</x:v>
      </x:c>
      <x:c r="L1318" s="2" t="str">
        <x:v>Completed</x:v>
      </x:c>
    </x:row>
    <x:row r="1319" ht="21" customHeight="1">
      <x:c r="A1319" s="2" t="n">
        <x:v>1314</x:v>
      </x:c>
      <x:c r="B1319" s="2" t="str">
        <x:v>TXN-01314</x:v>
      </x:c>
      <x:c r="C1319" s="2" t="str">
        <x:v>2025-11-15</x:v>
      </x:c>
      <x:c r="D1319" s="2" t="str">
        <x:v>Abuja</x:v>
      </x:c>
      <x:c r="E1319" s="2" t="str">
        <x:v>Home</x:v>
      </x:c>
      <x:c r="F1319" s="2" t="str">
        <x:v>Bedsheet</x:v>
      </x:c>
      <x:c r="G1319" s="2" t="str">
        <x:v>Online</x:v>
      </x:c>
      <x:c r="H1319" s="2" t="n">
        <x:v>1</x:v>
      </x:c>
      <x:c r="I1319" s="2" t="n">
        <x:v>14000</x:v>
      </x:c>
      <x:c r="J1319" s="2" t="n">
        <x:v>8500</x:v>
      </x:c>
      <x:c r="K1319" s="2" t="n">
        <x:v>0.1</x:v>
      </x:c>
      <x:c r="L1319" s="2" t="str">
        <x:v>Completed</x:v>
      </x:c>
    </x:row>
    <x:row r="1320" ht="21" customHeight="1">
      <x:c r="A1320" s="2" t="n">
        <x:v>1315</x:v>
      </x:c>
      <x:c r="B1320" s="2" t="str">
        <x:v>TXN-01315</x:v>
      </x:c>
      <x:c r="C1320" s="2" t="str">
        <x:v>2025-11-09</x:v>
      </x:c>
      <x:c r="D1320" s="2" t="str">
        <x:v>Abuja</x:v>
      </x:c>
      <x:c r="E1320" s="2" t="str">
        <x:v>Electronics</x:v>
      </x:c>
      <x:c r="F1320" s="2" t="str">
        <x:v>Power bank</x:v>
      </x:c>
      <x:c r="G1320" s="2" t="str">
        <x:v>Online</x:v>
      </x:c>
      <x:c r="H1320" s="2" t="n">
        <x:v>1</x:v>
      </x:c>
      <x:c r="I1320" s="2" t="n">
        <x:v>15000</x:v>
      </x:c>
      <x:c r="J1320" s="2" t="n">
        <x:v>9500</x:v>
      </x:c>
      <x:c r="K1320" s="2" t="n">
        <x:v>0.1</x:v>
      </x:c>
      <x:c r="L1320" s="2" t="str">
        <x:v> COMPLETED </x:v>
      </x:c>
    </x:row>
    <x:row r="1321" ht="21" customHeight="1">
      <x:c r="A1321" s="2" t="n">
        <x:v>1316</x:v>
      </x:c>
      <x:c r="B1321" s="2" t="str">
        <x:v>TXN-01316</x:v>
      </x:c>
      <x:c r="C1321" s="2" t="str">
        <x:v>2025-11-09</x:v>
      </x:c>
      <x:c r="D1321" s="2" t="str">
        <x:v>Port Harcourt</x:v>
      </x:c>
      <x:c r="E1321" s="2" t="str">
        <x:v>Electronics</x:v>
      </x:c>
      <x:c r="F1321" s="2" t="str">
        <x:v>Headphones</x:v>
      </x:c>
      <x:c r="G1321" s="2" t="str">
        <x:v>Online</x:v>
      </x:c>
      <x:c r="H1321" s="2" t="n">
        <x:v>2</x:v>
      </x:c>
      <x:c r="I1321" s="2" t="n">
        <x:v>18000</x:v>
      </x:c>
      <x:c r="J1321" s="2" t="n">
        <x:v>10500</x:v>
      </x:c>
      <x:c r="K1321" s="2" t="n">
        <x:v>0</x:v>
      </x:c>
      <x:c r="L1321" s="2" t="str">
        <x:v>Completed</x:v>
      </x:c>
    </x:row>
    <x:row r="1322" ht="21" customHeight="1">
      <x:c r="A1322" s="2" t="n">
        <x:v>1317</x:v>
      </x:c>
      <x:c r="B1322" s="2" t="str">
        <x:v>TXN-01317</x:v>
      </x:c>
      <x:c r="C1322" s="2" t="str">
        <x:v>2025-11-03</x:v>
      </x:c>
      <x:c r="D1322" s="2" t="str">
        <x:v> abuja </x:v>
      </x:c>
      <x:c r="E1322" s="2" t="str">
        <x:v>Home</x:v>
      </x:c>
      <x:c r="F1322" s="2" t="str">
        <x:v>Desk lamp</x:v>
      </x:c>
      <x:c r="G1322" s="2" t="str">
        <x:v>In-store</x:v>
      </x:c>
      <x:c r="H1322" s="2" t="n">
        <x:v>2</x:v>
      </x:c>
      <x:c r="I1322" s="2" t="n">
        <x:v>12000</x:v>
      </x:c>
      <x:c r="J1322" s="2" t="n">
        <x:v>7200</x:v>
      </x:c>
      <x:c r="K1322" s="2" t="n">
        <x:v>0.1</x:v>
      </x:c>
      <x:c r="L1322" s="2" t="str">
        <x:v>Completed</x:v>
      </x:c>
    </x:row>
    <x:row r="1323" ht="21" customHeight="1">
      <x:c r="A1323" s="2" t="n">
        <x:v>1318</x:v>
      </x:c>
      <x:c r="B1323" s="2" t="str">
        <x:v>TXN-01318</x:v>
      </x:c>
      <x:c r="C1323" s="2" t="str">
        <x:v>2025-11-15</x:v>
      </x:c>
      <x:c r="D1323" s="2" t="str">
        <x:v>Kano</x:v>
      </x:c>
      <x:c r="E1323" s="2" t="str">
        <x:v>Fashion</x:v>
      </x:c>
      <x:c r="F1323" s="2" t="str">
        <x:v>Sneakers</x:v>
      </x:c>
      <x:c r="G1323" s="2" t="str">
        <x:v>Online</x:v>
      </x:c>
      <x:c r="H1323" s="2" t="n">
        <x:v>1</x:v>
      </x:c>
      <x:c r="I1323" s="2" t="n">
        <x:v>28000</x:v>
      </x:c>
      <x:c r="J1323" s="2" t="n">
        <x:v>17500</x:v>
      </x:c>
      <x:c r="K1323" s="2" t="n">
        <x:v>0.1</x:v>
      </x:c>
      <x:c r="L1323" s="2" t="str">
        <x:v>Completed</x:v>
      </x:c>
    </x:row>
    <x:row r="1324" ht="21" customHeight="1">
      <x:c r="A1324" s="2" t="n">
        <x:v>1319</x:v>
      </x:c>
      <x:c r="B1324" s="2" t="str">
        <x:v>TXN-01319</x:v>
      </x:c>
      <x:c r="C1324" s="2" t="str">
        <x:v>2025-11-21</x:v>
      </x:c>
      <x:c r="D1324" s="2" t="str">
        <x:v>Abuja</x:v>
      </x:c>
      <x:c r="E1324" s="2" t="str">
        <x:v>Electronics</x:v>
      </x:c>
      <x:c r="F1324" s="2" t="str">
        <x:v>Power bank</x:v>
      </x:c>
      <x:c r="G1324" s="2" t="str">
        <x:v>Online</x:v>
      </x:c>
      <x:c r="H1324" s="2" t="n">
        <x:v>2</x:v>
      </x:c>
      <x:c r="I1324" s="2" t="n">
        <x:v>15000</x:v>
      </x:c>
      <x:c r="J1324" s="2" t="n">
        <x:v>9500</x:v>
      </x:c>
      <x:c r="K1324" s="2" t="n">
        <x:v>0</x:v>
      </x:c>
      <x:c r="L1324" s="2" t="str">
        <x:v>Completed</x:v>
      </x:c>
    </x:row>
    <x:row r="1325" ht="21" customHeight="1">
      <x:c r="A1325" s="2" t="n">
        <x:v>1320</x:v>
      </x:c>
      <x:c r="B1325" s="2" t="str">
        <x:v>TXN-01320</x:v>
      </x:c>
      <x:c r="C1325" s="2" t="str">
        <x:v>2025-11-30</x:v>
      </x:c>
      <x:c r="D1325" s="2" t="str">
        <x:v>Port Harcourt</x:v>
      </x:c>
      <x:c r="E1325" s="2" t="str">
        <x:v>Fashion</x:v>
      </x:c>
      <x:c r="F1325" s="2" t="str">
        <x:v>T-shirt</x:v>
      </x:c>
      <x:c r="G1325" s="2" t="str">
        <x:v>Online</x:v>
      </x:c>
      <x:c r="H1325" s="2" t="n">
        <x:v>1</x:v>
      </x:c>
      <x:c r="I1325" s="2" t="n">
        <x:v>9000</x:v>
      </x:c>
      <x:c r="J1325" s="2" t="n">
        <x:v>5000</x:v>
      </x:c>
      <x:c r="K1325" s="2" t="n">
        <x:v>0</x:v>
      </x:c>
      <x:c r="L1325" s="2" t="str">
        <x:v>Completed</x:v>
      </x:c>
    </x:row>
    <x:row r="1326" ht="21" customHeight="1">
      <x:c r="A1326" s="2" t="n">
        <x:v>1321</x:v>
      </x:c>
      <x:c r="B1326" s="2" t="str">
        <x:v>TXN-01321</x:v>
      </x:c>
      <x:c r="C1326" s="2" t="str">
        <x:v>2025-11-09</x:v>
      </x:c>
      <x:c r="D1326" s="2" t="str">
        <x:v>Kano</x:v>
      </x:c>
      <x:c r="E1326" s="2" t="str">
        <x:v>Electronics</x:v>
      </x:c>
      <x:c r="F1326" s="2" t="str">
        <x:v>Power bank</x:v>
      </x:c>
      <x:c r="G1326" s="2" t="str">
        <x:v> online </x:v>
      </x:c>
      <x:c r="H1326" s="2" t="n">
        <x:v>2</x:v>
      </x:c>
      <x:c r="I1326" s="2" t="n">
        <x:v>15000</x:v>
      </x:c>
      <x:c r="J1326" s="2" t="n">
        <x:v>9500</x:v>
      </x:c>
      <x:c r="K1326" s="2" t="n">
        <x:v>0</x:v>
      </x:c>
      <x:c r="L1326" s="2" t="str">
        <x:v>Completed</x:v>
      </x:c>
    </x:row>
    <x:row r="1327" ht="21" customHeight="1">
      <x:c r="A1327" s="2" t="n">
        <x:v>1322</x:v>
      </x:c>
      <x:c r="B1327" s="2" t="str">
        <x:v>TXN-01322</x:v>
      </x:c>
      <x:c r="C1327" s="2" t="str">
        <x:v>2025-11-02</x:v>
      </x:c>
      <x:c r="D1327" s="2" t="str">
        <x:v>Port Harcourt</x:v>
      </x:c>
      <x:c r="E1327" s="2" t="str">
        <x:v>Beauty</x:v>
      </x:c>
      <x:c r="F1327" s="2" t="str">
        <x:v>Perfume</x:v>
      </x:c>
      <x:c r="G1327" s="2" t="str">
        <x:v>Online</x:v>
      </x:c>
      <x:c r="H1327" s="2" t="n">
        <x:v>4</x:v>
      </x:c>
      <x:c r="I1327" s="2" t="n">
        <x:v>17000</x:v>
      </x:c>
      <x:c r="J1327" s="2" t="n">
        <x:v>9000</x:v>
      </x:c>
      <x:c r="K1327" s="2" t="n">
        <x:v>0.05</x:v>
      </x:c>
      <x:c r="L1327" s="2" t="str">
        <x:v>Completed</x:v>
      </x:c>
    </x:row>
    <x:row r="1328" ht="21" customHeight="1">
      <x:c r="A1328" s="2" t="n">
        <x:v>1323</x:v>
      </x:c>
      <x:c r="B1328" s="2" t="str">
        <x:v>TXN-01323</x:v>
      </x:c>
      <x:c r="C1328" s="2" t="str">
        <x:v>2025-11-18</x:v>
      </x:c>
      <x:c r="D1328" s="2" t="str">
        <x:v>Abuja</x:v>
      </x:c>
      <x:c r="E1328" s="2" t="str">
        <x:v>Fashion</x:v>
      </x:c>
      <x:c r="F1328" s="2" t="str">
        <x:v>T-shirt</x:v>
      </x:c>
      <x:c r="G1328" s="2" t="str">
        <x:v>In-store</x:v>
      </x:c>
      <x:c r="H1328" s="2" t="n">
        <x:v>3</x:v>
      </x:c>
      <x:c r="I1328" s="2" t="n">
        <x:v>9000</x:v>
      </x:c>
      <x:c r="J1328" s="2" t="n">
        <x:v>5000</x:v>
      </x:c>
      <x:c r="K1328" s="2" t="n">
        <x:v>0.1</x:v>
      </x:c>
      <x:c r="L1328" s="2" t="str">
        <x:v>Returned</x:v>
      </x:c>
    </x:row>
    <x:row r="1329" ht="21" customHeight="1">
      <x:c r="A1329" s="2" t="n">
        <x:v>1324</x:v>
      </x:c>
      <x:c r="B1329" s="2" t="str">
        <x:v>TXN-01324</x:v>
      </x:c>
      <x:c r="C1329" s="2" t="str">
        <x:v>2025-11-15</x:v>
      </x:c>
      <x:c r="D1329" s="2" t="str">
        <x:v> port harcourt </x:v>
      </x:c>
      <x:c r="E1329" s="2" t="str">
        <x:v>Electronics</x:v>
      </x:c>
      <x:c r="F1329" s="2" t="str">
        <x:v>Bluetooth speaker</x:v>
      </x:c>
      <x:c r="G1329" s="2" t="str">
        <x:v>Online</x:v>
      </x:c>
      <x:c r="H1329" s="2" t="n">
        <x:v>1</x:v>
      </x:c>
      <x:c r="I1329" s="2" t="n">
        <x:v>26000</x:v>
      </x:c>
      <x:c r="J1329" s="2" t="n">
        <x:v>17000</x:v>
      </x:c>
      <x:c r="K1329" s="2" t="n">
        <x:v>0</x:v>
      </x:c>
      <x:c r="L1329" s="2" t="str">
        <x:v> COMPLETED </x:v>
      </x:c>
    </x:row>
    <x:row r="1330" ht="21" customHeight="1">
      <x:c r="A1330" s="2" t="n">
        <x:v>1325</x:v>
      </x:c>
      <x:c r="B1330" s="2" t="str">
        <x:v>TXN-01325</x:v>
      </x:c>
      <x:c r="C1330" s="2" t="str">
        <x:v>2025-11-16</x:v>
      </x:c>
      <x:c r="D1330" s="2" t="str">
        <x:v>Abuja</x:v>
      </x:c>
      <x:c r="E1330" s="2" t="str">
        <x:v>Electronics</x:v>
      </x:c>
      <x:c r="F1330" s="2" t="str">
        <x:v>Bluetooth speaker</x:v>
      </x:c>
      <x:c r="G1330" s="2" t="str">
        <x:v>In-store</x:v>
      </x:c>
      <x:c r="H1330" s="2" t="n">
        <x:v>2</x:v>
      </x:c>
      <x:c r="I1330" s="2" t="n">
        <x:v>26000</x:v>
      </x:c>
      <x:c r="J1330" s="2" t="n">
        <x:v>17000</x:v>
      </x:c>
      <x:c r="K1330" s="2" t="n">
        <x:v>0</x:v>
      </x:c>
      <x:c r="L1330" s="2" t="str">
        <x:v>Completed</x:v>
      </x:c>
    </x:row>
    <x:row r="1331" ht="21" customHeight="1">
      <x:c r="A1331" s="2" t="n">
        <x:v>1326</x:v>
      </x:c>
      <x:c r="B1331" s="2" t="str">
        <x:v>TXN-01326</x:v>
      </x:c>
      <x:c r="C1331" s="2" t="str">
        <x:v>2025-11-13</x:v>
      </x:c>
      <x:c r="D1331" s="2" t="str">
        <x:v>Abuja</x:v>
      </x:c>
      <x:c r="E1331" s="2" t="str">
        <x:v>Fashion</x:v>
      </x:c>
      <x:c r="F1331" s="2" t="str">
        <x:v>Sneakers</x:v>
      </x:c>
      <x:c r="G1331" s="2" t="str">
        <x:v>Online</x:v>
      </x:c>
      <x:c r="H1331" s="2" t="n">
        <x:v>2</x:v>
      </x:c>
      <x:c r="I1331" s="2" t="n">
        <x:v>28000</x:v>
      </x:c>
      <x:c r="J1331" s="2" t="n">
        <x:v>17500</x:v>
      </x:c>
      <x:c r="K1331" s="2" t="n">
        <x:v>0</x:v>
      </x:c>
      <x:c r="L1331" s="2" t="str">
        <x:v>Returned</x:v>
      </x:c>
    </x:row>
    <x:row r="1332" ht="21" customHeight="1">
      <x:c r="A1332" s="2" t="n">
        <x:v>1327</x:v>
      </x:c>
      <x:c r="B1332" s="2" t="str">
        <x:v>TXN-01327</x:v>
      </x:c>
      <x:c r="C1332" s="2" t="str">
        <x:v>2025-11-24</x:v>
      </x:c>
      <x:c r="D1332" s="2" t="str">
        <x:v>Port Harcourt</x:v>
      </x:c>
      <x:c r="E1332" s="2" t="str">
        <x:v>Fashion</x:v>
      </x:c>
      <x:c r="F1332" s="2" t="str">
        <x:v>Handbag</x:v>
      </x:c>
      <x:c r="G1332" s="2" t="str">
        <x:v>In-store</x:v>
      </x:c>
      <x:c r="H1332" s="2" t="n">
        <x:v>1</x:v>
      </x:c>
      <x:c r="I1332" s="2" t="n">
        <x:v>22000</x:v>
      </x:c>
      <x:c r="J1332" s="2" t="n">
        <x:v>13500</x:v>
      </x:c>
      <x:c r="K1332" s="2" t="n">
        <x:v>0</x:v>
      </x:c>
      <x:c r="L1332" s="2" t="str">
        <x:v>Completed</x:v>
      </x:c>
    </x:row>
    <x:row r="1333" ht="21" customHeight="1">
      <x:c r="A1333" s="2" t="n">
        <x:v>1328</x:v>
      </x:c>
      <x:c r="B1333" s="2" t="str">
        <x:v>TXN-01328</x:v>
      </x:c>
      <x:c r="C1333" s="2" t="str">
        <x:v>2025-11-12</x:v>
      </x:c>
      <x:c r="D1333" s="2" t="str">
        <x:v>Abuja</x:v>
      </x:c>
      <x:c r="E1333" s="2" t="str">
        <x:v>Fashion</x:v>
      </x:c>
      <x:c r="F1333" s="2" t="str">
        <x:v>Handbag</x:v>
      </x:c>
      <x:c r="G1333" s="2" t="str">
        <x:v>Online</x:v>
      </x:c>
      <x:c r="H1333" s="2" t="n">
        <x:v>1</x:v>
      </x:c>
      <x:c r="I1333" s="2" t="n">
        <x:v>22000</x:v>
      </x:c>
      <x:c r="J1333" s="2" t="n">
        <x:v>13500</x:v>
      </x:c>
      <x:c r="K1333" s="2" t="n">
        <x:v>0.1</x:v>
      </x:c>
      <x:c r="L1333" s="2" t="str">
        <x:v>Completed</x:v>
      </x:c>
    </x:row>
    <x:row r="1334" ht="21" customHeight="1">
      <x:c r="A1334" s="2" t="n">
        <x:v>1329</x:v>
      </x:c>
      <x:c r="B1334" s="2" t="str">
        <x:v>TXN-01329</x:v>
      </x:c>
      <x:c r="C1334" s="2" t="str">
        <x:v>2025-12-17</x:v>
      </x:c>
      <x:c r="D1334" s="2" t="str">
        <x:v>Abuja</x:v>
      </x:c>
      <x:c r="E1334" s="2" t="str">
        <x:v>Fashion</x:v>
      </x:c>
      <x:c r="F1334" s="2" t="str">
        <x:v>Handbag</x:v>
      </x:c>
      <x:c r="G1334" s="2" t="str">
        <x:v>Online</x:v>
      </x:c>
      <x:c r="H1334" s="2" t="n">
        <x:v>1</x:v>
      </x:c>
      <x:c r="I1334" s="2" t="n">
        <x:v>22000</x:v>
      </x:c>
      <x:c r="J1334" s="2" t="n">
        <x:v>13500</x:v>
      </x:c>
      <x:c r="K1334" s="2" t="n">
        <x:v>0.05</x:v>
      </x:c>
      <x:c r="L1334" s="2" t="str">
        <x:v>Completed</x:v>
      </x:c>
    </x:row>
    <x:row r="1335" ht="21" customHeight="1">
      <x:c r="A1335" s="2" t="n">
        <x:v>1330</x:v>
      </x:c>
      <x:c r="B1335" s="2" t="str">
        <x:v>TXN-01330</x:v>
      </x:c>
      <x:c r="C1335" s="2" t="str">
        <x:v>2025-12-24</x:v>
      </x:c>
      <x:c r="D1335" s="2" t="str">
        <x:v>Lagos</x:v>
      </x:c>
      <x:c r="E1335" s="2" t="str">
        <x:v>Electronics</x:v>
      </x:c>
      <x:c r="F1335" s="2" t="str">
        <x:v>Bluetooth speaker</x:v>
      </x:c>
      <x:c r="G1335" s="2" t="str">
        <x:v>Online</x:v>
      </x:c>
      <x:c r="H1335" s="2" t="n">
        <x:v>1</x:v>
      </x:c>
      <x:c r="I1335" s="2" t="n">
        <x:v>26000</x:v>
      </x:c>
      <x:c r="J1335" s="2" t="n">
        <x:v>17000</x:v>
      </x:c>
      <x:c r="K1335" s="2" t="n">
        <x:v>0.1</x:v>
      </x:c>
      <x:c r="L1335" s="2" t="str">
        <x:v>Completed</x:v>
      </x:c>
    </x:row>
    <x:row r="1336" ht="21" customHeight="1">
      <x:c r="A1336" s="2" t="n">
        <x:v>1331</x:v>
      </x:c>
      <x:c r="B1336" s="2" t="str">
        <x:v>TXN-01331</x:v>
      </x:c>
      <x:c r="C1336" s="2" t="str">
        <x:v>2025-12-29</x:v>
      </x:c>
      <x:c r="D1336" s="2" t="str">
        <x:v> lagos </x:v>
      </x:c>
      <x:c r="E1336" s="2" t="str">
        <x:v>Home</x:v>
      </x:c>
      <x:c r="F1336" s="2" t="str">
        <x:v>Bedsheet</x:v>
      </x:c>
      <x:c r="G1336" s="2" t="str">
        <x:v>In-store</x:v>
      </x:c>
      <x:c r="H1336" s="2" t="n">
        <x:v>1</x:v>
      </x:c>
      <x:c r="I1336" s="2" t="n">
        <x:v>14000</x:v>
      </x:c>
      <x:c r="J1336" s="2" t="n">
        <x:v>8500</x:v>
      </x:c>
      <x:c r="K1336" s="2" t="n">
        <x:v>0.1</x:v>
      </x:c>
      <x:c r="L1336" s="2" t="str">
        <x:v>Completed</x:v>
      </x:c>
    </x:row>
    <x:row r="1337" ht="21" customHeight="1">
      <x:c r="A1337" s="2" t="n">
        <x:v>1332</x:v>
      </x:c>
      <x:c r="B1337" s="2" t="str">
        <x:v>TXN-01332</x:v>
      </x:c>
      <x:c r="C1337" s="2" t="str">
        <x:v>2025-12-29</x:v>
      </x:c>
      <x:c r="D1337" s="2" t="str"/>
      <x:c r="E1337" s="2" t="str">
        <x:v>Home</x:v>
      </x:c>
      <x:c r="F1337" s="2" t="str">
        <x:v>Bedsheet</x:v>
      </x:c>
      <x:c r="G1337" s="2" t="str">
        <x:v> online </x:v>
      </x:c>
      <x:c r="H1337" s="2" t="n">
        <x:v>3</x:v>
      </x:c>
      <x:c r="I1337" s="2" t="n">
        <x:v>14000</x:v>
      </x:c>
      <x:c r="J1337" s="2" t="n">
        <x:v>8500</x:v>
      </x:c>
      <x:c r="K1337" s="2" t="n">
        <x:v>0.05</x:v>
      </x:c>
      <x:c r="L1337" s="2" t="str">
        <x:v>Completed</x:v>
      </x:c>
    </x:row>
    <x:row r="1338" ht="21" customHeight="1">
      <x:c r="A1338" s="2" t="n">
        <x:v>1333</x:v>
      </x:c>
      <x:c r="B1338" s="2" t="str">
        <x:v>TXN-01333</x:v>
      </x:c>
      <x:c r="C1338" s="2" t="str">
        <x:v>2025-12-16</x:v>
      </x:c>
      <x:c r="D1338" s="2" t="str">
        <x:v>Lagos</x:v>
      </x:c>
      <x:c r="E1338" s="2" t="str">
        <x:v>Fashion</x:v>
      </x:c>
      <x:c r="F1338" s="2" t="str">
        <x:v>T-shirt</x:v>
      </x:c>
      <x:c r="G1338" s="2" t="str">
        <x:v>Online</x:v>
      </x:c>
      <x:c r="H1338" s="2" t="n">
        <x:v>2</x:v>
      </x:c>
      <x:c r="I1338" s="2" t="n">
        <x:v>9000</x:v>
      </x:c>
      <x:c r="J1338" s="2" t="n">
        <x:v>5000</x:v>
      </x:c>
      <x:c r="K1338" s="2" t="n">
        <x:v>0</x:v>
      </x:c>
      <x:c r="L1338" s="2" t="str">
        <x:v> RETURNED </x:v>
      </x:c>
    </x:row>
    <x:row r="1339" ht="21" customHeight="1">
      <x:c r="A1339" s="2" t="n">
        <x:v>1334</x:v>
      </x:c>
      <x:c r="B1339" s="2" t="str">
        <x:v>TXN-01334</x:v>
      </x:c>
      <x:c r="C1339" s="2" t="str">
        <x:v>2025-12-18</x:v>
      </x:c>
      <x:c r="D1339" s="2" t="str">
        <x:v>Abuja</x:v>
      </x:c>
      <x:c r="E1339" s="2" t="str">
        <x:v>Fashion</x:v>
      </x:c>
      <x:c r="F1339" s="2" t="str">
        <x:v>T-shirt</x:v>
      </x:c>
      <x:c r="G1339" s="2" t="str">
        <x:v>Online</x:v>
      </x:c>
      <x:c r="H1339" s="2" t="n">
        <x:v>2</x:v>
      </x:c>
      <x:c r="I1339" s="2" t="n">
        <x:v>9000</x:v>
      </x:c>
      <x:c r="J1339" s="2" t="n">
        <x:v>5000</x:v>
      </x:c>
      <x:c r="K1339" s="2" t="n">
        <x:v>0.05</x:v>
      </x:c>
      <x:c r="L1339" s="2" t="str">
        <x:v>Completed</x:v>
      </x:c>
    </x:row>
    <x:row r="1340" ht="21" customHeight="1">
      <x:c r="A1340" s="2" t="n">
        <x:v>1335</x:v>
      </x:c>
      <x:c r="B1340" s="2" t="str">
        <x:v>TXN-01335</x:v>
      </x:c>
      <x:c r="C1340" s="2" t="str">
        <x:v>2025-12-17</x:v>
      </x:c>
      <x:c r="D1340" s="2" t="str">
        <x:v>Kano</x:v>
      </x:c>
      <x:c r="E1340" s="2" t="str">
        <x:v>Home</x:v>
      </x:c>
      <x:c r="F1340" s="2" t="str">
        <x:v>Bedsheet</x:v>
      </x:c>
      <x:c r="G1340" s="2" t="str">
        <x:v>In-store</x:v>
      </x:c>
      <x:c r="H1340" s="2" t="n">
        <x:v>1</x:v>
      </x:c>
      <x:c r="I1340" s="2" t="n">
        <x:v>14000</x:v>
      </x:c>
      <x:c r="J1340" s="2" t="n">
        <x:v>8500</x:v>
      </x:c>
      <x:c r="K1340" s="2" t="n">
        <x:v>0.05</x:v>
      </x:c>
      <x:c r="L1340" s="2" t="str">
        <x:v>Completed</x:v>
      </x:c>
    </x:row>
    <x:row r="1341" ht="21" customHeight="1">
      <x:c r="A1341" s="2" t="n">
        <x:v>1336</x:v>
      </x:c>
      <x:c r="B1341" s="2" t="str">
        <x:v>TXN-01336</x:v>
      </x:c>
      <x:c r="C1341" s="2" t="str">
        <x:v>2025-12-22</x:v>
      </x:c>
      <x:c r="D1341" s="2" t="str">
        <x:v>Port Harcourt</x:v>
      </x:c>
      <x:c r="E1341" s="2" t="str">
        <x:v>Fashion</x:v>
      </x:c>
      <x:c r="F1341" s="2" t="str">
        <x:v>Sneakers</x:v>
      </x:c>
      <x:c r="G1341" s="2" t="str">
        <x:v>In-store</x:v>
      </x:c>
      <x:c r="H1341" s="2" t="n">
        <x:v>1</x:v>
      </x:c>
      <x:c r="I1341" s="2" t="n">
        <x:v>28000</x:v>
      </x:c>
      <x:c r="J1341" s="2" t="n">
        <x:v>17500</x:v>
      </x:c>
      <x:c r="K1341" s="2" t="n">
        <x:v>0.1</x:v>
      </x:c>
      <x:c r="L1341" s="2" t="str">
        <x:v>Completed</x:v>
      </x:c>
    </x:row>
    <x:row r="1342" ht="21" customHeight="1">
      <x:c r="A1342" s="2" t="n">
        <x:v>1337</x:v>
      </x:c>
      <x:c r="B1342" s="2" t="str">
        <x:v>TXN-01337</x:v>
      </x:c>
      <x:c r="C1342" s="2" t="str">
        <x:v>2025-12-24</x:v>
      </x:c>
      <x:c r="D1342" s="2" t="str">
        <x:v>Lagos</x:v>
      </x:c>
      <x:c r="E1342" s="2" t="str">
        <x:v>Fashion</x:v>
      </x:c>
      <x:c r="F1342" s="2" t="str">
        <x:v>Handbag</x:v>
      </x:c>
      <x:c r="G1342" s="2" t="str">
        <x:v>Online</x:v>
      </x:c>
      <x:c r="H1342" s="2" t="n">
        <x:v>1</x:v>
      </x:c>
      <x:c r="I1342" s="2" t="n">
        <x:v>22000</x:v>
      </x:c>
      <x:c r="J1342" s="2" t="n">
        <x:v>13500</x:v>
      </x:c>
      <x:c r="K1342" s="2" t="n">
        <x:v>0</x:v>
      </x:c>
      <x:c r="L1342" s="2" t="str">
        <x:v>Completed</x:v>
      </x:c>
    </x:row>
    <x:row r="1343" ht="21" customHeight="1">
      <x:c r="A1343" s="2" t="n">
        <x:v>1338</x:v>
      </x:c>
      <x:c r="B1343" s="2" t="str">
        <x:v>TXN-01338</x:v>
      </x:c>
      <x:c r="C1343" s="2" t="str">
        <x:v>2025-12-18</x:v>
      </x:c>
      <x:c r="D1343" s="2" t="str">
        <x:v> abuja </x:v>
      </x:c>
      <x:c r="E1343" s="2" t="str">
        <x:v>Beauty</x:v>
      </x:c>
      <x:c r="F1343" s="2" t="str">
        <x:v>Moisturizer</x:v>
      </x:c>
      <x:c r="G1343" s="2" t="str">
        <x:v>In-store</x:v>
      </x:c>
      <x:c r="H1343" s="2" t="n">
        <x:v>2</x:v>
      </x:c>
      <x:c r="I1343" s="2" t="n">
        <x:v>6500</x:v>
      </x:c>
      <x:c r="J1343" s="2" t="n">
        <x:v>3500</x:v>
      </x:c>
      <x:c r="K1343" s="2" t="n">
        <x:v>0</x:v>
      </x:c>
      <x:c r="L1343" s="2" t="str">
        <x:v>Completed</x:v>
      </x:c>
    </x:row>
    <x:row r="1344" ht="21" customHeight="1">
      <x:c r="A1344" s="2" t="n">
        <x:v>1339</x:v>
      </x:c>
      <x:c r="B1344" s="2" t="str">
        <x:v>TXN-01339</x:v>
      </x:c>
      <x:c r="C1344" s="2" t="str">
        <x:v>2025-12-19</x:v>
      </x:c>
      <x:c r="D1344" s="2" t="str">
        <x:v>Lagos</x:v>
      </x:c>
      <x:c r="E1344" s="2" t="str">
        <x:v>Electronics</x:v>
      </x:c>
      <x:c r="F1344" s="2" t="str">
        <x:v>Bluetooth speaker</x:v>
      </x:c>
      <x:c r="G1344" s="2" t="str">
        <x:v>In-store</x:v>
      </x:c>
      <x:c r="H1344" s="2" t="n">
        <x:v>1</x:v>
      </x:c>
      <x:c r="I1344" s="2" t="n">
        <x:v>26000</x:v>
      </x:c>
      <x:c r="J1344" s="2" t="n">
        <x:v>17000</x:v>
      </x:c>
      <x:c r="K1344" s="2" t="n">
        <x:v>0.05</x:v>
      </x:c>
      <x:c r="L1344" s="2" t="str">
        <x:v>Completed</x:v>
      </x:c>
    </x:row>
    <x:row r="1345" ht="21" customHeight="1">
      <x:c r="A1345" s="2" t="n">
        <x:v>1340</x:v>
      </x:c>
      <x:c r="B1345" s="2" t="str">
        <x:v>TXN-01340</x:v>
      </x:c>
      <x:c r="C1345" s="2" t="str">
        <x:v>2025-12-01</x:v>
      </x:c>
      <x:c r="D1345" s="2" t="str">
        <x:v>Kano</x:v>
      </x:c>
      <x:c r="E1345" s="2" t="str">
        <x:v>Beauty</x:v>
      </x:c>
      <x:c r="F1345" s="2" t="str">
        <x:v>Moisturizer</x:v>
      </x:c>
      <x:c r="G1345" s="2" t="str">
        <x:v>Online</x:v>
      </x:c>
      <x:c r="H1345" s="2" t="n">
        <x:v>2</x:v>
      </x:c>
      <x:c r="I1345" s="2" t="n">
        <x:v>6500</x:v>
      </x:c>
      <x:c r="J1345" s="2" t="n">
        <x:v>3500</x:v>
      </x:c>
      <x:c r="K1345" s="2" t="n">
        <x:v>0.05</x:v>
      </x:c>
      <x:c r="L1345" s="2" t="str">
        <x:v>Completed</x:v>
      </x:c>
    </x:row>
    <x:row r="1346" ht="21" customHeight="1">
      <x:c r="A1346" s="2" t="n">
        <x:v>1341</x:v>
      </x:c>
      <x:c r="B1346" s="2" t="str">
        <x:v>TXN-01341</x:v>
      </x:c>
      <x:c r="C1346" s="2" t="str">
        <x:v>2025-12-15</x:v>
      </x:c>
      <x:c r="D1346" s="2" t="str">
        <x:v>Lagos</x:v>
      </x:c>
      <x:c r="E1346" s="2" t="str">
        <x:v>Beauty</x:v>
      </x:c>
      <x:c r="F1346" s="2" t="str">
        <x:v>Body wash</x:v>
      </x:c>
      <x:c r="G1346" s="2" t="str">
        <x:v>Online</x:v>
      </x:c>
      <x:c r="H1346" s="2" t="n">
        <x:v>2</x:v>
      </x:c>
      <x:c r="I1346" s="2" t="n">
        <x:v>4500</x:v>
      </x:c>
      <x:c r="J1346" s="2" t="n">
        <x:v>2300</x:v>
      </x:c>
      <x:c r="K1346" s="2" t="n">
        <x:v>0.1</x:v>
      </x:c>
      <x:c r="L1346" s="2" t="str">
        <x:v>Completed</x:v>
      </x:c>
    </x:row>
    <x:row r="1347" ht="21" customHeight="1">
      <x:c r="A1347" s="2" t="n">
        <x:v>1342</x:v>
      </x:c>
      <x:c r="B1347" s="2" t="str">
        <x:v>TXN-01342</x:v>
      </x:c>
      <x:c r="C1347" s="2" t="str">
        <x:v>2025-12-10</x:v>
      </x:c>
      <x:c r="D1347" s="2" t="str">
        <x:v>Lagos</x:v>
      </x:c>
      <x:c r="E1347" s="2" t="str">
        <x:v>Electronics</x:v>
      </x:c>
      <x:c r="F1347" s="2" t="str">
        <x:v>Headphones</x:v>
      </x:c>
      <x:c r="G1347" s="2" t="str">
        <x:v>Online</x:v>
      </x:c>
      <x:c r="H1347" s="2" t="n">
        <x:v>1</x:v>
      </x:c>
      <x:c r="I1347" s="2" t="n">
        <x:v>18000</x:v>
      </x:c>
      <x:c r="J1347" s="2" t="n">
        <x:v>10500</x:v>
      </x:c>
      <x:c r="K1347" s="2" t="n">
        <x:v>0</x:v>
      </x:c>
      <x:c r="L1347" s="2" t="str">
        <x:v> RETURNED </x:v>
      </x:c>
    </x:row>
    <x:row r="1348" ht="21" customHeight="1">
      <x:c r="A1348" s="2" t="n">
        <x:v>1343</x:v>
      </x:c>
      <x:c r="B1348" s="2" t="str">
        <x:v>TXN-01343</x:v>
      </x:c>
      <x:c r="C1348" s="2" t="str">
        <x:v>2025-12-20</x:v>
      </x:c>
      <x:c r="D1348" s="2" t="str">
        <x:v>Port Harcourt</x:v>
      </x:c>
      <x:c r="E1348" s="2" t="str">
        <x:v>Fashion</x:v>
      </x:c>
      <x:c r="F1348" s="2" t="str">
        <x:v>Sneakers</x:v>
      </x:c>
      <x:c r="G1348" s="2" t="str">
        <x:v> online </x:v>
      </x:c>
      <x:c r="H1348" s="2" t="n">
        <x:v>2</x:v>
      </x:c>
      <x:c r="I1348" s="2" t="n">
        <x:v>28000</x:v>
      </x:c>
      <x:c r="J1348" s="2" t="n">
        <x:v>17500</x:v>
      </x:c>
      <x:c r="K1348" s="2" t="n">
        <x:v>0.1</x:v>
      </x:c>
      <x:c r="L1348" s="2" t="str">
        <x:v>Completed</x:v>
      </x:c>
    </x:row>
    <x:row r="1349" ht="21" customHeight="1">
      <x:c r="A1349" s="2" t="n">
        <x:v>1344</x:v>
      </x:c>
      <x:c r="B1349" s="2" t="str">
        <x:v>TXN-01344</x:v>
      </x:c>
      <x:c r="C1349" s="2" t="str">
        <x:v>2025-12-03</x:v>
      </x:c>
      <x:c r="D1349" s="2" t="str">
        <x:v>Abuja</x:v>
      </x:c>
      <x:c r="E1349" s="2" t="str">
        <x:v>Beauty</x:v>
      </x:c>
      <x:c r="F1349" s="2" t="str">
        <x:v>Body wash</x:v>
      </x:c>
      <x:c r="G1349" s="2" t="str">
        <x:v>Online</x:v>
      </x:c>
      <x:c r="H1349" s="2" t="n">
        <x:v>3</x:v>
      </x:c>
      <x:c r="I1349" s="2" t="n">
        <x:v>4500</x:v>
      </x:c>
      <x:c r="J1349" s="2" t="n">
        <x:v>2300</x:v>
      </x:c>
      <x:c r="K1349" s="2" t="n">
        <x:v>0.15</x:v>
      </x:c>
      <x:c r="L1349" s="2" t="str">
        <x:v>Completed</x:v>
      </x:c>
    </x:row>
    <x:row r="1350" ht="21" customHeight="1">
      <x:c r="A1350" s="2" t="n">
        <x:v>1345</x:v>
      </x:c>
      <x:c r="B1350" s="2" t="str">
        <x:v>TXN-01345</x:v>
      </x:c>
      <x:c r="C1350" s="2" t="str">
        <x:v>2025-12-07</x:v>
      </x:c>
      <x:c r="D1350" s="2" t="str">
        <x:v> abuja </x:v>
      </x:c>
      <x:c r="E1350" s="2" t="str">
        <x:v>Beauty</x:v>
      </x:c>
      <x:c r="F1350" s="2" t="str">
        <x:v>Moisturizer</x:v>
      </x:c>
      <x:c r="G1350" s="2" t="str">
        <x:v>Online</x:v>
      </x:c>
      <x:c r="H1350" s="2" t="n">
        <x:v>3</x:v>
      </x:c>
      <x:c r="I1350" s="2" t="n">
        <x:v>6500</x:v>
      </x:c>
      <x:c r="J1350" s="2" t="n">
        <x:v>3500</x:v>
      </x:c>
      <x:c r="K1350" s="2" t="n">
        <x:v>0</x:v>
      </x:c>
      <x:c r="L1350" s="2" t="str">
        <x:v>Completed</x:v>
      </x:c>
    </x:row>
    <x:row r="1351" ht="21" customHeight="1">
      <x:c r="A1351" s="2" t="n">
        <x:v>1346</x:v>
      </x:c>
      <x:c r="B1351" s="2" t="str">
        <x:v>TXN-01346</x:v>
      </x:c>
      <x:c r="C1351" s="2" t="str">
        <x:v>2025-12-21</x:v>
      </x:c>
      <x:c r="D1351" s="2" t="str">
        <x:v>Kano</x:v>
      </x:c>
      <x:c r="E1351" s="2" t="str">
        <x:v>Electronics</x:v>
      </x:c>
      <x:c r="F1351" s="2" t="str">
        <x:v>Bluetooth speaker</x:v>
      </x:c>
      <x:c r="G1351" s="2" t="str">
        <x:v>Online</x:v>
      </x:c>
      <x:c r="H1351" s="2" t="n">
        <x:v>1</x:v>
      </x:c>
      <x:c r="I1351" s="2" t="n">
        <x:v>26000</x:v>
      </x:c>
      <x:c r="J1351" s="2" t="n">
        <x:v>17000</x:v>
      </x:c>
      <x:c r="K1351" s="2" t="n">
        <x:v>0.05</x:v>
      </x:c>
      <x:c r="L1351" s="2" t="str">
        <x:v>Completed</x:v>
      </x:c>
    </x:row>
    <x:row r="1352" ht="21" customHeight="1">
      <x:c r="A1352" s="2" t="n">
        <x:v>1347</x:v>
      </x:c>
      <x:c r="B1352" s="2" t="str">
        <x:v>TXN-01347</x:v>
      </x:c>
      <x:c r="C1352" s="2" t="str">
        <x:v>2025-12-21</x:v>
      </x:c>
      <x:c r="D1352" s="2" t="str">
        <x:v>Abuja</x:v>
      </x:c>
      <x:c r="E1352" s="2" t="str">
        <x:v>Fashion</x:v>
      </x:c>
      <x:c r="F1352" s="2" t="str">
        <x:v>T-shirt</x:v>
      </x:c>
      <x:c r="G1352" s="2" t="str">
        <x:v>Online</x:v>
      </x:c>
      <x:c r="H1352" s="2" t="n">
        <x:v>1</x:v>
      </x:c>
      <x:c r="I1352" s="2" t="n">
        <x:v>9000</x:v>
      </x:c>
      <x:c r="J1352" s="2" t="n">
        <x:v>5000</x:v>
      </x:c>
      <x:c r="K1352" s="2" t="n">
        <x:v>0</x:v>
      </x:c>
      <x:c r="L1352" s="2" t="str">
        <x:v>Returned</x:v>
      </x:c>
    </x:row>
    <x:row r="1353" ht="21" customHeight="1">
      <x:c r="A1353" s="2" t="n">
        <x:v>1348</x:v>
      </x:c>
      <x:c r="B1353" s="2" t="str">
        <x:v>TXN-01348</x:v>
      </x:c>
      <x:c r="C1353" s="2" t="str">
        <x:v>2025-12-22</x:v>
      </x:c>
      <x:c r="D1353" s="2" t="str">
        <x:v>Abuja</x:v>
      </x:c>
      <x:c r="E1353" s="2" t="str">
        <x:v>Electronics</x:v>
      </x:c>
      <x:c r="F1353" s="2" t="str">
        <x:v>Power bank</x:v>
      </x:c>
      <x:c r="G1353" s="2" t="str">
        <x:v>Online</x:v>
      </x:c>
      <x:c r="H1353" s="2" t="n">
        <x:v>1</x:v>
      </x:c>
      <x:c r="I1353" s="2" t="n">
        <x:v>15000</x:v>
      </x:c>
      <x:c r="J1353" s="2" t="n">
        <x:v>9500</x:v>
      </x:c>
      <x:c r="K1353" s="2" t="n">
        <x:v>0</x:v>
      </x:c>
      <x:c r="L1353" s="2" t="str">
        <x:v>Completed</x:v>
      </x:c>
    </x:row>
    <x:row r="1354" ht="21" customHeight="1">
      <x:c r="A1354" s="2" t="n">
        <x:v>1349</x:v>
      </x:c>
      <x:c r="B1354" s="2" t="str">
        <x:v>TXN-01349</x:v>
      </x:c>
      <x:c r="C1354" s="2" t="str">
        <x:v>2025-12-25</x:v>
      </x:c>
      <x:c r="D1354" s="2" t="str">
        <x:v>Kano</x:v>
      </x:c>
      <x:c r="E1354" s="2" t="str">
        <x:v>Beauty</x:v>
      </x:c>
      <x:c r="F1354" s="2" t="str">
        <x:v>Body wash</x:v>
      </x:c>
      <x:c r="G1354" s="2" t="str">
        <x:v>Online</x:v>
      </x:c>
      <x:c r="H1354" s="2" t="n">
        <x:v>2</x:v>
      </x:c>
      <x:c r="I1354" s="2" t="n">
        <x:v>4500</x:v>
      </x:c>
      <x:c r="J1354" s="2" t="n">
        <x:v>2300</x:v>
      </x:c>
      <x:c r="K1354" s="2" t="n">
        <x:v>0</x:v>
      </x:c>
      <x:c r="L1354" s="2" t="str">
        <x:v>Completed</x:v>
      </x:c>
    </x:row>
    <x:row r="1355" ht="21" customHeight="1">
      <x:c r="A1355" s="2" t="n">
        <x:v>1350</x:v>
      </x:c>
      <x:c r="B1355" s="2" t="str">
        <x:v>TXN-01350</x:v>
      </x:c>
      <x:c r="C1355" s="2" t="str">
        <x:v>2025-12-29</x:v>
      </x:c>
      <x:c r="D1355" s="2" t="str">
        <x:v>Abuja</x:v>
      </x:c>
      <x:c r="E1355" s="2" t="str">
        <x:v>Electronics</x:v>
      </x:c>
      <x:c r="F1355" s="2" t="str">
        <x:v>Bluetooth speaker</x:v>
      </x:c>
      <x:c r="G1355" s="2" t="str">
        <x:v>In-store</x:v>
      </x:c>
      <x:c r="H1355" s="2" t="n">
        <x:v>1</x:v>
      </x:c>
      <x:c r="I1355" s="2" t="n">
        <x:v>26000</x:v>
      </x:c>
      <x:c r="J1355" s="2" t="n">
        <x:v>17000</x:v>
      </x:c>
      <x:c r="K1355" s="2" t="n">
        <x:v>0</x:v>
      </x:c>
      <x:c r="L1355" s="2" t="str">
        <x:v>Completed</x:v>
      </x:c>
    </x:row>
    <x:row r="1356" ht="21" customHeight="1">
      <x:c r="A1356" s="2" t="n">
        <x:v>1351</x:v>
      </x:c>
      <x:c r="B1356" s="2" t="str">
        <x:v>TXN-01351</x:v>
      </x:c>
      <x:c r="C1356" s="2" t="str">
        <x:v>2025-12-31</x:v>
      </x:c>
      <x:c r="D1356" s="2" t="str">
        <x:v>Lagos</x:v>
      </x:c>
      <x:c r="E1356" s="2" t="str">
        <x:v>Electronics</x:v>
      </x:c>
      <x:c r="F1356" s="2" t="str">
        <x:v>Bluetooth speaker</x:v>
      </x:c>
      <x:c r="G1356" s="2" t="str">
        <x:v>In-store</x:v>
      </x:c>
      <x:c r="H1356" s="2" t="n">
        <x:v>2</x:v>
      </x:c>
      <x:c r="I1356" s="2" t="n">
        <x:v>26000</x:v>
      </x:c>
      <x:c r="J1356" s="2" t="n">
        <x:v>17000</x:v>
      </x:c>
      <x:c r="K1356" s="2" t="n">
        <x:v>0</x:v>
      </x:c>
      <x:c r="L1356" s="2" t="str">
        <x:v> COMPLETED </x:v>
      </x:c>
    </x:row>
    <x:row r="1357" ht="21" customHeight="1">
      <x:c r="A1357" s="2" t="n">
        <x:v>1352</x:v>
      </x:c>
      <x:c r="B1357" s="2" t="str">
        <x:v>TXN-01352</x:v>
      </x:c>
      <x:c r="C1357" s="2" t="str">
        <x:v>2025-12-29</x:v>
      </x:c>
      <x:c r="D1357" s="2" t="str">
        <x:v> lagos </x:v>
      </x:c>
      <x:c r="E1357" s="2" t="str">
        <x:v>Fashion</x:v>
      </x:c>
      <x:c r="F1357" s="2" t="str">
        <x:v>Handbag</x:v>
      </x:c>
      <x:c r="G1357" s="2" t="str">
        <x:v>Online</x:v>
      </x:c>
      <x:c r="H1357" s="2" t="n">
        <x:v>2</x:v>
      </x:c>
      <x:c r="I1357" s="2" t="n">
        <x:v>22000</x:v>
      </x:c>
      <x:c r="J1357" s="2" t="n">
        <x:v>13500</x:v>
      </x:c>
      <x:c r="K1357" s="2" t="n">
        <x:v>0</x:v>
      </x:c>
      <x:c r="L1357" s="2" t="str">
        <x:v>Completed</x:v>
      </x:c>
    </x:row>
    <x:row r="1358" ht="21" customHeight="1">
      <x:c r="A1358" s="2" t="n">
        <x:v>1353</x:v>
      </x:c>
      <x:c r="B1358" s="2" t="str">
        <x:v>TXN-01353</x:v>
      </x:c>
      <x:c r="C1358" s="2" t="str">
        <x:v>2025-12-16</x:v>
      </x:c>
      <x:c r="D1358" s="2" t="str">
        <x:v>Port Harcourt</x:v>
      </x:c>
      <x:c r="E1358" s="2" t="str">
        <x:v>Fashion</x:v>
      </x:c>
      <x:c r="F1358" s="2" t="str">
        <x:v>Sneakers</x:v>
      </x:c>
      <x:c r="G1358" s="2" t="str">
        <x:v>In-store</x:v>
      </x:c>
      <x:c r="H1358" s="2" t="n">
        <x:v>1</x:v>
      </x:c>
      <x:c r="I1358" s="2" t="n">
        <x:v>28000</x:v>
      </x:c>
      <x:c r="J1358" s="2" t="n">
        <x:v>17500</x:v>
      </x:c>
      <x:c r="K1358" s="2" t="n">
        <x:v>0</x:v>
      </x:c>
      <x:c r="L1358" s="2" t="str">
        <x:v>Completed</x:v>
      </x:c>
    </x:row>
    <x:row r="1359" ht="21" customHeight="1">
      <x:c r="A1359" s="2" t="n">
        <x:v>1354</x:v>
      </x:c>
      <x:c r="B1359" s="2" t="str">
        <x:v>TXN-01354</x:v>
      </x:c>
      <x:c r="C1359" s="2" t="str">
        <x:v>2025-12-13</x:v>
      </x:c>
      <x:c r="D1359" s="2" t="str">
        <x:v>Lagos</x:v>
      </x:c>
      <x:c r="E1359" s="2" t="str">
        <x:v>Fashion</x:v>
      </x:c>
      <x:c r="F1359" s="2" t="str">
        <x:v>T-shirt</x:v>
      </x:c>
      <x:c r="G1359" s="2" t="str">
        <x:v> online </x:v>
      </x:c>
      <x:c r="H1359" s="2" t="n">
        <x:v>1</x:v>
      </x:c>
      <x:c r="I1359" s="2" t="n">
        <x:v>9000</x:v>
      </x:c>
      <x:c r="J1359" s="2" t="n">
        <x:v>5000</x:v>
      </x:c>
      <x:c r="K1359" s="2" t="n">
        <x:v>0.1</x:v>
      </x:c>
      <x:c r="L1359" s="2" t="str">
        <x:v>Returned</x:v>
      </x:c>
    </x:row>
    <x:row r="1360" ht="21" customHeight="1">
      <x:c r="A1360" s="2" t="n">
        <x:v>1355</x:v>
      </x:c>
      <x:c r="B1360" s="2" t="str">
        <x:v>TXN-01355</x:v>
      </x:c>
      <x:c r="C1360" s="2" t="str">
        <x:v>2025-12-01</x:v>
      </x:c>
      <x:c r="D1360" s="2" t="str">
        <x:v>Lagos</x:v>
      </x:c>
      <x:c r="E1360" s="2" t="str">
        <x:v>Beauty</x:v>
      </x:c>
      <x:c r="F1360" s="2" t="str">
        <x:v>Moisturizer</x:v>
      </x:c>
      <x:c r="G1360" s="2" t="str">
        <x:v>Online</x:v>
      </x:c>
      <x:c r="H1360" s="2" t="n">
        <x:v>2</x:v>
      </x:c>
      <x:c r="I1360" s="2" t="n">
        <x:v>6500</x:v>
      </x:c>
      <x:c r="J1360" s="2" t="n">
        <x:v>3500</x:v>
      </x:c>
      <x:c r="K1360" s="2" t="n">
        <x:v>0</x:v>
      </x:c>
      <x:c r="L1360" s="2" t="str">
        <x:v>Completed</x:v>
      </x:c>
    </x:row>
    <x:row r="1361" ht="21" customHeight="1">
      <x:c r="A1361" s="2" t="n">
        <x:v>1356</x:v>
      </x:c>
      <x:c r="B1361" s="2" t="str">
        <x:v>TXN-01356</x:v>
      </x:c>
      <x:c r="C1361" s="2" t="str">
        <x:v>2025-12-18</x:v>
      </x:c>
      <x:c r="D1361" s="2" t="str">
        <x:v>Abuja</x:v>
      </x:c>
      <x:c r="E1361" s="2" t="str">
        <x:v>Fashion</x:v>
      </x:c>
      <x:c r="F1361" s="2" t="str">
        <x:v>T-shirt</x:v>
      </x:c>
      <x:c r="G1361" s="2" t="str">
        <x:v>Online</x:v>
      </x:c>
      <x:c r="H1361" s="2" t="n">
        <x:v>1</x:v>
      </x:c>
      <x:c r="I1361" s="2" t="n">
        <x:v>9000</x:v>
      </x:c>
      <x:c r="J1361" s="2" t="n">
        <x:v>5000</x:v>
      </x:c>
      <x:c r="K1361" s="2" t="n">
        <x:v>0.15</x:v>
      </x:c>
      <x:c r="L1361" s="2" t="str">
        <x:v>Completed</x:v>
      </x:c>
    </x:row>
    <x:row r="1362" ht="21" customHeight="1">
      <x:c r="A1362" s="2" t="n">
        <x:v>1357</x:v>
      </x:c>
      <x:c r="B1362" s="2" t="str">
        <x:v>TXN-01357</x:v>
      </x:c>
      <x:c r="C1362" s="2" t="str">
        <x:v>2025-12-22</x:v>
      </x:c>
      <x:c r="D1362" s="2" t="str">
        <x:v>Abuja</x:v>
      </x:c>
      <x:c r="E1362" s="2" t="str">
        <x:v>Beauty</x:v>
      </x:c>
      <x:c r="F1362" s="2" t="str">
        <x:v>Perfume</x:v>
      </x:c>
      <x:c r="G1362" s="2" t="str">
        <x:v>In-store</x:v>
      </x:c>
      <x:c r="H1362" s="2" t="n">
        <x:v>1</x:v>
      </x:c>
      <x:c r="I1362" s="2" t="n">
        <x:v>17000</x:v>
      </x:c>
      <x:c r="J1362" s="2" t="n">
        <x:v>9000</x:v>
      </x:c>
      <x:c r="K1362" s="2" t="n">
        <x:v>0</x:v>
      </x:c>
      <x:c r="L1362" s="2" t="str">
        <x:v>Completed</x:v>
      </x:c>
    </x:row>
    <x:row r="1363" ht="21" customHeight="1">
      <x:c r="A1363" s="2" t="n">
        <x:v>1358</x:v>
      </x:c>
      <x:c r="B1363" s="2" t="str">
        <x:v>TXN-01358</x:v>
      </x:c>
      <x:c r="C1363" s="2" t="str">
        <x:v>2025-12-21</x:v>
      </x:c>
      <x:c r="D1363" s="2" t="str"/>
      <x:c r="E1363" s="2" t="str">
        <x:v>Fashion</x:v>
      </x:c>
      <x:c r="F1363" s="2" t="str">
        <x:v>T-shirt</x:v>
      </x:c>
      <x:c r="G1363" s="2" t="str">
        <x:v>In-store</x:v>
      </x:c>
      <x:c r="H1363" s="2" t="n">
        <x:v>2</x:v>
      </x:c>
      <x:c r="I1363" s="2" t="n">
        <x:v>9000</x:v>
      </x:c>
      <x:c r="J1363" s="2" t="n">
        <x:v>5000</x:v>
      </x:c>
      <x:c r="K1363" s="2" t="n">
        <x:v>0</x:v>
      </x:c>
      <x:c r="L1363" s="2" t="str">
        <x:v>Completed</x:v>
      </x:c>
    </x:row>
    <x:row r="1364" ht="21" customHeight="1">
      <x:c r="A1364" s="2" t="n">
        <x:v>1359</x:v>
      </x:c>
      <x:c r="B1364" s="2" t="str">
        <x:v>TXN-01359</x:v>
      </x:c>
      <x:c r="C1364" s="2" t="str">
        <x:v>2025-12-04</x:v>
      </x:c>
      <x:c r="D1364" s="2" t="str">
        <x:v> abuja </x:v>
      </x:c>
      <x:c r="E1364" s="2" t="str">
        <x:v>Beauty</x:v>
      </x:c>
      <x:c r="F1364" s="2" t="str">
        <x:v>Perfume</x:v>
      </x:c>
      <x:c r="G1364" s="2" t="str">
        <x:v>Online</x:v>
      </x:c>
      <x:c r="H1364" s="2" t="n">
        <x:v>1</x:v>
      </x:c>
      <x:c r="I1364" s="2" t="n">
        <x:v>17000</x:v>
      </x:c>
      <x:c r="J1364" s="2" t="n">
        <x:v>9000</x:v>
      </x:c>
      <x:c r="K1364" s="2" t="n">
        <x:v>0.05</x:v>
      </x:c>
      <x:c r="L1364" s="2" t="str">
        <x:v>Completed</x:v>
      </x:c>
    </x:row>
    <x:row r="1365" ht="21" customHeight="1">
      <x:c r="A1365" s="2" t="n">
        <x:v>1360</x:v>
      </x:c>
      <x:c r="B1365" s="2" t="str">
        <x:v>TXN-01360</x:v>
      </x:c>
      <x:c r="C1365" s="2" t="str">
        <x:v>2025-12-06</x:v>
      </x:c>
      <x:c r="D1365" s="2" t="str">
        <x:v>Port Harcourt</x:v>
      </x:c>
      <x:c r="E1365" s="2" t="str">
        <x:v>Electronics</x:v>
      </x:c>
      <x:c r="F1365" s="2" t="str">
        <x:v>Power bank</x:v>
      </x:c>
      <x:c r="G1365" s="2" t="str">
        <x:v>In-store</x:v>
      </x:c>
      <x:c r="H1365" s="2" t="n">
        <x:v>1</x:v>
      </x:c>
      <x:c r="I1365" s="2" t="n">
        <x:v>15000</x:v>
      </x:c>
      <x:c r="J1365" s="2" t="n">
        <x:v>9500</x:v>
      </x:c>
      <x:c r="K1365" s="2" t="n">
        <x:v>0</x:v>
      </x:c>
      <x:c r="L1365" s="2" t="str">
        <x:v> COMPLETED </x:v>
      </x:c>
    </x:row>
    <x:row r="1366" ht="21" customHeight="1">
      <x:c r="A1366" s="2" t="n">
        <x:v>1361</x:v>
      </x:c>
      <x:c r="B1366" s="2" t="str">
        <x:v>TXN-01361</x:v>
      </x:c>
      <x:c r="C1366" s="2" t="str">
        <x:v>2025-12-18</x:v>
      </x:c>
      <x:c r="D1366" s="2" t="str">
        <x:v>Abuja</x:v>
      </x:c>
      <x:c r="E1366" s="2" t="str">
        <x:v>Electronics</x:v>
      </x:c>
      <x:c r="F1366" s="2" t="str">
        <x:v>Headphones</x:v>
      </x:c>
      <x:c r="G1366" s="2" t="str">
        <x:v>Online</x:v>
      </x:c>
      <x:c r="H1366" s="2" t="n">
        <x:v>1</x:v>
      </x:c>
      <x:c r="I1366" s="2" t="n">
        <x:v>18000</x:v>
      </x:c>
      <x:c r="J1366" s="2" t="n">
        <x:v>10500</x:v>
      </x:c>
      <x:c r="K1366" s="2" t="n">
        <x:v>0.1</x:v>
      </x:c>
      <x:c r="L1366" s="2" t="str">
        <x:v>Completed</x:v>
      </x:c>
    </x:row>
    <x:row r="1367" ht="21" customHeight="1">
      <x:c r="A1367" s="2" t="n">
        <x:v>1362</x:v>
      </x:c>
      <x:c r="B1367" s="2" t="str">
        <x:v>TXN-01362</x:v>
      </x:c>
      <x:c r="C1367" s="2" t="str">
        <x:v>2025-12-23</x:v>
      </x:c>
      <x:c r="D1367" s="2" t="str">
        <x:v>Lagos</x:v>
      </x:c>
      <x:c r="E1367" s="2" t="str">
        <x:v>Fashion</x:v>
      </x:c>
      <x:c r="F1367" s="2" t="str">
        <x:v>Handbag</x:v>
      </x:c>
      <x:c r="G1367" s="2" t="str">
        <x:v>Online</x:v>
      </x:c>
      <x:c r="H1367" s="2" t="n">
        <x:v>3</x:v>
      </x:c>
      <x:c r="I1367" s="2" t="n">
        <x:v>22000</x:v>
      </x:c>
      <x:c r="J1367" s="2" t="n">
        <x:v>13500</x:v>
      </x:c>
      <x:c r="K1367" s="2" t="n">
        <x:v>0.05</x:v>
      </x:c>
      <x:c r="L1367" s="2" t="str">
        <x:v>Completed</x:v>
      </x:c>
    </x:row>
    <x:row r="1368" ht="21" customHeight="1">
      <x:c r="A1368" s="2" t="n">
        <x:v>1363</x:v>
      </x:c>
      <x:c r="B1368" s="2" t="str">
        <x:v>TXN-01363</x:v>
      </x:c>
      <x:c r="C1368" s="2" t="str">
        <x:v>2025-12-30</x:v>
      </x:c>
      <x:c r="D1368" s="2" t="str">
        <x:v>Abuja</x:v>
      </x:c>
      <x:c r="E1368" s="2" t="str">
        <x:v>Fashion</x:v>
      </x:c>
      <x:c r="F1368" s="2" t="str">
        <x:v>Handbag</x:v>
      </x:c>
      <x:c r="G1368" s="2" t="str">
        <x:v>Online</x:v>
      </x:c>
      <x:c r="H1368" s="2" t="n">
        <x:v>2</x:v>
      </x:c>
      <x:c r="I1368" s="2" t="n">
        <x:v>22000</x:v>
      </x:c>
      <x:c r="J1368" s="2" t="n">
        <x:v>13500</x:v>
      </x:c>
      <x:c r="K1368" s="2" t="n">
        <x:v>0</x:v>
      </x:c>
      <x:c r="L1368" s="2" t="str">
        <x:v>Completed</x:v>
      </x:c>
    </x:row>
    <x:row r="1369" ht="21" customHeight="1">
      <x:c r="A1369" s="2" t="n">
        <x:v>1364</x:v>
      </x:c>
      <x:c r="B1369" s="2" t="str">
        <x:v>TXN-01364</x:v>
      </x:c>
      <x:c r="C1369" s="2" t="str">
        <x:v>2025-12-20</x:v>
      </x:c>
      <x:c r="D1369" s="2" t="str">
        <x:v>Abuja</x:v>
      </x:c>
      <x:c r="E1369" s="2" t="str">
        <x:v>Electronics</x:v>
      </x:c>
      <x:c r="F1369" s="2" t="str">
        <x:v>Headphones</x:v>
      </x:c>
      <x:c r="G1369" s="2" t="str">
        <x:v>Online</x:v>
      </x:c>
      <x:c r="H1369" s="2" t="n">
        <x:v>1</x:v>
      </x:c>
      <x:c r="I1369" s="2" t="n">
        <x:v>18000</x:v>
      </x:c>
      <x:c r="J1369" s="2" t="n">
        <x:v>10500</x:v>
      </x:c>
      <x:c r="K1369" s="2" t="n">
        <x:v>0.1</x:v>
      </x:c>
      <x:c r="L1369" s="2" t="str">
        <x:v>Completed</x:v>
      </x:c>
    </x:row>
    <x:row r="1370" ht="21" customHeight="1">
      <x:c r="A1370" s="2" t="n">
        <x:v>1365</x:v>
      </x:c>
      <x:c r="B1370" s="2" t="str">
        <x:v>TXN-01365</x:v>
      </x:c>
      <x:c r="C1370" s="2" t="str">
        <x:v>2025-12-31</x:v>
      </x:c>
      <x:c r="D1370" s="2" t="str">
        <x:v>Lagos</x:v>
      </x:c>
      <x:c r="E1370" s="2" t="str">
        <x:v>Beauty</x:v>
      </x:c>
      <x:c r="F1370" s="2" t="str">
        <x:v>Perfume</x:v>
      </x:c>
      <x:c r="G1370" s="2" t="str">
        <x:v> online </x:v>
      </x:c>
      <x:c r="H1370" s="2" t="n">
        <x:v>1</x:v>
      </x:c>
      <x:c r="I1370" s="2" t="n">
        <x:v>17000</x:v>
      </x:c>
      <x:c r="J1370" s="2" t="n">
        <x:v>9000</x:v>
      </x:c>
      <x:c r="K1370" s="2" t="n">
        <x:v>0</x:v>
      </x:c>
      <x:c r="L1370" s="2" t="str">
        <x:v>Completed</x:v>
      </x:c>
    </x:row>
    <x:row r="1371" ht="21" customHeight="1">
      <x:c r="A1371" s="2" t="n">
        <x:v>1366</x:v>
      </x:c>
      <x:c r="B1371" s="2" t="str">
        <x:v>TXN-01366</x:v>
      </x:c>
      <x:c r="C1371" s="2" t="str">
        <x:v>2025-12-18</x:v>
      </x:c>
      <x:c r="D1371" s="2" t="str">
        <x:v> lagos </x:v>
      </x:c>
      <x:c r="E1371" s="2" t="str">
        <x:v>Electronics</x:v>
      </x:c>
      <x:c r="F1371" s="2" t="str">
        <x:v>Headphones</x:v>
      </x:c>
      <x:c r="G1371" s="2" t="str">
        <x:v>In-store</x:v>
      </x:c>
      <x:c r="H1371" s="2" t="n">
        <x:v>2</x:v>
      </x:c>
      <x:c r="I1371" s="2" t="n">
        <x:v>18000</x:v>
      </x:c>
      <x:c r="J1371" s="2" t="n">
        <x:v>10500</x:v>
      </x:c>
      <x:c r="K1371" s="2" t="n">
        <x:v>0.15</x:v>
      </x:c>
      <x:c r="L1371" s="2" t="str">
        <x:v>Completed</x:v>
      </x:c>
    </x:row>
    <x:row r="1372" ht="21" customHeight="1">
      <x:c r="A1372" s="2" t="n">
        <x:v>1367</x:v>
      </x:c>
      <x:c r="B1372" s="2" t="str">
        <x:v>TXN-01367</x:v>
      </x:c>
      <x:c r="C1372" s="2" t="str">
        <x:v>2025-12-21</x:v>
      </x:c>
      <x:c r="D1372" s="2" t="str">
        <x:v>Port Harcourt</x:v>
      </x:c>
      <x:c r="E1372" s="2" t="str">
        <x:v>Beauty</x:v>
      </x:c>
      <x:c r="F1372" s="2" t="str">
        <x:v>Body wash</x:v>
      </x:c>
      <x:c r="G1372" s="2" t="str">
        <x:v>Online</x:v>
      </x:c>
      <x:c r="H1372" s="2" t="n">
        <x:v>1</x:v>
      </x:c>
      <x:c r="I1372" s="2" t="n">
        <x:v>4500</x:v>
      </x:c>
      <x:c r="J1372" s="2" t="n">
        <x:v>2300</x:v>
      </x:c>
      <x:c r="K1372" s="2" t="n">
        <x:v>0</x:v>
      </x:c>
      <x:c r="L1372" s="2" t="str">
        <x:v>Completed</x:v>
      </x:c>
    </x:row>
    <x:row r="1373" ht="21" customHeight="1">
      <x:c r="A1373" s="2" t="n">
        <x:v>1368</x:v>
      </x:c>
      <x:c r="B1373" s="2" t="str">
        <x:v>TXN-01368</x:v>
      </x:c>
      <x:c r="C1373" s="2" t="str">
        <x:v>2025-12-19</x:v>
      </x:c>
      <x:c r="D1373" s="2" t="str">
        <x:v>Lagos</x:v>
      </x:c>
      <x:c r="E1373" s="2" t="str">
        <x:v>Fashion</x:v>
      </x:c>
      <x:c r="F1373" s="2" t="str">
        <x:v>Sneakers</x:v>
      </x:c>
      <x:c r="G1373" s="2" t="str">
        <x:v>Online</x:v>
      </x:c>
      <x:c r="H1373" s="2" t="n">
        <x:v>1</x:v>
      </x:c>
      <x:c r="I1373" s="2" t="n">
        <x:v>28000</x:v>
      </x:c>
      <x:c r="J1373" s="2" t="n">
        <x:v>17500</x:v>
      </x:c>
      <x:c r="K1373" s="2" t="n">
        <x:v>0</x:v>
      </x:c>
      <x:c r="L1373" s="2" t="str">
        <x:v>Completed</x:v>
      </x:c>
    </x:row>
    <x:row r="1374" ht="21" customHeight="1">
      <x:c r="A1374" s="2" t="n">
        <x:v>1369</x:v>
      </x:c>
      <x:c r="B1374" s="2" t="str">
        <x:v>TXN-01369</x:v>
      </x:c>
      <x:c r="C1374" s="2" t="str">
        <x:v>2025-12-09</x:v>
      </x:c>
      <x:c r="D1374" s="2" t="str">
        <x:v>Port Harcourt</x:v>
      </x:c>
      <x:c r="E1374" s="2" t="str">
        <x:v>Home</x:v>
      </x:c>
      <x:c r="F1374" s="2" t="str">
        <x:v>Cookware set</x:v>
      </x:c>
      <x:c r="G1374" s="2" t="str">
        <x:v>In-store</x:v>
      </x:c>
      <x:c r="H1374" s="2" t="n">
        <x:v>2</x:v>
      </x:c>
      <x:c r="I1374" s="2" t="n">
        <x:v>35000</x:v>
      </x:c>
      <x:c r="J1374" s="2" t="n">
        <x:v>22500</x:v>
      </x:c>
      <x:c r="K1374" s="2" t="n">
        <x:v>0.05</x:v>
      </x:c>
      <x:c r="L1374" s="2" t="str">
        <x:v> COMPLETED </x:v>
      </x:c>
    </x:row>
    <x:row r="1375" ht="21" customHeight="1">
      <x:c r="A1375" s="2" t="n">
        <x:v>1370</x:v>
      </x:c>
      <x:c r="B1375" s="2" t="str">
        <x:v>TXN-01370</x:v>
      </x:c>
      <x:c r="C1375" s="2" t="str">
        <x:v>2025-12-13</x:v>
      </x:c>
      <x:c r="D1375" s="2" t="str">
        <x:v>Lagos</x:v>
      </x:c>
      <x:c r="E1375" s="2" t="str">
        <x:v>Fashion</x:v>
      </x:c>
      <x:c r="F1375" s="2" t="str">
        <x:v>Handbag</x:v>
      </x:c>
      <x:c r="G1375" s="2" t="str">
        <x:v>In-store</x:v>
      </x:c>
      <x:c r="H1375" s="2" t="n">
        <x:v>3</x:v>
      </x:c>
      <x:c r="I1375" s="2" t="n">
        <x:v>22000</x:v>
      </x:c>
      <x:c r="J1375" s="2" t="n">
        <x:v>13500</x:v>
      </x:c>
      <x:c r="K1375" s="2" t="n">
        <x:v>0</x:v>
      </x:c>
      <x:c r="L1375" s="2" t="str">
        <x:v>Completed</x:v>
      </x:c>
    </x:row>
    <x:row r="1376" ht="21" customHeight="1">
      <x:c r="A1376" s="2" t="n">
        <x:v>1371</x:v>
      </x:c>
      <x:c r="B1376" s="2" t="str">
        <x:v>TXN-01371</x:v>
      </x:c>
      <x:c r="C1376" s="2" t="str">
        <x:v>2025-12-22</x:v>
      </x:c>
      <x:c r="D1376" s="2" t="str">
        <x:v>Lagos</x:v>
      </x:c>
      <x:c r="E1376" s="2" t="str">
        <x:v>Beauty</x:v>
      </x:c>
      <x:c r="F1376" s="2" t="str">
        <x:v>Perfume</x:v>
      </x:c>
      <x:c r="G1376" s="2" t="str">
        <x:v>Online</x:v>
      </x:c>
      <x:c r="H1376" s="2" t="n">
        <x:v>1</x:v>
      </x:c>
      <x:c r="I1376" s="2" t="n">
        <x:v>17000</x:v>
      </x:c>
      <x:c r="J1376" s="2" t="n">
        <x:v>9000</x:v>
      </x:c>
      <x:c r="K1376" s="2" t="n">
        <x:v>0.1</x:v>
      </x:c>
      <x:c r="L1376" s="2" t="str">
        <x:v>Completed</x:v>
      </x:c>
    </x:row>
    <x:row r="1377" ht="21" customHeight="1">
      <x:c r="A1377" s="2" t="n">
        <x:v>1372</x:v>
      </x:c>
      <x:c r="B1377" s="2" t="str">
        <x:v>TXN-01372</x:v>
      </x:c>
      <x:c r="C1377" s="2" t="str">
        <x:v>2025-12-23</x:v>
      </x:c>
      <x:c r="D1377" s="2" t="str">
        <x:v>Port Harcourt</x:v>
      </x:c>
      <x:c r="E1377" s="2" t="str">
        <x:v>Home</x:v>
      </x:c>
      <x:c r="F1377" s="2" t="str">
        <x:v>Desk lamp</x:v>
      </x:c>
      <x:c r="G1377" s="2" t="str">
        <x:v>Online</x:v>
      </x:c>
      <x:c r="H1377" s="2" t="n">
        <x:v>3</x:v>
      </x:c>
      <x:c r="I1377" s="2" t="n">
        <x:v>12000</x:v>
      </x:c>
      <x:c r="J1377" s="2" t="n">
        <x:v>7200</x:v>
      </x:c>
      <x:c r="K1377" s="2" t="n">
        <x:v>0</x:v>
      </x:c>
      <x:c r="L1377" s="2" t="str">
        <x:v>Completed</x:v>
      </x:c>
    </x:row>
    <x:row r="1378" ht="21" customHeight="1">
      <x:c r="A1378" s="2" t="n">
        <x:v>1373</x:v>
      </x:c>
      <x:c r="B1378" s="2" t="str">
        <x:v>TXN-01373</x:v>
      </x:c>
      <x:c r="C1378" s="2" t="str">
        <x:v>2025-12-27</x:v>
      </x:c>
      <x:c r="D1378" s="2" t="str">
        <x:v> kano </x:v>
      </x:c>
      <x:c r="E1378" s="2" t="str">
        <x:v>Fashion</x:v>
      </x:c>
      <x:c r="F1378" s="2" t="str">
        <x:v>Sneakers</x:v>
      </x:c>
      <x:c r="G1378" s="2" t="str">
        <x:v>In-store</x:v>
      </x:c>
      <x:c r="H1378" s="2" t="n">
        <x:v>2</x:v>
      </x:c>
      <x:c r="I1378" s="2" t="n">
        <x:v>28000</x:v>
      </x:c>
      <x:c r="J1378" s="2" t="n">
        <x:v>17500</x:v>
      </x:c>
      <x:c r="K1378" s="2" t="n">
        <x:v>0</x:v>
      </x:c>
      <x:c r="L1378" s="2" t="str">
        <x:v>Completed</x:v>
      </x:c>
    </x:row>
    <x:row r="1379" ht="21" customHeight="1">
      <x:c r="A1379" s="2" t="n">
        <x:v>1374</x:v>
      </x:c>
      <x:c r="B1379" s="2" t="str">
        <x:v>TXN-01374</x:v>
      </x:c>
      <x:c r="C1379" s="2" t="str">
        <x:v>2025-12-15</x:v>
      </x:c>
      <x:c r="D1379" s="2" t="str">
        <x:v>Lagos</x:v>
      </x:c>
      <x:c r="E1379" s="2" t="str">
        <x:v>Beauty</x:v>
      </x:c>
      <x:c r="F1379" s="2" t="str">
        <x:v>Perfume</x:v>
      </x:c>
      <x:c r="G1379" s="2" t="str">
        <x:v>In-store</x:v>
      </x:c>
      <x:c r="H1379" s="2" t="n">
        <x:v>3</x:v>
      </x:c>
      <x:c r="I1379" s="2" t="n">
        <x:v>17000</x:v>
      </x:c>
      <x:c r="J1379" s="2" t="n">
        <x:v>9000</x:v>
      </x:c>
      <x:c r="K1379" s="2" t="n">
        <x:v>0.05</x:v>
      </x:c>
      <x:c r="L1379" s="2" t="str">
        <x:v>Completed</x:v>
      </x:c>
    </x:row>
    <x:row r="1380" ht="21" customHeight="1">
      <x:c r="A1380" s="2" t="n">
        <x:v>1375</x:v>
      </x:c>
      <x:c r="B1380" s="2" t="str">
        <x:v>TXN-01375</x:v>
      </x:c>
      <x:c r="C1380" s="2" t="str">
        <x:v>2025-12-06</x:v>
      </x:c>
      <x:c r="D1380" s="2" t="str">
        <x:v>Lagos</x:v>
      </x:c>
      <x:c r="E1380" s="2" t="str">
        <x:v>Electronics</x:v>
      </x:c>
      <x:c r="F1380" s="2" t="str">
        <x:v>Bluetooth speaker</x:v>
      </x:c>
      <x:c r="G1380" s="2" t="str">
        <x:v>Online</x:v>
      </x:c>
      <x:c r="H1380" s="2" t="n">
        <x:v>1</x:v>
      </x:c>
      <x:c r="I1380" s="2" t="n">
        <x:v>26000</x:v>
      </x:c>
      <x:c r="J1380" s="2" t="n">
        <x:v>17000</x:v>
      </x:c>
      <x:c r="K1380" s="2" t="n">
        <x:v>0.05</x:v>
      </x:c>
      <x:c r="L1380" s="2" t="str">
        <x:v>Completed</x:v>
      </x:c>
    </x:row>
    <x:row r="1381" ht="21" customHeight="1">
      <x:c r="A1381" s="2" t="n">
        <x:v>1376</x:v>
      </x:c>
      <x:c r="B1381" s="2" t="str">
        <x:v>TXN-01376</x:v>
      </x:c>
      <x:c r="C1381" s="2" t="str">
        <x:v>2025-12-27</x:v>
      </x:c>
      <x:c r="D1381" s="2" t="str">
        <x:v>Lagos</x:v>
      </x:c>
      <x:c r="E1381" s="2" t="str">
        <x:v>Electronics</x:v>
      </x:c>
      <x:c r="F1381" s="2" t="str">
        <x:v>Power bank</x:v>
      </x:c>
      <x:c r="G1381" s="2" t="str">
        <x:v> online </x:v>
      </x:c>
      <x:c r="H1381" s="2" t="n">
        <x:v>2</x:v>
      </x:c>
      <x:c r="I1381" s="2" t="n">
        <x:v>15000</x:v>
      </x:c>
      <x:c r="J1381" s="2" t="n">
        <x:v>9500</x:v>
      </x:c>
      <x:c r="K1381" s="2" t="str"/>
      <x:c r="L1381" s="2" t="str">
        <x:v>Completed</x:v>
      </x:c>
    </x:row>
    <x:row r="1382" ht="21" customHeight="1">
      <x:c r="A1382" s="2" t="n">
        <x:v>1377</x:v>
      </x:c>
      <x:c r="B1382" s="2" t="str">
        <x:v>TXN-01377</x:v>
      </x:c>
      <x:c r="C1382" s="2" t="str">
        <x:v>2025-12-14</x:v>
      </x:c>
      <x:c r="D1382" s="2" t="str">
        <x:v>Lagos</x:v>
      </x:c>
      <x:c r="E1382" s="2" t="str">
        <x:v>Beauty</x:v>
      </x:c>
      <x:c r="F1382" s="2" t="str">
        <x:v>Body wash</x:v>
      </x:c>
      <x:c r="G1382" s="2" t="str">
        <x:v>In-store</x:v>
      </x:c>
      <x:c r="H1382" s="2" t="n">
        <x:v>2</x:v>
      </x:c>
      <x:c r="I1382" s="2" t="n">
        <x:v>4500</x:v>
      </x:c>
      <x:c r="J1382" s="2" t="n">
        <x:v>2300</x:v>
      </x:c>
      <x:c r="K1382" s="2" t="n">
        <x:v>0</x:v>
      </x:c>
      <x:c r="L1382" s="2" t="str">
        <x:v>Completed</x:v>
      </x:c>
    </x:row>
    <x:row r="1383" ht="21" customHeight="1">
      <x:c r="A1383" s="2" t="n">
        <x:v>1378</x:v>
      </x:c>
      <x:c r="B1383" s="2" t="str">
        <x:v>TXN-01378</x:v>
      </x:c>
      <x:c r="C1383" s="2" t="str">
        <x:v>2025-12-22</x:v>
      </x:c>
      <x:c r="D1383" s="2" t="str">
        <x:v>Abuja</x:v>
      </x:c>
      <x:c r="E1383" s="2" t="str">
        <x:v>Electronics</x:v>
      </x:c>
      <x:c r="F1383" s="2" t="str">
        <x:v>Headphones</x:v>
      </x:c>
      <x:c r="G1383" s="2" t="str">
        <x:v>In-store</x:v>
      </x:c>
      <x:c r="H1383" s="2" t="n">
        <x:v>2</x:v>
      </x:c>
      <x:c r="I1383" s="2" t="n">
        <x:v>18000</x:v>
      </x:c>
      <x:c r="J1383" s="2" t="n">
        <x:v>10500</x:v>
      </x:c>
      <x:c r="K1383" s="2" t="n">
        <x:v>0.05</x:v>
      </x:c>
      <x:c r="L1383" s="2" t="str">
        <x:v> COMPLETED </x:v>
      </x:c>
    </x:row>
    <x:row r="1384" ht="21" customHeight="1">
      <x:c r="A1384" s="2" t="n">
        <x:v>1379</x:v>
      </x:c>
      <x:c r="B1384" s="2" t="str">
        <x:v>TXN-01379</x:v>
      </x:c>
      <x:c r="C1384" s="2" t="str">
        <x:v>2025-12-10</x:v>
      </x:c>
      <x:c r="D1384" s="2" t="str">
        <x:v>Lagos</x:v>
      </x:c>
      <x:c r="E1384" s="2" t="str">
        <x:v>Fashion</x:v>
      </x:c>
      <x:c r="F1384" s="2" t="str">
        <x:v>Sneakers</x:v>
      </x:c>
      <x:c r="G1384" s="2" t="str">
        <x:v>Online</x:v>
      </x:c>
      <x:c r="H1384" s="2" t="n">
        <x:v>1</x:v>
      </x:c>
      <x:c r="I1384" s="2" t="n">
        <x:v>28000</x:v>
      </x:c>
      <x:c r="J1384" s="2" t="n">
        <x:v>17500</x:v>
      </x:c>
      <x:c r="K1384" s="2" t="n">
        <x:v>0</x:v>
      </x:c>
      <x:c r="L1384" s="2" t="str">
        <x:v>Completed</x:v>
      </x:c>
    </x:row>
    <x:row r="1385" ht="21" customHeight="1">
      <x:c r="A1385" s="2" t="n">
        <x:v>1380</x:v>
      </x:c>
      <x:c r="B1385" s="2" t="str">
        <x:v>TXN-01380</x:v>
      </x:c>
      <x:c r="C1385" s="2" t="str">
        <x:v>2025-12-09</x:v>
      </x:c>
      <x:c r="D1385" s="2" t="str">
        <x:v> port harcourt </x:v>
      </x:c>
      <x:c r="E1385" s="2" t="str">
        <x:v>Electronics</x:v>
      </x:c>
      <x:c r="F1385" s="2" t="str">
        <x:v>Power bank</x:v>
      </x:c>
      <x:c r="G1385" s="2" t="str">
        <x:v>In-store</x:v>
      </x:c>
      <x:c r="H1385" s="2" t="n">
        <x:v>1</x:v>
      </x:c>
      <x:c r="I1385" s="2" t="n">
        <x:v>15000</x:v>
      </x:c>
      <x:c r="J1385" s="2" t="n">
        <x:v>9500</x:v>
      </x:c>
      <x:c r="K1385" s="2" t="n">
        <x:v>0</x:v>
      </x:c>
      <x:c r="L1385" s="2" t="str">
        <x:v>Completed</x:v>
      </x:c>
    </x:row>
    <x:row r="1386" ht="21" customHeight="1">
      <x:c r="A1386" s="2" t="n">
        <x:v>1381</x:v>
      </x:c>
      <x:c r="B1386" s="2" t="str">
        <x:v>TXN-01381</x:v>
      </x:c>
      <x:c r="C1386" s="2" t="str">
        <x:v>2025-12-22</x:v>
      </x:c>
      <x:c r="D1386" s="2" t="str">
        <x:v>Lagos</x:v>
      </x:c>
      <x:c r="E1386" s="2" t="str">
        <x:v>Electronics</x:v>
      </x:c>
      <x:c r="F1386" s="2" t="str">
        <x:v>Bluetooth speaker</x:v>
      </x:c>
      <x:c r="G1386" s="2" t="str">
        <x:v>Online</x:v>
      </x:c>
      <x:c r="H1386" s="2" t="n">
        <x:v>3</x:v>
      </x:c>
      <x:c r="I1386" s="2" t="n">
        <x:v>26000</x:v>
      </x:c>
      <x:c r="J1386" s="2" t="n">
        <x:v>17000</x:v>
      </x:c>
      <x:c r="K1386" s="2" t="n">
        <x:v>0.15</x:v>
      </x:c>
      <x:c r="L1386" s="2" t="str">
        <x:v>Completed</x:v>
      </x:c>
    </x:row>
    <x:row r="1387" ht="21" customHeight="1">
      <x:c r="A1387" s="2" t="n">
        <x:v>1382</x:v>
      </x:c>
      <x:c r="B1387" s="2" t="str">
        <x:v>TXN-01382</x:v>
      </x:c>
      <x:c r="C1387" s="2" t="str">
        <x:v>2025-12-15</x:v>
      </x:c>
      <x:c r="D1387" s="2" t="str">
        <x:v>Port Harcourt</x:v>
      </x:c>
      <x:c r="E1387" s="2" t="str">
        <x:v>Home</x:v>
      </x:c>
      <x:c r="F1387" s="2" t="str">
        <x:v>Desk lamp</x:v>
      </x:c>
      <x:c r="G1387" s="2" t="str">
        <x:v>In-store</x:v>
      </x:c>
      <x:c r="H1387" s="2" t="n">
        <x:v>1</x:v>
      </x:c>
      <x:c r="I1387" s="2" t="n">
        <x:v>12000</x:v>
      </x:c>
      <x:c r="J1387" s="2" t="n">
        <x:v>7200</x:v>
      </x:c>
      <x:c r="K1387" s="2" t="n">
        <x:v>0</x:v>
      </x:c>
      <x:c r="L1387" s="2" t="str">
        <x:v>Completed</x:v>
      </x:c>
    </x:row>
    <x:row r="1388" ht="21" customHeight="1">
      <x:c r="A1388" s="2" t="n">
        <x:v>1383</x:v>
      </x:c>
      <x:c r="B1388" s="2" t="str">
        <x:v>TXN-01383</x:v>
      </x:c>
      <x:c r="C1388" s="2" t="str">
        <x:v>2025-12-08</x:v>
      </x:c>
      <x:c r="D1388" s="2" t="str">
        <x:v>Lagos</x:v>
      </x:c>
      <x:c r="E1388" s="2" t="str">
        <x:v>Fashion</x:v>
      </x:c>
      <x:c r="F1388" s="2" t="str">
        <x:v>T-shirt</x:v>
      </x:c>
      <x:c r="G1388" s="2" t="str">
        <x:v>Online</x:v>
      </x:c>
      <x:c r="H1388" s="2" t="n">
        <x:v>1</x:v>
      </x:c>
      <x:c r="I1388" s="2" t="n">
        <x:v>9000</x:v>
      </x:c>
      <x:c r="J1388" s="2" t="n">
        <x:v>5000</x:v>
      </x:c>
      <x:c r="K1388" s="2" t="n">
        <x:v>0</x:v>
      </x:c>
      <x:c r="L1388" s="2" t="str">
        <x:v>Completed</x:v>
      </x:c>
    </x:row>
    <x:row r="1389" ht="21" customHeight="1">
      <x:c r="A1389" s="2" t="n">
        <x:v>1384</x:v>
      </x:c>
      <x:c r="B1389" s="2" t="str">
        <x:v>TXN-01384</x:v>
      </x:c>
      <x:c r="C1389" s="2" t="str">
        <x:v>2025-12-16</x:v>
      </x:c>
      <x:c r="D1389" s="2" t="str">
        <x:v>Port Harcourt</x:v>
      </x:c>
      <x:c r="E1389" s="2" t="str">
        <x:v>Electronics</x:v>
      </x:c>
      <x:c r="F1389" s="2" t="str">
        <x:v>Headphones</x:v>
      </x:c>
      <x:c r="G1389" s="2" t="str">
        <x:v>In-store</x:v>
      </x:c>
      <x:c r="H1389" s="2" t="n">
        <x:v>1</x:v>
      </x:c>
      <x:c r="I1389" s="2" t="n">
        <x:v>18000</x:v>
      </x:c>
      <x:c r="J1389" s="2" t="n">
        <x:v>10500</x:v>
      </x:c>
      <x:c r="K1389" s="2" t="n">
        <x:v>0.05</x:v>
      </x:c>
      <x:c r="L1389" s="2" t="str">
        <x:v>Completed</x:v>
      </x:c>
    </x:row>
    <x:row r="1390" ht="21" customHeight="1">
      <x:c r="A1390" s="2" t="n">
        <x:v>1385</x:v>
      </x:c>
      <x:c r="B1390" s="2" t="str">
        <x:v>TXN-01385</x:v>
      </x:c>
      <x:c r="C1390" s="2" t="str">
        <x:v>2025-12-21</x:v>
      </x:c>
      <x:c r="D1390" s="2" t="str">
        <x:v>Port Harcourt</x:v>
      </x:c>
      <x:c r="E1390" s="2" t="str">
        <x:v>Electronics</x:v>
      </x:c>
      <x:c r="F1390" s="2" t="str">
        <x:v>Bluetooth speaker</x:v>
      </x:c>
      <x:c r="G1390" s="2" t="str">
        <x:v>Online</x:v>
      </x:c>
      <x:c r="H1390" s="2" t="n">
        <x:v>2</x:v>
      </x:c>
      <x:c r="I1390" s="2" t="n">
        <x:v>26000</x:v>
      </x:c>
      <x:c r="J1390" s="2" t="n">
        <x:v>17000</x:v>
      </x:c>
      <x:c r="K1390" s="2" t="n">
        <x:v>0</x:v>
      </x:c>
      <x:c r="L1390" s="2" t="str">
        <x:v>Returned</x:v>
      </x:c>
    </x:row>
    <x:row r="1391" ht="21" customHeight="1">
      <x:c r="A1391" s="2" t="n">
        <x:v>1386</x:v>
      </x:c>
      <x:c r="B1391" s="2" t="str">
        <x:v>TXN-01386</x:v>
      </x:c>
      <x:c r="C1391" s="2" t="str">
        <x:v>2025-12-06</x:v>
      </x:c>
      <x:c r="D1391" s="2" t="str">
        <x:v>Lagos</x:v>
      </x:c>
      <x:c r="E1391" s="2" t="str">
        <x:v>Fashion</x:v>
      </x:c>
      <x:c r="F1391" s="2" t="str">
        <x:v>Handbag</x:v>
      </x:c>
      <x:c r="G1391" s="2" t="str">
        <x:v>Online</x:v>
      </x:c>
      <x:c r="H1391" s="2" t="n">
        <x:v>1</x:v>
      </x:c>
      <x:c r="I1391" s="2" t="n">
        <x:v>22000</x:v>
      </x:c>
      <x:c r="J1391" s="2" t="n">
        <x:v>13500</x:v>
      </x:c>
      <x:c r="K1391" s="2" t="n">
        <x:v>0</x:v>
      </x:c>
      <x:c r="L1391" s="2" t="str">
        <x:v>Completed</x:v>
      </x:c>
    </x:row>
    <x:row r="1392" ht="21" customHeight="1">
      <x:c r="A1392" s="2" t="n">
        <x:v>1387</x:v>
      </x:c>
      <x:c r="B1392" s="2" t="str">
        <x:v>TXN-01387</x:v>
      </x:c>
      <x:c r="C1392" s="2" t="str">
        <x:v>2025-12-06</x:v>
      </x:c>
      <x:c r="D1392" s="2" t="str">
        <x:v> lagos </x:v>
      </x:c>
      <x:c r="E1392" s="2" t="str">
        <x:v>Beauty</x:v>
      </x:c>
      <x:c r="F1392" s="2" t="str">
        <x:v>Body wash</x:v>
      </x:c>
      <x:c r="G1392" s="2" t="str">
        <x:v> in-store </x:v>
      </x:c>
      <x:c r="H1392" s="2" t="n">
        <x:v>2</x:v>
      </x:c>
      <x:c r="I1392" s="2" t="n">
        <x:v>4500</x:v>
      </x:c>
      <x:c r="J1392" s="2" t="n">
        <x:v>2300</x:v>
      </x:c>
      <x:c r="K1392" s="2" t="n">
        <x:v>0</x:v>
      </x:c>
      <x:c r="L1392" s="2" t="str">
        <x:v> COMPLETED </x:v>
      </x:c>
    </x:row>
    <x:row r="1393" ht="21" customHeight="1">
      <x:c r="A1393" s="2" t="n">
        <x:v>1388</x:v>
      </x:c>
      <x:c r="B1393" s="2" t="str">
        <x:v>TXN-01388</x:v>
      </x:c>
      <x:c r="C1393" s="2" t="str">
        <x:v>2025-12-07</x:v>
      </x:c>
      <x:c r="D1393" s="2" t="str">
        <x:v>Lagos</x:v>
      </x:c>
      <x:c r="E1393" s="2" t="str">
        <x:v>Beauty</x:v>
      </x:c>
      <x:c r="F1393" s="2" t="str">
        <x:v>Body wash</x:v>
      </x:c>
      <x:c r="G1393" s="2" t="str">
        <x:v>Online</x:v>
      </x:c>
      <x:c r="H1393" s="2" t="n">
        <x:v>1</x:v>
      </x:c>
      <x:c r="I1393" s="2" t="n">
        <x:v>4500</x:v>
      </x:c>
      <x:c r="J1393" s="2" t="n">
        <x:v>2300</x:v>
      </x:c>
      <x:c r="K1393" s="2" t="n">
        <x:v>0</x:v>
      </x:c>
      <x:c r="L1393" s="2" t="str">
        <x:v>Completed</x:v>
      </x:c>
    </x:row>
    <x:row r="1394" ht="21" customHeight="1">
      <x:c r="A1394" s="2" t="n">
        <x:v>1389</x:v>
      </x:c>
      <x:c r="B1394" s="2" t="str">
        <x:v>TXN-01389</x:v>
      </x:c>
      <x:c r="C1394" s="2" t="str">
        <x:v>2025-12-07</x:v>
      </x:c>
      <x:c r="D1394" s="2" t="str">
        <x:v>Port Harcourt</x:v>
      </x:c>
      <x:c r="E1394" s="2" t="str">
        <x:v>Home</x:v>
      </x:c>
      <x:c r="F1394" s="2" t="str">
        <x:v>Cookware set</x:v>
      </x:c>
      <x:c r="G1394" s="2" t="str">
        <x:v>Online</x:v>
      </x:c>
      <x:c r="H1394" s="2" t="n">
        <x:v>1</x:v>
      </x:c>
      <x:c r="I1394" s="2" t="n">
        <x:v>35000</x:v>
      </x:c>
      <x:c r="J1394" s="2" t="n">
        <x:v>22500</x:v>
      </x:c>
      <x:c r="K1394" s="2" t="n">
        <x:v>0</x:v>
      </x:c>
      <x:c r="L1394" s="2" t="str">
        <x:v>Completed</x:v>
      </x:c>
    </x:row>
    <x:row r="1395" ht="21" customHeight="1">
      <x:c r="A1395" s="2" t="n">
        <x:v>1390</x:v>
      </x:c>
      <x:c r="B1395" s="2" t="str">
        <x:v>TXN-01390</x:v>
      </x:c>
      <x:c r="C1395" s="2" t="str">
        <x:v>2025-12-20</x:v>
      </x:c>
      <x:c r="D1395" s="2" t="str">
        <x:v>Port Harcourt</x:v>
      </x:c>
      <x:c r="E1395" s="2" t="str">
        <x:v>Beauty</x:v>
      </x:c>
      <x:c r="F1395" s="2" t="str">
        <x:v>Body wash</x:v>
      </x:c>
      <x:c r="G1395" s="2" t="str">
        <x:v>Online</x:v>
      </x:c>
      <x:c r="H1395" s="2" t="n">
        <x:v>1</x:v>
      </x:c>
      <x:c r="I1395" s="2" t="n">
        <x:v>4500</x:v>
      </x:c>
      <x:c r="J1395" s="2" t="n">
        <x:v>2300</x:v>
      </x:c>
      <x:c r="K1395" s="2" t="n">
        <x:v>0</x:v>
      </x:c>
      <x:c r="L1395" s="2" t="str">
        <x:v>Completed</x:v>
      </x:c>
    </x:row>
    <x:row r="1396" ht="21" customHeight="1">
      <x:c r="A1396" s="2" t="n">
        <x:v>1391</x:v>
      </x:c>
      <x:c r="B1396" s="2" t="str">
        <x:v>TXN-01391</x:v>
      </x:c>
      <x:c r="C1396" s="2" t="str">
        <x:v>2025-12-24</x:v>
      </x:c>
      <x:c r="D1396" s="2" t="str">
        <x:v>Port Harcourt</x:v>
      </x:c>
      <x:c r="E1396" s="2" t="str">
        <x:v>Home</x:v>
      </x:c>
      <x:c r="F1396" s="2" t="str">
        <x:v>Bedsheet</x:v>
      </x:c>
      <x:c r="G1396" s="2" t="str">
        <x:v>In-store</x:v>
      </x:c>
      <x:c r="H1396" s="2" t="n">
        <x:v>1</x:v>
      </x:c>
      <x:c r="I1396" s="2" t="n">
        <x:v>14000</x:v>
      </x:c>
      <x:c r="J1396" s="2" t="n">
        <x:v>8500</x:v>
      </x:c>
      <x:c r="K1396" s="2" t="n">
        <x:v>0</x:v>
      </x:c>
      <x:c r="L1396" s="2" t="str">
        <x:v>Completed</x:v>
      </x:c>
    </x:row>
    <x:row r="1397" ht="21" customHeight="1">
      <x:c r="A1397" s="2" t="n">
        <x:v>1392</x:v>
      </x:c>
      <x:c r="B1397" s="2" t="str">
        <x:v>TXN-01392</x:v>
      </x:c>
      <x:c r="C1397" s="2" t="str">
        <x:v>2025-12-11</x:v>
      </x:c>
      <x:c r="D1397" s="2" t="str">
        <x:v>Lagos</x:v>
      </x:c>
      <x:c r="E1397" s="2" t="str">
        <x:v>Electronics</x:v>
      </x:c>
      <x:c r="F1397" s="2" t="str">
        <x:v>Bluetooth speaker</x:v>
      </x:c>
      <x:c r="G1397" s="2" t="str">
        <x:v>Online</x:v>
      </x:c>
      <x:c r="H1397" s="2" t="n">
        <x:v>2</x:v>
      </x:c>
      <x:c r="I1397" s="2" t="n">
        <x:v>26000</x:v>
      </x:c>
      <x:c r="J1397" s="2" t="n">
        <x:v>17000</x:v>
      </x:c>
      <x:c r="K1397" s="2" t="n">
        <x:v>0</x:v>
      </x:c>
      <x:c r="L1397" s="2" t="str">
        <x:v>Completed</x:v>
      </x:c>
    </x:row>
    <x:row r="1398" ht="21" customHeight="1">
      <x:c r="A1398" s="2" t="n">
        <x:v>1393</x:v>
      </x:c>
      <x:c r="B1398" s="2" t="str">
        <x:v>TXN-01393</x:v>
      </x:c>
      <x:c r="C1398" s="2" t="str">
        <x:v>2025-12-21</x:v>
      </x:c>
      <x:c r="D1398" s="2" t="str">
        <x:v>Abuja</x:v>
      </x:c>
      <x:c r="E1398" s="2" t="str">
        <x:v>Beauty</x:v>
      </x:c>
      <x:c r="F1398" s="2" t="str">
        <x:v>Moisturizer</x:v>
      </x:c>
      <x:c r="G1398" s="2" t="str">
        <x:v>Online</x:v>
      </x:c>
      <x:c r="H1398" s="2" t="n">
        <x:v>2</x:v>
      </x:c>
      <x:c r="I1398" s="2" t="n">
        <x:v>6500</x:v>
      </x:c>
      <x:c r="J1398" s="2" t="n">
        <x:v>3500</x:v>
      </x:c>
      <x:c r="K1398" s="2" t="n">
        <x:v>0.1</x:v>
      </x:c>
      <x:c r="L1398" s="2" t="str">
        <x:v>Returned</x:v>
      </x:c>
    </x:row>
    <x:row r="1399" ht="21" customHeight="1">
      <x:c r="A1399" s="2" t="n">
        <x:v>1394</x:v>
      </x:c>
      <x:c r="B1399" s="2" t="str">
        <x:v>TXN-01394</x:v>
      </x:c>
      <x:c r="C1399" s="2" t="str">
        <x:v>2025-12-26</x:v>
      </x:c>
      <x:c r="D1399" s="2" t="str">
        <x:v> port harcourt </x:v>
      </x:c>
      <x:c r="E1399" s="2" t="str">
        <x:v>Home</x:v>
      </x:c>
      <x:c r="F1399" s="2" t="str">
        <x:v>Bedsheet</x:v>
      </x:c>
      <x:c r="G1399" s="2" t="str">
        <x:v>Online</x:v>
      </x:c>
      <x:c r="H1399" s="2" t="n">
        <x:v>1</x:v>
      </x:c>
      <x:c r="I1399" s="2" t="n">
        <x:v>14000</x:v>
      </x:c>
      <x:c r="J1399" s="2" t="n">
        <x:v>8500</x:v>
      </x:c>
      <x:c r="K1399" s="2" t="n">
        <x:v>0</x:v>
      </x:c>
      <x:c r="L1399" s="2" t="str">
        <x:v>Completed</x:v>
      </x:c>
    </x:row>
    <x:row r="1400" ht="21" customHeight="1">
      <x:c r="A1400" s="2" t="n">
        <x:v>1395</x:v>
      </x:c>
      <x:c r="B1400" s="2" t="str">
        <x:v>TXN-01395</x:v>
      </x:c>
      <x:c r="C1400" s="2" t="str">
        <x:v>2025-12-05</x:v>
      </x:c>
      <x:c r="D1400" s="2" t="str">
        <x:v>Abuja</x:v>
      </x:c>
      <x:c r="E1400" s="2" t="str">
        <x:v>Electronics</x:v>
      </x:c>
      <x:c r="F1400" s="2" t="str">
        <x:v>Power bank</x:v>
      </x:c>
      <x:c r="G1400" s="2" t="str">
        <x:v>Online</x:v>
      </x:c>
      <x:c r="H1400" s="2" t="n">
        <x:v>2</x:v>
      </x:c>
      <x:c r="I1400" s="2" t="n">
        <x:v>15000</x:v>
      </x:c>
      <x:c r="J1400" s="2" t="n">
        <x:v>9500</x:v>
      </x:c>
      <x:c r="K1400" s="2" t="n">
        <x:v>0</x:v>
      </x:c>
      <x:c r="L1400" s="2" t="str">
        <x:v>Completed</x:v>
      </x:c>
    </x:row>
    <x:row r="1401" ht="21" customHeight="1">
      <x:c r="A1401" s="2" t="n">
        <x:v>1396</x:v>
      </x:c>
      <x:c r="B1401" s="2" t="str">
        <x:v>TXN-01396</x:v>
      </x:c>
      <x:c r="C1401" s="2" t="str">
        <x:v>2025-12-13</x:v>
      </x:c>
      <x:c r="D1401" s="2" t="str">
        <x:v>Abuja</x:v>
      </x:c>
      <x:c r="E1401" s="2" t="str">
        <x:v>Electronics</x:v>
      </x:c>
      <x:c r="F1401" s="2" t="str">
        <x:v>Power bank</x:v>
      </x:c>
      <x:c r="G1401" s="2" t="str">
        <x:v>In-store</x:v>
      </x:c>
      <x:c r="H1401" s="2" t="n">
        <x:v>2</x:v>
      </x:c>
      <x:c r="I1401" s="2" t="n">
        <x:v>15000</x:v>
      </x:c>
      <x:c r="J1401" s="2" t="n">
        <x:v>9500</x:v>
      </x:c>
      <x:c r="K1401" s="2" t="n">
        <x:v>0.05</x:v>
      </x:c>
      <x:c r="L1401" s="2" t="str">
        <x:v> COMPLETED </x:v>
      </x:c>
    </x:row>
    <x:row r="1402" ht="21" customHeight="1">
      <x:c r="A1402" s="2" t="n">
        <x:v>1397</x:v>
      </x:c>
      <x:c r="B1402" s="2" t="str">
        <x:v>TXN-01397</x:v>
      </x:c>
      <x:c r="C1402" s="2" t="str">
        <x:v>2025-12-08</x:v>
      </x:c>
      <x:c r="D1402" s="2" t="str">
        <x:v>Abuja</x:v>
      </x:c>
      <x:c r="E1402" s="2" t="str">
        <x:v>Fashion</x:v>
      </x:c>
      <x:c r="F1402" s="2" t="str">
        <x:v>T-shirt</x:v>
      </x:c>
      <x:c r="G1402" s="2" t="str">
        <x:v>Online</x:v>
      </x:c>
      <x:c r="H1402" s="2" t="n">
        <x:v>2</x:v>
      </x:c>
      <x:c r="I1402" s="2" t="n">
        <x:v>9000</x:v>
      </x:c>
      <x:c r="J1402" s="2" t="n">
        <x:v>5000</x:v>
      </x:c>
      <x:c r="K1402" s="2" t="n">
        <x:v>0</x:v>
      </x:c>
      <x:c r="L1402" s="2" t="str">
        <x:v>Returned</x:v>
      </x:c>
    </x:row>
    <x:row r="1403" ht="21" customHeight="1">
      <x:c r="A1403" s="2" t="n">
        <x:v>1398</x:v>
      </x:c>
      <x:c r="B1403" s="2" t="str">
        <x:v>TXN-01398</x:v>
      </x:c>
      <x:c r="C1403" s="2" t="str">
        <x:v>2025-12-09</x:v>
      </x:c>
      <x:c r="D1403" s="2" t="str">
        <x:v>Lagos</x:v>
      </x:c>
      <x:c r="E1403" s="2" t="str">
        <x:v>Electronics</x:v>
      </x:c>
      <x:c r="F1403" s="2" t="str">
        <x:v>Bluetooth speaker</x:v>
      </x:c>
      <x:c r="G1403" s="2" t="str">
        <x:v> in-store </x:v>
      </x:c>
      <x:c r="H1403" s="2" t="n">
        <x:v>1</x:v>
      </x:c>
      <x:c r="I1403" s="2" t="n">
        <x:v>26000</x:v>
      </x:c>
      <x:c r="J1403" s="2" t="n">
        <x:v>17000</x:v>
      </x:c>
      <x:c r="K1403" s="2" t="n">
        <x:v>0</x:v>
      </x:c>
      <x:c r="L1403" s="2" t="str">
        <x:v>Completed</x:v>
      </x:c>
    </x:row>
    <x:row r="1404" ht="21" customHeight="1">
      <x:c r="A1404" s="2" t="n">
        <x:v>1399</x:v>
      </x:c>
      <x:c r="B1404" s="2" t="str">
        <x:v>TXN-01399</x:v>
      </x:c>
      <x:c r="C1404" s="2" t="str">
        <x:v>2025-12-02</x:v>
      </x:c>
      <x:c r="D1404" s="2" t="str">
        <x:v>Kano</x:v>
      </x:c>
      <x:c r="E1404" s="2" t="str">
        <x:v>Electronics</x:v>
      </x:c>
      <x:c r="F1404" s="2" t="str">
        <x:v>Headphones</x:v>
      </x:c>
      <x:c r="G1404" s="2" t="str">
        <x:v>In-store</x:v>
      </x:c>
      <x:c r="H1404" s="2" t="n">
        <x:v>2</x:v>
      </x:c>
      <x:c r="I1404" s="2" t="n">
        <x:v>18000</x:v>
      </x:c>
      <x:c r="J1404" s="2" t="n">
        <x:v>10500</x:v>
      </x:c>
      <x:c r="K1404" s="2" t="n">
        <x:v>0</x:v>
      </x:c>
      <x:c r="L1404" s="2" t="str">
        <x:v>Completed</x:v>
      </x:c>
    </x:row>
    <x:row r="1405" ht="21" customHeight="1">
      <x:c r="A1405" s="2" t="n">
        <x:v>1400</x:v>
      </x:c>
      <x:c r="B1405" s="2" t="str">
        <x:v>TXN-01400</x:v>
      </x:c>
      <x:c r="C1405" s="2" t="str">
        <x:v>2025-12-09</x:v>
      </x:c>
      <x:c r="D1405" s="2" t="str">
        <x:v>Port Harcourt</x:v>
      </x:c>
      <x:c r="E1405" s="2" t="str">
        <x:v>Electronics</x:v>
      </x:c>
      <x:c r="F1405" s="2" t="str">
        <x:v>Headphones</x:v>
      </x:c>
      <x:c r="G1405" s="2" t="str">
        <x:v>In-store</x:v>
      </x:c>
      <x:c r="H1405" s="2" t="n">
        <x:v>1</x:v>
      </x:c>
      <x:c r="I1405" s="2" t="n">
        <x:v>18000</x:v>
      </x:c>
      <x:c r="J1405" s="2" t="n">
        <x:v>10500</x:v>
      </x:c>
      <x:c r="K1405" s="2" t="n">
        <x:v>0</x:v>
      </x:c>
      <x:c r="L1405" s="2" t="str">
        <x:v>Completed</x:v>
      </x:c>
    </x:row>
    <x:row r="1406" ht="21" customHeight="1">
      <x:c r="A1406" s="2" t="n">
        <x:v>1401</x:v>
      </x:c>
      <x:c r="B1406" s="2" t="str">
        <x:v>TXN-01401</x:v>
      </x:c>
      <x:c r="C1406" s="2" t="str">
        <x:v>2025-12-18</x:v>
      </x:c>
      <x:c r="D1406" s="2" t="str">
        <x:v> kano </x:v>
      </x:c>
      <x:c r="E1406" s="2" t="str">
        <x:v>Electronics</x:v>
      </x:c>
      <x:c r="F1406" s="2" t="str">
        <x:v>Power bank</x:v>
      </x:c>
      <x:c r="G1406" s="2" t="str">
        <x:v>In-store</x:v>
      </x:c>
      <x:c r="H1406" s="2" t="n">
        <x:v>1</x:v>
      </x:c>
      <x:c r="I1406" s="2" t="n">
        <x:v>15000</x:v>
      </x:c>
      <x:c r="J1406" s="2" t="n">
        <x:v>9500</x:v>
      </x:c>
      <x:c r="K1406" s="2" t="n">
        <x:v>0</x:v>
      </x:c>
      <x:c r="L1406" s="2" t="str">
        <x:v>Completed</x:v>
      </x:c>
    </x:row>
    <x:row r="1407" ht="21" customHeight="1">
      <x:c r="A1407" s="2" t="n">
        <x:v>1402</x:v>
      </x:c>
      <x:c r="B1407" s="2" t="str">
        <x:v>TXN-01402</x:v>
      </x:c>
      <x:c r="C1407" s="2" t="str">
        <x:v>2025-12-24</x:v>
      </x:c>
      <x:c r="D1407" s="2" t="str">
        <x:v>Port Harcourt</x:v>
      </x:c>
      <x:c r="E1407" s="2" t="str">
        <x:v>Fashion</x:v>
      </x:c>
      <x:c r="F1407" s="2" t="str">
        <x:v>Sneakers</x:v>
      </x:c>
      <x:c r="G1407" s="2" t="str">
        <x:v>In-store</x:v>
      </x:c>
      <x:c r="H1407" s="2" t="n">
        <x:v>3</x:v>
      </x:c>
      <x:c r="I1407" s="2" t="n">
        <x:v>28000</x:v>
      </x:c>
      <x:c r="J1407" s="2" t="n">
        <x:v>17500</x:v>
      </x:c>
      <x:c r="K1407" s="2" t="n">
        <x:v>0.05</x:v>
      </x:c>
      <x:c r="L1407" s="2" t="str">
        <x:v>Completed</x:v>
      </x:c>
    </x:row>
    <x:row r="1408" ht="21" customHeight="1">
      <x:c r="A1408" s="2" t="n">
        <x:v>1403</x:v>
      </x:c>
      <x:c r="B1408" s="2" t="str">
        <x:v>TXN-01403</x:v>
      </x:c>
      <x:c r="C1408" s="2" t="str">
        <x:v>2025-12-16</x:v>
      </x:c>
      <x:c r="D1408" s="2" t="str">
        <x:v>Lagos</x:v>
      </x:c>
      <x:c r="E1408" s="2" t="str">
        <x:v>Beauty</x:v>
      </x:c>
      <x:c r="F1408" s="2" t="str">
        <x:v>Perfume</x:v>
      </x:c>
      <x:c r="G1408" s="2" t="str">
        <x:v>Online</x:v>
      </x:c>
      <x:c r="H1408" s="2" t="n">
        <x:v>2</x:v>
      </x:c>
      <x:c r="I1408" s="2" t="n">
        <x:v>17000</x:v>
      </x:c>
      <x:c r="J1408" s="2" t="n">
        <x:v>9000</x:v>
      </x:c>
      <x:c r="K1408" s="2" t="n">
        <x:v>0.05</x:v>
      </x:c>
      <x:c r="L1408" s="2" t="str">
        <x:v>Completed</x:v>
      </x:c>
    </x:row>
    <x:row r="1409" ht="21" customHeight="1">
      <x:c r="A1409" s="2" t="n">
        <x:v>1404</x:v>
      </x:c>
      <x:c r="B1409" s="2" t="str">
        <x:v>TXN-01404</x:v>
      </x:c>
      <x:c r="C1409" s="2" t="str">
        <x:v>2025-12-06</x:v>
      </x:c>
      <x:c r="D1409" s="2" t="str">
        <x:v>Abuja</x:v>
      </x:c>
      <x:c r="E1409" s="2" t="str">
        <x:v>Home</x:v>
      </x:c>
      <x:c r="F1409" s="2" t="str">
        <x:v>Bedsheet</x:v>
      </x:c>
      <x:c r="G1409" s="2" t="str">
        <x:v>In-store</x:v>
      </x:c>
      <x:c r="H1409" s="2" t="n">
        <x:v>3</x:v>
      </x:c>
      <x:c r="I1409" s="2" t="n">
        <x:v>14000</x:v>
      </x:c>
      <x:c r="J1409" s="2" t="n">
        <x:v>8500</x:v>
      </x:c>
      <x:c r="K1409" s="2" t="n">
        <x:v>0</x:v>
      </x:c>
      <x:c r="L1409" s="2" t="str">
        <x:v>Completed</x:v>
      </x:c>
    </x:row>
    <x:row r="1410" ht="21" customHeight="1">
      <x:c r="A1410" s="2" t="n">
        <x:v>1405</x:v>
      </x:c>
      <x:c r="B1410" s="2" t="str">
        <x:v>TXN-01405</x:v>
      </x:c>
      <x:c r="C1410" s="2" t="str">
        <x:v>2025-12-06</x:v>
      </x:c>
      <x:c r="D1410" s="2" t="str">
        <x:v>Abuja</x:v>
      </x:c>
      <x:c r="E1410" s="2" t="str">
        <x:v>Home</x:v>
      </x:c>
      <x:c r="F1410" s="2" t="str">
        <x:v>Bedsheet</x:v>
      </x:c>
      <x:c r="G1410" s="2" t="str">
        <x:v>In-store</x:v>
      </x:c>
      <x:c r="H1410" s="2" t="n">
        <x:v>1</x:v>
      </x:c>
      <x:c r="I1410" s="2" t="n">
        <x:v>14000</x:v>
      </x:c>
      <x:c r="J1410" s="2" t="n">
        <x:v>8500</x:v>
      </x:c>
      <x:c r="K1410" s="2" t="n">
        <x:v>0.15</x:v>
      </x:c>
      <x:c r="L1410" s="2" t="str">
        <x:v> COMPLETED </x:v>
      </x:c>
    </x:row>
    <x:row r="1411" ht="21" customHeight="1">
      <x:c r="A1411" s="2" t="n">
        <x:v>1406</x:v>
      </x:c>
      <x:c r="B1411" s="2" t="str">
        <x:v>TXN-01406</x:v>
      </x:c>
      <x:c r="C1411" s="2" t="str">
        <x:v>2025-12-14</x:v>
      </x:c>
      <x:c r="D1411" s="2" t="str">
        <x:v>Kano</x:v>
      </x:c>
      <x:c r="E1411" s="2" t="str">
        <x:v>Home</x:v>
      </x:c>
      <x:c r="F1411" s="2" t="str">
        <x:v>Desk lamp</x:v>
      </x:c>
      <x:c r="G1411" s="2" t="str">
        <x:v>In-store</x:v>
      </x:c>
      <x:c r="H1411" s="2" t="n">
        <x:v>1</x:v>
      </x:c>
      <x:c r="I1411" s="2" t="n">
        <x:v>12000</x:v>
      </x:c>
      <x:c r="J1411" s="2" t="n">
        <x:v>7200</x:v>
      </x:c>
      <x:c r="K1411" s="2" t="n">
        <x:v>0.05</x:v>
      </x:c>
      <x:c r="L1411" s="2" t="str">
        <x:v>Returned</x:v>
      </x:c>
    </x:row>
    <x:row r="1412" ht="21" customHeight="1">
      <x:c r="A1412" s="2" t="n">
        <x:v>1407</x:v>
      </x:c>
      <x:c r="B1412" s="2" t="str">
        <x:v>TXN-01407</x:v>
      </x:c>
      <x:c r="C1412" s="2" t="str">
        <x:v>2025-12-24</x:v>
      </x:c>
      <x:c r="D1412" s="2" t="str">
        <x:v>Lagos</x:v>
      </x:c>
      <x:c r="E1412" s="2" t="str">
        <x:v>Electronics</x:v>
      </x:c>
      <x:c r="F1412" s="2" t="str">
        <x:v>Bluetooth speaker</x:v>
      </x:c>
      <x:c r="G1412" s="2" t="str">
        <x:v>In-store</x:v>
      </x:c>
      <x:c r="H1412" s="2" t="n">
        <x:v>1</x:v>
      </x:c>
      <x:c r="I1412" s="2" t="n">
        <x:v>26000</x:v>
      </x:c>
      <x:c r="J1412" s="2" t="n">
        <x:v>17000</x:v>
      </x:c>
      <x:c r="K1412" s="2" t="str"/>
      <x:c r="L1412" s="2" t="str">
        <x:v>Completed</x:v>
      </x:c>
    </x:row>
    <x:row r="1413" ht="21" customHeight="1">
      <x:c r="A1413" s="2" t="n">
        <x:v>1408</x:v>
      </x:c>
      <x:c r="B1413" s="2" t="str">
        <x:v>TXN-01408</x:v>
      </x:c>
      <x:c r="C1413" s="2" t="str">
        <x:v>2025-12-25</x:v>
      </x:c>
      <x:c r="D1413" s="2" t="str">
        <x:v> lagos </x:v>
      </x:c>
      <x:c r="E1413" s="2" t="str">
        <x:v>Beauty</x:v>
      </x:c>
      <x:c r="F1413" s="2" t="str">
        <x:v>Perfume</x:v>
      </x:c>
      <x:c r="G1413" s="2" t="str">
        <x:v>Online</x:v>
      </x:c>
      <x:c r="H1413" s="2" t="n">
        <x:v>1</x:v>
      </x:c>
      <x:c r="I1413" s="2" t="n">
        <x:v>17000</x:v>
      </x:c>
      <x:c r="J1413" s="2" t="n">
        <x:v>9000</x:v>
      </x:c>
      <x:c r="K1413" s="2" t="n">
        <x:v>0.05</x:v>
      </x:c>
      <x:c r="L1413" s="2" t="str">
        <x:v>Completed</x:v>
      </x:c>
    </x:row>
    <x:row r="1414" ht="21" customHeight="1">
      <x:c r="A1414" s="2" t="n">
        <x:v>1409</x:v>
      </x:c>
      <x:c r="B1414" s="2" t="str">
        <x:v>TXN-01409</x:v>
      </x:c>
      <x:c r="C1414" s="2" t="str">
        <x:v>2025-12-09</x:v>
      </x:c>
      <x:c r="D1414" s="2" t="str">
        <x:v>Port Harcourt</x:v>
      </x:c>
      <x:c r="E1414" s="2" t="str">
        <x:v>Beauty</x:v>
      </x:c>
      <x:c r="F1414" s="2" t="str">
        <x:v>Perfume</x:v>
      </x:c>
      <x:c r="G1414" s="2" t="str">
        <x:v> in-store </x:v>
      </x:c>
      <x:c r="H1414" s="2" t="n">
        <x:v>1</x:v>
      </x:c>
      <x:c r="I1414" s="2" t="n">
        <x:v>17000</x:v>
      </x:c>
      <x:c r="J1414" s="2" t="n">
        <x:v>9000</x:v>
      </x:c>
      <x:c r="K1414" s="2" t="n">
        <x:v>0.15</x:v>
      </x:c>
      <x:c r="L1414" s="2" t="str">
        <x:v>Completed</x:v>
      </x:c>
    </x:row>
    <x:row r="1415" ht="21" customHeight="1">
      <x:c r="A1415" s="2" t="n">
        <x:v>1410</x:v>
      </x:c>
      <x:c r="B1415" s="2" t="str">
        <x:v>TXN-01410</x:v>
      </x:c>
      <x:c r="C1415" s="2" t="str">
        <x:v>2025-12-17</x:v>
      </x:c>
      <x:c r="D1415" s="2" t="str">
        <x:v>Abuja</x:v>
      </x:c>
      <x:c r="E1415" s="2" t="str">
        <x:v>Home</x:v>
      </x:c>
      <x:c r="F1415" s="2" t="str">
        <x:v>Desk lamp</x:v>
      </x:c>
      <x:c r="G1415" s="2" t="str">
        <x:v>Online</x:v>
      </x:c>
      <x:c r="H1415" s="2" t="n">
        <x:v>2</x:v>
      </x:c>
      <x:c r="I1415" s="2" t="n">
        <x:v>12000</x:v>
      </x:c>
      <x:c r="J1415" s="2" t="n">
        <x:v>7200</x:v>
      </x:c>
      <x:c r="K1415" s="2" t="n">
        <x:v>0</x:v>
      </x:c>
      <x:c r="L1415" s="2" t="str">
        <x:v>Completed</x:v>
      </x:c>
    </x:row>
    <x:row r="1416" ht="21" customHeight="1">
      <x:c r="A1416" s="2" t="n">
        <x:v>1411</x:v>
      </x:c>
      <x:c r="B1416" s="2" t="str">
        <x:v>TXN-01411</x:v>
      </x:c>
      <x:c r="C1416" s="2" t="str">
        <x:v>2025-12-10</x:v>
      </x:c>
      <x:c r="D1416" s="2" t="str">
        <x:v>Abuja</x:v>
      </x:c>
      <x:c r="E1416" s="2" t="str">
        <x:v>Home</x:v>
      </x:c>
      <x:c r="F1416" s="2" t="str">
        <x:v>Bedsheet</x:v>
      </x:c>
      <x:c r="G1416" s="2" t="str">
        <x:v>Online</x:v>
      </x:c>
      <x:c r="H1416" s="2" t="n">
        <x:v>1</x:v>
      </x:c>
      <x:c r="I1416" s="2" t="n">
        <x:v>14000</x:v>
      </x:c>
      <x:c r="J1416" s="2" t="n">
        <x:v>8500</x:v>
      </x:c>
      <x:c r="K1416" s="2" t="n">
        <x:v>0.1</x:v>
      </x:c>
      <x:c r="L1416" s="2" t="str">
        <x:v>Completed</x:v>
      </x:c>
    </x:row>
    <x:row r="1417" ht="21" customHeight="1">
      <x:c r="A1417" s="2" t="n">
        <x:v>1412</x:v>
      </x:c>
      <x:c r="B1417" s="2" t="str">
        <x:v>TXN-01412</x:v>
      </x:c>
      <x:c r="C1417" s="2" t="str">
        <x:v>2025-12-13</x:v>
      </x:c>
      <x:c r="D1417" s="2" t="str">
        <x:v>Abuja</x:v>
      </x:c>
      <x:c r="E1417" s="2" t="str">
        <x:v>Home</x:v>
      </x:c>
      <x:c r="F1417" s="2" t="str">
        <x:v>Bedsheet</x:v>
      </x:c>
      <x:c r="G1417" s="2" t="str">
        <x:v>Online</x:v>
      </x:c>
      <x:c r="H1417" s="2" t="n">
        <x:v>1</x:v>
      </x:c>
      <x:c r="I1417" s="2" t="n">
        <x:v>14000</x:v>
      </x:c>
      <x:c r="J1417" s="2" t="n">
        <x:v>8500</x:v>
      </x:c>
      <x:c r="K1417" s="2" t="n">
        <x:v>0</x:v>
      </x:c>
      <x:c r="L1417" s="2" t="str">
        <x:v>Completed</x:v>
      </x:c>
    </x:row>
    <x:row r="1418" ht="21" customHeight="1">
      <x:c r="A1418" s="2" t="n">
        <x:v>1413</x:v>
      </x:c>
      <x:c r="B1418" s="2" t="str">
        <x:v>TXN-01413</x:v>
      </x:c>
      <x:c r="C1418" s="2" t="str">
        <x:v>2025-12-31</x:v>
      </x:c>
      <x:c r="D1418" s="2" t="str">
        <x:v>Kano</x:v>
      </x:c>
      <x:c r="E1418" s="2" t="str">
        <x:v>Electronics</x:v>
      </x:c>
      <x:c r="F1418" s="2" t="str">
        <x:v>Power bank</x:v>
      </x:c>
      <x:c r="G1418" s="2" t="str">
        <x:v>In-store</x:v>
      </x:c>
      <x:c r="H1418" s="2" t="n">
        <x:v>3</x:v>
      </x:c>
      <x:c r="I1418" s="2" t="n">
        <x:v>15000</x:v>
      </x:c>
      <x:c r="J1418" s="2" t="n">
        <x:v>9500</x:v>
      </x:c>
      <x:c r="K1418" s="2" t="n">
        <x:v>0.1</x:v>
      </x:c>
      <x:c r="L1418" s="2" t="str">
        <x:v>Completed</x:v>
      </x:c>
    </x:row>
    <x:row r="1419" ht="21" customHeight="1">
      <x:c r="A1419" s="2" t="n">
        <x:v>1414</x:v>
      </x:c>
      <x:c r="B1419" s="2" t="str">
        <x:v>TXN-01414</x:v>
      </x:c>
      <x:c r="C1419" s="2" t="str">
        <x:v>2025-12-20</x:v>
      </x:c>
      <x:c r="D1419" s="2" t="str">
        <x:v>Abuja</x:v>
      </x:c>
      <x:c r="E1419" s="2" t="str">
        <x:v>Home</x:v>
      </x:c>
      <x:c r="F1419" s="2" t="str">
        <x:v>Bedsheet</x:v>
      </x:c>
      <x:c r="G1419" s="2" t="str">
        <x:v>Online</x:v>
      </x:c>
      <x:c r="H1419" s="2" t="n">
        <x:v>2</x:v>
      </x:c>
      <x:c r="I1419" s="2" t="n">
        <x:v>14000</x:v>
      </x:c>
      <x:c r="J1419" s="2" t="n">
        <x:v>8500</x:v>
      </x:c>
      <x:c r="K1419" s="2" t="n">
        <x:v>0.15</x:v>
      </x:c>
      <x:c r="L1419" s="2" t="str">
        <x:v> COMPLETED </x:v>
      </x:c>
    </x:row>
    <x:row r="1420" ht="21" customHeight="1">
      <x:c r="A1420" s="2" t="n">
        <x:v>1415</x:v>
      </x:c>
      <x:c r="B1420" s="2" t="str">
        <x:v>TXN-01415</x:v>
      </x:c>
      <x:c r="C1420" s="2" t="str">
        <x:v>2025-12-26</x:v>
      </x:c>
      <x:c r="D1420" s="2" t="str">
        <x:v> abuja </x:v>
      </x:c>
      <x:c r="E1420" s="2" t="str">
        <x:v>Fashion</x:v>
      </x:c>
      <x:c r="F1420" s="2" t="str">
        <x:v>T-shirt</x:v>
      </x:c>
      <x:c r="G1420" s="2" t="str">
        <x:v>Online</x:v>
      </x:c>
      <x:c r="H1420" s="2" t="n">
        <x:v>1</x:v>
      </x:c>
      <x:c r="I1420" s="2" t="n">
        <x:v>9000</x:v>
      </x:c>
      <x:c r="J1420" s="2" t="n">
        <x:v>5000</x:v>
      </x:c>
      <x:c r="K1420" s="2" t="n">
        <x:v>0.05</x:v>
      </x:c>
      <x:c r="L1420" s="2" t="str">
        <x:v>Completed</x:v>
      </x:c>
    </x:row>
    <x:row r="1421" ht="21" customHeight="1">
      <x:c r="A1421" s="2" t="n">
        <x:v>1416</x:v>
      </x:c>
      <x:c r="B1421" s="2" t="str">
        <x:v>TXN-01416</x:v>
      </x:c>
      <x:c r="C1421" s="2" t="str">
        <x:v>2025-12-01</x:v>
      </x:c>
      <x:c r="D1421" s="2" t="str">
        <x:v>Lagos</x:v>
      </x:c>
      <x:c r="E1421" s="2" t="str">
        <x:v>Electronics</x:v>
      </x:c>
      <x:c r="F1421" s="2" t="str">
        <x:v>Bluetooth speaker</x:v>
      </x:c>
      <x:c r="G1421" s="2" t="str">
        <x:v>In-store</x:v>
      </x:c>
      <x:c r="H1421" s="2" t="n">
        <x:v>1</x:v>
      </x:c>
      <x:c r="I1421" s="2" t="n">
        <x:v>26000</x:v>
      </x:c>
      <x:c r="J1421" s="2" t="n">
        <x:v>17000</x:v>
      </x:c>
      <x:c r="K1421" s="2" t="n">
        <x:v>0.05</x:v>
      </x:c>
      <x:c r="L1421" s="2" t="str">
        <x:v>Completed</x:v>
      </x:c>
    </x:row>
    <x:row r="1422" ht="21" customHeight="1">
      <x:c r="A1422" s="2" t="n">
        <x:v>1417</x:v>
      </x:c>
      <x:c r="B1422" s="2" t="str">
        <x:v>TXN-01417</x:v>
      </x:c>
      <x:c r="C1422" s="2" t="str">
        <x:v>2025-12-04</x:v>
      </x:c>
      <x:c r="D1422" s="2" t="str">
        <x:v>Lagos</x:v>
      </x:c>
      <x:c r="E1422" s="2" t="str">
        <x:v>Fashion</x:v>
      </x:c>
      <x:c r="F1422" s="2" t="str">
        <x:v>Sneakers</x:v>
      </x:c>
      <x:c r="G1422" s="2" t="str">
        <x:v>In-store</x:v>
      </x:c>
      <x:c r="H1422" s="2" t="n">
        <x:v>1</x:v>
      </x:c>
      <x:c r="I1422" s="2" t="n">
        <x:v>28000</x:v>
      </x:c>
      <x:c r="J1422" s="2" t="n">
        <x:v>17500</x:v>
      </x:c>
      <x:c r="K1422" s="2" t="n">
        <x:v>0</x:v>
      </x:c>
      <x:c r="L1422" s="2" t="str">
        <x:v>Returned</x:v>
      </x:c>
    </x:row>
    <x:row r="1423" ht="21" customHeight="1">
      <x:c r="A1423" s="2" t="n">
        <x:v>1418</x:v>
      </x:c>
      <x:c r="B1423" s="2" t="str">
        <x:v>TXN-01418</x:v>
      </x:c>
      <x:c r="C1423" s="2" t="str">
        <x:v>2025-12-23</x:v>
      </x:c>
      <x:c r="D1423" s="2" t="str">
        <x:v>Port Harcourt</x:v>
      </x:c>
      <x:c r="E1423" s="2" t="str">
        <x:v>Fashion</x:v>
      </x:c>
      <x:c r="F1423" s="2" t="str">
        <x:v>T-shirt</x:v>
      </x:c>
      <x:c r="G1423" s="2" t="str">
        <x:v>Online</x:v>
      </x:c>
      <x:c r="H1423" s="2" t="n">
        <x:v>2</x:v>
      </x:c>
      <x:c r="I1423" s="2" t="n">
        <x:v>9000</x:v>
      </x:c>
      <x:c r="J1423" s="2" t="n">
        <x:v>5000</x:v>
      </x:c>
      <x:c r="K1423" s="2" t="str"/>
      <x:c r="L1423" s="2" t="str">
        <x:v>Completed</x:v>
      </x:c>
    </x:row>
    <x:row r="1424" ht="21" customHeight="1">
      <x:c r="A1424" s="2" t="n">
        <x:v>1419</x:v>
      </x:c>
      <x:c r="B1424" s="2" t="str">
        <x:v>TXN-01419</x:v>
      </x:c>
      <x:c r="C1424" s="2" t="str">
        <x:v>2025-12-03</x:v>
      </x:c>
      <x:c r="D1424" s="2" t="str">
        <x:v>Abuja</x:v>
      </x:c>
      <x:c r="E1424" s="2" t="str">
        <x:v>Beauty</x:v>
      </x:c>
      <x:c r="F1424" s="2" t="str">
        <x:v>Moisturizer</x:v>
      </x:c>
      <x:c r="G1424" s="2" t="str">
        <x:v>Online</x:v>
      </x:c>
      <x:c r="H1424" s="2" t="n">
        <x:v>2</x:v>
      </x:c>
      <x:c r="I1424" s="2" t="n">
        <x:v>6500</x:v>
      </x:c>
      <x:c r="J1424" s="2" t="n">
        <x:v>3500</x:v>
      </x:c>
      <x:c r="K1424" s="2" t="n">
        <x:v>0</x:v>
      </x:c>
      <x:c r="L1424" s="2" t="str">
        <x:v>Completed</x:v>
      </x:c>
    </x:row>
    <x:row r="1425" ht="21" customHeight="1">
      <x:c r="A1425" s="2" t="n">
        <x:v>1420</x:v>
      </x:c>
      <x:c r="B1425" s="2" t="str">
        <x:v>TXN-01420</x:v>
      </x:c>
      <x:c r="C1425" s="2" t="str">
        <x:v>2025-12-26</x:v>
      </x:c>
      <x:c r="D1425" s="2" t="str">
        <x:v>Abuja</x:v>
      </x:c>
      <x:c r="E1425" s="2" t="str">
        <x:v>Home</x:v>
      </x:c>
      <x:c r="F1425" s="2" t="str">
        <x:v>Cookware set</x:v>
      </x:c>
      <x:c r="G1425" s="2" t="str">
        <x:v> in-store </x:v>
      </x:c>
      <x:c r="H1425" s="2" t="n">
        <x:v>2</x:v>
      </x:c>
      <x:c r="I1425" s="2" t="n">
        <x:v>35000</x:v>
      </x:c>
      <x:c r="J1425" s="2" t="n">
        <x:v>22500</x:v>
      </x:c>
      <x:c r="K1425" s="2" t="n">
        <x:v>0</x:v>
      </x:c>
      <x:c r="L1425" s="2" t="str">
        <x:v>Completed</x:v>
      </x:c>
    </x:row>
    <x:row r="1426" ht="21" customHeight="1">
      <x:c r="A1426" s="2" t="n">
        <x:v>1421</x:v>
      </x:c>
      <x:c r="B1426" s="2" t="str">
        <x:v>TXN-01421</x:v>
      </x:c>
      <x:c r="C1426" s="2" t="str">
        <x:v>2025-12-27</x:v>
      </x:c>
      <x:c r="D1426" s="2" t="str">
        <x:v>Abuja</x:v>
      </x:c>
      <x:c r="E1426" s="2" t="str">
        <x:v>Fashion</x:v>
      </x:c>
      <x:c r="F1426" s="2" t="str">
        <x:v>T-shirt</x:v>
      </x:c>
      <x:c r="G1426" s="2" t="str">
        <x:v>Online</x:v>
      </x:c>
      <x:c r="H1426" s="2" t="n">
        <x:v>3</x:v>
      </x:c>
      <x:c r="I1426" s="2" t="n">
        <x:v>9000</x:v>
      </x:c>
      <x:c r="J1426" s="2" t="n">
        <x:v>5000</x:v>
      </x:c>
      <x:c r="K1426" s="2" t="n">
        <x:v>0</x:v>
      </x:c>
      <x:c r="L1426" s="2" t="str">
        <x:v>Completed</x:v>
      </x:c>
    </x:row>
    <x:row r="1427" ht="21" customHeight="1">
      <x:c r="A1427" s="2" t="n">
        <x:v>1422</x:v>
      </x:c>
      <x:c r="B1427" s="2" t="str">
        <x:v>TXN-01422</x:v>
      </x:c>
      <x:c r="C1427" s="2" t="str">
        <x:v>2025-12-31</x:v>
      </x:c>
      <x:c r="D1427" s="2" t="str">
        <x:v> abuja </x:v>
      </x:c>
      <x:c r="E1427" s="2" t="str">
        <x:v>Fashion</x:v>
      </x:c>
      <x:c r="F1427" s="2" t="str">
        <x:v>Sneakers</x:v>
      </x:c>
      <x:c r="G1427" s="2" t="str">
        <x:v>Online</x:v>
      </x:c>
      <x:c r="H1427" s="2" t="n">
        <x:v>1</x:v>
      </x:c>
      <x:c r="I1427" s="2" t="n">
        <x:v>28000</x:v>
      </x:c>
      <x:c r="J1427" s="2" t="n">
        <x:v>17500</x:v>
      </x:c>
      <x:c r="K1427" s="2" t="n">
        <x:v>0.05</x:v>
      </x:c>
      <x:c r="L1427" s="2" t="str">
        <x:v>Completed</x:v>
      </x:c>
    </x:row>
    <x:row r="1428" ht="21" customHeight="1">
      <x:c r="A1428" s="2" t="n">
        <x:v>1423</x:v>
      </x:c>
      <x:c r="B1428" s="2" t="str">
        <x:v>TXN-01423</x:v>
      </x:c>
      <x:c r="C1428" s="2" t="str">
        <x:v>2025-12-29</x:v>
      </x:c>
      <x:c r="D1428" s="2" t="str">
        <x:v>Abuja</x:v>
      </x:c>
      <x:c r="E1428" s="2" t="str">
        <x:v>Beauty</x:v>
      </x:c>
      <x:c r="F1428" s="2" t="str">
        <x:v>Perfume</x:v>
      </x:c>
      <x:c r="G1428" s="2" t="str">
        <x:v>Online</x:v>
      </x:c>
      <x:c r="H1428" s="2" t="n">
        <x:v>1</x:v>
      </x:c>
      <x:c r="I1428" s="2" t="n">
        <x:v>17000</x:v>
      </x:c>
      <x:c r="J1428" s="2" t="n">
        <x:v>9000</x:v>
      </x:c>
      <x:c r="K1428" s="2" t="n">
        <x:v>0.05</x:v>
      </x:c>
      <x:c r="L1428" s="2" t="str">
        <x:v> COMPLETED </x:v>
      </x:c>
    </x:row>
    <x:row r="1429" ht="21" customHeight="1">
      <x:c r="A1429" s="2" t="n">
        <x:v>1424</x:v>
      </x:c>
      <x:c r="B1429" s="2" t="str">
        <x:v>TXN-01424</x:v>
      </x:c>
      <x:c r="C1429" s="2" t="str">
        <x:v>2025-12-16</x:v>
      </x:c>
      <x:c r="D1429" s="2" t="str">
        <x:v>Lagos</x:v>
      </x:c>
      <x:c r="E1429" s="2" t="str">
        <x:v>Beauty</x:v>
      </x:c>
      <x:c r="F1429" s="2" t="str">
        <x:v>Moisturizer</x:v>
      </x:c>
      <x:c r="G1429" s="2" t="str">
        <x:v>Online</x:v>
      </x:c>
      <x:c r="H1429" s="2" t="n">
        <x:v>1</x:v>
      </x:c>
      <x:c r="I1429" s="2" t="n">
        <x:v>6500</x:v>
      </x:c>
      <x:c r="J1429" s="2" t="n">
        <x:v>3500</x:v>
      </x:c>
      <x:c r="K1429" s="2" t="n">
        <x:v>0</x:v>
      </x:c>
      <x:c r="L1429" s="2" t="str">
        <x:v>Completed</x:v>
      </x:c>
    </x:row>
    <x:row r="1430" ht="21" customHeight="1">
      <x:c r="A1430" s="2" t="n">
        <x:v>1425</x:v>
      </x:c>
      <x:c r="B1430" s="2" t="str">
        <x:v>TXN-01425</x:v>
      </x:c>
      <x:c r="C1430" s="2" t="str">
        <x:v>2025-12-07</x:v>
      </x:c>
      <x:c r="D1430" s="2" t="str">
        <x:v>Lagos</x:v>
      </x:c>
      <x:c r="E1430" s="2" t="str">
        <x:v>Electronics</x:v>
      </x:c>
      <x:c r="F1430" s="2" t="str">
        <x:v>Bluetooth speaker</x:v>
      </x:c>
      <x:c r="G1430" s="2" t="str">
        <x:v>Online</x:v>
      </x:c>
      <x:c r="H1430" s="2" t="n">
        <x:v>1</x:v>
      </x:c>
      <x:c r="I1430" s="2" t="n">
        <x:v>26000</x:v>
      </x:c>
      <x:c r="J1430" s="2" t="n">
        <x:v>17000</x:v>
      </x:c>
      <x:c r="K1430" s="2" t="n">
        <x:v>0.05</x:v>
      </x:c>
      <x:c r="L1430" s="2" t="str">
        <x:v>Completed</x:v>
      </x:c>
    </x:row>
    <x:row r="1431" ht="21" customHeight="1">
      <x:c r="A1431" s="2" t="n">
        <x:v>1426</x:v>
      </x:c>
      <x:c r="B1431" s="2" t="str">
        <x:v>TXN-01426</x:v>
      </x:c>
      <x:c r="C1431" s="2" t="str">
        <x:v>2025-12-27</x:v>
      </x:c>
      <x:c r="D1431" s="2" t="str">
        <x:v>Port Harcourt</x:v>
      </x:c>
      <x:c r="E1431" s="2" t="str">
        <x:v>Home</x:v>
      </x:c>
      <x:c r="F1431" s="2" t="str">
        <x:v>Bedsheet</x:v>
      </x:c>
      <x:c r="G1431" s="2" t="str">
        <x:v>In-store</x:v>
      </x:c>
      <x:c r="H1431" s="2" t="n">
        <x:v>1</x:v>
      </x:c>
      <x:c r="I1431" s="2" t="n">
        <x:v>14000</x:v>
      </x:c>
      <x:c r="J1431" s="2" t="n">
        <x:v>8500</x:v>
      </x:c>
      <x:c r="K1431" s="2" t="n">
        <x:v>0.05</x:v>
      </x:c>
      <x:c r="L1431" s="2" t="str">
        <x:v>Completed</x:v>
      </x:c>
    </x:row>
    <x:row r="1432" ht="21" customHeight="1">
      <x:c r="A1432" s="2" t="n">
        <x:v>1427</x:v>
      </x:c>
      <x:c r="B1432" s="2" t="str">
        <x:v>TXN-01427</x:v>
      </x:c>
      <x:c r="C1432" s="2" t="str">
        <x:v>2025-12-22</x:v>
      </x:c>
      <x:c r="D1432" s="2" t="str">
        <x:v>Lagos</x:v>
      </x:c>
      <x:c r="E1432" s="2" t="str">
        <x:v>Fashion</x:v>
      </x:c>
      <x:c r="F1432" s="2" t="str">
        <x:v>Handbag</x:v>
      </x:c>
      <x:c r="G1432" s="2" t="str">
        <x:v>In-store</x:v>
      </x:c>
      <x:c r="H1432" s="2" t="n">
        <x:v>1</x:v>
      </x:c>
      <x:c r="I1432" s="2" t="n">
        <x:v>22000</x:v>
      </x:c>
      <x:c r="J1432" s="2" t="n">
        <x:v>13500</x:v>
      </x:c>
      <x:c r="K1432" s="2" t="n">
        <x:v>0</x:v>
      </x:c>
      <x:c r="L1432" s="2" t="str">
        <x:v>Completed</x:v>
      </x:c>
    </x:row>
    <x:row r="1433" ht="21" customHeight="1">
      <x:c r="A1433" s="2" t="n">
        <x:v>1428</x:v>
      </x:c>
      <x:c r="B1433" s="2" t="str">
        <x:v>TXN-01428</x:v>
      </x:c>
      <x:c r="C1433" s="2" t="str">
        <x:v>2025-12-02</x:v>
      </x:c>
      <x:c r="D1433" s="2" t="str">
        <x:v>Abuja</x:v>
      </x:c>
      <x:c r="E1433" s="2" t="str">
        <x:v>Fashion</x:v>
      </x:c>
      <x:c r="F1433" s="2" t="str">
        <x:v>Sneakers</x:v>
      </x:c>
      <x:c r="G1433" s="2" t="str">
        <x:v>Online</x:v>
      </x:c>
      <x:c r="H1433" s="2" t="n">
        <x:v>1</x:v>
      </x:c>
      <x:c r="I1433" s="2" t="n">
        <x:v>28000</x:v>
      </x:c>
      <x:c r="J1433" s="2" t="n">
        <x:v>17500</x:v>
      </x:c>
      <x:c r="K1433" s="2" t="n">
        <x:v>0.1</x:v>
      </x:c>
      <x:c r="L1433" s="2" t="str">
        <x:v>Completed</x:v>
      </x:c>
    </x:row>
    <x:row r="1434" ht="21" customHeight="1">
      <x:c r="A1434" s="2" t="n">
        <x:v>1429</x:v>
      </x:c>
      <x:c r="B1434" s="2" t="str">
        <x:v>TXN-01429</x:v>
      </x:c>
      <x:c r="C1434" s="2" t="str">
        <x:v>2025-12-15</x:v>
      </x:c>
      <x:c r="D1434" s="2" t="str">
        <x:v> lagos </x:v>
      </x:c>
      <x:c r="E1434" s="2" t="str">
        <x:v>Fashion</x:v>
      </x:c>
      <x:c r="F1434" s="2" t="str">
        <x:v>Sneakers</x:v>
      </x:c>
      <x:c r="G1434" s="2" t="str">
        <x:v>Online</x:v>
      </x:c>
      <x:c r="H1434" s="2" t="n">
        <x:v>2</x:v>
      </x:c>
      <x:c r="I1434" s="2" t="n">
        <x:v>28000</x:v>
      </x:c>
      <x:c r="J1434" s="2" t="n">
        <x:v>17500</x:v>
      </x:c>
      <x:c r="K1434" s="2" t="n">
        <x:v>0</x:v>
      </x:c>
      <x:c r="L1434" s="2" t="str">
        <x:v>Completed</x:v>
      </x:c>
    </x:row>
    <x:row r="1435" ht="21" customHeight="1">
      <x:c r="A1435" s="2" t="n">
        <x:v>1430</x:v>
      </x:c>
      <x:c r="B1435" s="2" t="str">
        <x:v>TXN-01430</x:v>
      </x:c>
      <x:c r="C1435" s="2" t="str">
        <x:v>2025-12-02</x:v>
      </x:c>
      <x:c r="D1435" s="2" t="str">
        <x:v>Lagos</x:v>
      </x:c>
      <x:c r="E1435" s="2" t="str">
        <x:v>Electronics</x:v>
      </x:c>
      <x:c r="F1435" s="2" t="str">
        <x:v>Headphones</x:v>
      </x:c>
      <x:c r="G1435" s="2" t="str">
        <x:v>Online</x:v>
      </x:c>
      <x:c r="H1435" s="2" t="n">
        <x:v>3</x:v>
      </x:c>
      <x:c r="I1435" s="2" t="n">
        <x:v>18000</x:v>
      </x:c>
      <x:c r="J1435" s="2" t="n">
        <x:v>10500</x:v>
      </x:c>
      <x:c r="K1435" s="2" t="n">
        <x:v>0</x:v>
      </x:c>
      <x:c r="L1435" s="2" t="str">
        <x:v>Completed</x:v>
      </x:c>
    </x:row>
    <x:row r="1436" ht="21" customHeight="1">
      <x:c r="A1436" s="2" t="n">
        <x:v>1431</x:v>
      </x:c>
      <x:c r="B1436" s="2" t="str">
        <x:v>TXN-01431</x:v>
      </x:c>
      <x:c r="C1436" s="2" t="str">
        <x:v>2025-12-08</x:v>
      </x:c>
      <x:c r="D1436" s="2" t="str">
        <x:v>Lagos</x:v>
      </x:c>
      <x:c r="E1436" s="2" t="str">
        <x:v>Electronics</x:v>
      </x:c>
      <x:c r="F1436" s="2" t="str">
        <x:v>Power bank</x:v>
      </x:c>
      <x:c r="G1436" s="2" t="str">
        <x:v> online </x:v>
      </x:c>
      <x:c r="H1436" s="2" t="n">
        <x:v>1</x:v>
      </x:c>
      <x:c r="I1436" s="2" t="n">
        <x:v>15000</x:v>
      </x:c>
      <x:c r="J1436" s="2" t="n">
        <x:v>9500</x:v>
      </x:c>
      <x:c r="K1436" s="2" t="n">
        <x:v>0.1</x:v>
      </x:c>
      <x:c r="L1436" s="2" t="str">
        <x:v>Completed</x:v>
      </x:c>
    </x:row>
    <x:row r="1437" ht="21" customHeight="1">
      <x:c r="A1437" s="2" t="n">
        <x:v>1432</x:v>
      </x:c>
      <x:c r="B1437" s="2" t="str">
        <x:v>TXN-01432</x:v>
      </x:c>
      <x:c r="C1437" s="2" t="str">
        <x:v>2025-12-02</x:v>
      </x:c>
      <x:c r="D1437" s="2" t="str">
        <x:v>Port Harcourt</x:v>
      </x:c>
      <x:c r="E1437" s="2" t="str">
        <x:v>Fashion</x:v>
      </x:c>
      <x:c r="F1437" s="2" t="str">
        <x:v>Sneakers</x:v>
      </x:c>
      <x:c r="G1437" s="2" t="str">
        <x:v>Online</x:v>
      </x:c>
      <x:c r="H1437" s="2" t="n">
        <x:v>1</x:v>
      </x:c>
      <x:c r="I1437" s="2" t="n">
        <x:v>28000</x:v>
      </x:c>
      <x:c r="J1437" s="2" t="n">
        <x:v>17500</x:v>
      </x:c>
      <x:c r="K1437" s="2" t="n">
        <x:v>0</x:v>
      </x:c>
      <x:c r="L1437" s="2" t="str">
        <x:v> COMPLETED </x:v>
      </x:c>
    </x:row>
    <x:row r="1438" ht="21" customHeight="1">
      <x:c r="A1438" s="2" t="n">
        <x:v>1433</x:v>
      </x:c>
      <x:c r="B1438" s="2" t="str">
        <x:v>TXN-01433</x:v>
      </x:c>
      <x:c r="C1438" s="2" t="str">
        <x:v>2025-12-22</x:v>
      </x:c>
      <x:c r="D1438" s="2" t="str">
        <x:v>Lagos</x:v>
      </x:c>
      <x:c r="E1438" s="2" t="str">
        <x:v>Fashion</x:v>
      </x:c>
      <x:c r="F1438" s="2" t="str">
        <x:v>T-shirt</x:v>
      </x:c>
      <x:c r="G1438" s="2" t="str">
        <x:v>Online</x:v>
      </x:c>
      <x:c r="H1438" s="2" t="n">
        <x:v>4</x:v>
      </x:c>
      <x:c r="I1438" s="2" t="n">
        <x:v>9000</x:v>
      </x:c>
      <x:c r="J1438" s="2" t="n">
        <x:v>5000</x:v>
      </x:c>
      <x:c r="K1438" s="2" t="n">
        <x:v>0.15</x:v>
      </x:c>
      <x:c r="L1438" s="2" t="str">
        <x:v>Completed</x:v>
      </x:c>
    </x:row>
    <x:row r="1439" ht="21" customHeight="1">
      <x:c r="A1439" s="2" t="n">
        <x:v>1434</x:v>
      </x:c>
      <x:c r="B1439" s="2" t="str">
        <x:v>TXN-01434</x:v>
      </x:c>
      <x:c r="C1439" s="2" t="str">
        <x:v>2025-12-16</x:v>
      </x:c>
      <x:c r="D1439" s="2" t="str">
        <x:v>Kano</x:v>
      </x:c>
      <x:c r="E1439" s="2" t="str">
        <x:v>Fashion</x:v>
      </x:c>
      <x:c r="F1439" s="2" t="str">
        <x:v>T-shirt</x:v>
      </x:c>
      <x:c r="G1439" s="2" t="str">
        <x:v>Online</x:v>
      </x:c>
      <x:c r="H1439" s="2" t="n">
        <x:v>2</x:v>
      </x:c>
      <x:c r="I1439" s="2" t="n">
        <x:v>9000</x:v>
      </x:c>
      <x:c r="J1439" s="2" t="n">
        <x:v>5000</x:v>
      </x:c>
      <x:c r="K1439" s="2" t="n">
        <x:v>0</x:v>
      </x:c>
      <x:c r="L1439" s="2" t="str">
        <x:v>Completed</x:v>
      </x:c>
    </x:row>
    <x:row r="1440" ht="21" customHeight="1">
      <x:c r="A1440" s="2" t="n">
        <x:v>1435</x:v>
      </x:c>
      <x:c r="B1440" s="2" t="str">
        <x:v>TXN-01435</x:v>
      </x:c>
      <x:c r="C1440" s="2" t="str">
        <x:v>2025-12-15</x:v>
      </x:c>
      <x:c r="D1440" s="2" t="str">
        <x:v>Lagos</x:v>
      </x:c>
      <x:c r="E1440" s="2" t="str">
        <x:v>Home</x:v>
      </x:c>
      <x:c r="F1440" s="2" t="str">
        <x:v>Bedsheet</x:v>
      </x:c>
      <x:c r="G1440" s="2" t="str">
        <x:v>Online</x:v>
      </x:c>
      <x:c r="H1440" s="2" t="n">
        <x:v>2</x:v>
      </x:c>
      <x:c r="I1440" s="2" t="n">
        <x:v>14000</x:v>
      </x:c>
      <x:c r="J1440" s="2" t="n">
        <x:v>8500</x:v>
      </x:c>
      <x:c r="K1440" s="2" t="n">
        <x:v>0.1</x:v>
      </x:c>
      <x:c r="L1440" s="2" t="str">
        <x:v>Completed</x:v>
      </x:c>
    </x:row>
    <x:row r="1441" ht="21" customHeight="1">
      <x:c r="A1441" s="2" t="n">
        <x:v>1436</x:v>
      </x:c>
      <x:c r="B1441" s="2" t="str">
        <x:v>TXN-01436</x:v>
      </x:c>
      <x:c r="C1441" s="2" t="str">
        <x:v>2025-12-02</x:v>
      </x:c>
      <x:c r="D1441" s="2" t="str">
        <x:v> lagos </x:v>
      </x:c>
      <x:c r="E1441" s="2" t="str">
        <x:v>Beauty</x:v>
      </x:c>
      <x:c r="F1441" s="2" t="str">
        <x:v>Perfume</x:v>
      </x:c>
      <x:c r="G1441" s="2" t="str">
        <x:v>In-store</x:v>
      </x:c>
      <x:c r="H1441" s="2" t="n">
        <x:v>4</x:v>
      </x:c>
      <x:c r="I1441" s="2" t="n">
        <x:v>17000</x:v>
      </x:c>
      <x:c r="J1441" s="2" t="n">
        <x:v>9000</x:v>
      </x:c>
      <x:c r="K1441" s="2" t="n">
        <x:v>0.05</x:v>
      </x:c>
      <x:c r="L1441" s="2" t="str">
        <x:v>Completed</x:v>
      </x:c>
    </x:row>
    <x:row r="1442" ht="21" customHeight="1">
      <x:c r="A1442" s="2" t="n">
        <x:v>1437</x:v>
      </x:c>
      <x:c r="B1442" s="2" t="str">
        <x:v>TXN-01437</x:v>
      </x:c>
      <x:c r="C1442" s="2" t="str">
        <x:v>2025-12-17</x:v>
      </x:c>
      <x:c r="D1442" s="2" t="str">
        <x:v>Lagos</x:v>
      </x:c>
      <x:c r="E1442" s="2" t="str">
        <x:v>Electronics</x:v>
      </x:c>
      <x:c r="F1442" s="2" t="str">
        <x:v>Power bank</x:v>
      </x:c>
      <x:c r="G1442" s="2" t="str">
        <x:v>In-store</x:v>
      </x:c>
      <x:c r="H1442" s="2" t="n">
        <x:v>2</x:v>
      </x:c>
      <x:c r="I1442" s="2" t="n">
        <x:v>15000</x:v>
      </x:c>
      <x:c r="J1442" s="2" t="n">
        <x:v>9500</x:v>
      </x:c>
      <x:c r="K1442" s="2" t="n">
        <x:v>0.05</x:v>
      </x:c>
      <x:c r="L1442" s="2" t="str">
        <x:v>Completed</x:v>
      </x:c>
    </x:row>
    <x:row r="1443" ht="21" customHeight="1">
      <x:c r="A1443" s="2" t="n">
        <x:v>1438</x:v>
      </x:c>
      <x:c r="B1443" s="2" t="str">
        <x:v>TXN-01438</x:v>
      </x:c>
      <x:c r="C1443" s="2" t="str">
        <x:v>2025-12-13</x:v>
      </x:c>
      <x:c r="D1443" s="2" t="str">
        <x:v>Port Harcourt</x:v>
      </x:c>
      <x:c r="E1443" s="2" t="str">
        <x:v>Home</x:v>
      </x:c>
      <x:c r="F1443" s="2" t="str">
        <x:v>Cookware set</x:v>
      </x:c>
      <x:c r="G1443" s="2" t="str">
        <x:v>Online</x:v>
      </x:c>
      <x:c r="H1443" s="2" t="n">
        <x:v>1</x:v>
      </x:c>
      <x:c r="I1443" s="2" t="n">
        <x:v>35000</x:v>
      </x:c>
      <x:c r="J1443" s="2" t="n">
        <x:v>22500</x:v>
      </x:c>
      <x:c r="K1443" s="2" t="n">
        <x:v>0</x:v>
      </x:c>
      <x:c r="L1443" s="2" t="str">
        <x:v>Completed</x:v>
      </x:c>
    </x:row>
    <x:row r="1444" ht="21" customHeight="1">
      <x:c r="A1444" s="2" t="n">
        <x:v>1439</x:v>
      </x:c>
      <x:c r="B1444" s="2" t="str">
        <x:v>TXN-01439</x:v>
      </x:c>
      <x:c r="C1444" s="2" t="str">
        <x:v>2025-12-17</x:v>
      </x:c>
      <x:c r="D1444" s="2" t="str">
        <x:v>Kano</x:v>
      </x:c>
      <x:c r="E1444" s="2" t="str">
        <x:v>Home</x:v>
      </x:c>
      <x:c r="F1444" s="2" t="str">
        <x:v>Cookware set</x:v>
      </x:c>
      <x:c r="G1444" s="2" t="str">
        <x:v>In-store</x:v>
      </x:c>
      <x:c r="H1444" s="2" t="n">
        <x:v>1</x:v>
      </x:c>
      <x:c r="I1444" s="2" t="n">
        <x:v>35000</x:v>
      </x:c>
      <x:c r="J1444" s="2" t="n">
        <x:v>22500</x:v>
      </x:c>
      <x:c r="K1444" s="2" t="n">
        <x:v>0</x:v>
      </x:c>
      <x:c r="L1444" s="2" t="str">
        <x:v>Completed</x:v>
      </x:c>
    </x:row>
    <x:row r="1445" ht="21" customHeight="1">
      <x:c r="A1445" s="2" t="n">
        <x:v>1440</x:v>
      </x:c>
      <x:c r="B1445" s="2" t="str">
        <x:v>TXN-01440</x:v>
      </x:c>
      <x:c r="C1445" s="2" t="str">
        <x:v>2025-12-18</x:v>
      </x:c>
      <x:c r="D1445" s="2" t="str">
        <x:v>Lagos</x:v>
      </x:c>
      <x:c r="E1445" s="2" t="str">
        <x:v>Beauty</x:v>
      </x:c>
      <x:c r="F1445" s="2" t="str">
        <x:v>Body wash</x:v>
      </x:c>
      <x:c r="G1445" s="2" t="str">
        <x:v>Online</x:v>
      </x:c>
      <x:c r="H1445" s="2" t="n">
        <x:v>1</x:v>
      </x:c>
      <x:c r="I1445" s="2" t="n">
        <x:v>4500</x:v>
      </x:c>
      <x:c r="J1445" s="2" t="n">
        <x:v>2300</x:v>
      </x:c>
      <x:c r="K1445" s="2" t="n">
        <x:v>0.05</x:v>
      </x:c>
      <x:c r="L1445" s="2" t="str">
        <x:v>Completed</x:v>
      </x:c>
    </x:row>
    <x:row r="1446" ht="21" customHeight="1">
      <x:c r="A1446" s="2" t="n">
        <x:v>1441</x:v>
      </x:c>
      <x:c r="B1446" s="2" t="str">
        <x:v>TXN-01441</x:v>
      </x:c>
      <x:c r="C1446" s="2" t="str">
        <x:v>2025-12-23</x:v>
      </x:c>
      <x:c r="D1446" s="2" t="str">
        <x:v>Kano</x:v>
      </x:c>
      <x:c r="E1446" s="2" t="str">
        <x:v>Fashion</x:v>
      </x:c>
      <x:c r="F1446" s="2" t="str">
        <x:v>Sneakers</x:v>
      </x:c>
      <x:c r="G1446" s="2" t="str">
        <x:v>Online</x:v>
      </x:c>
      <x:c r="H1446" s="2" t="n">
        <x:v>1</x:v>
      </x:c>
      <x:c r="I1446" s="2" t="n">
        <x:v>28000</x:v>
      </x:c>
      <x:c r="J1446" s="2" t="n">
        <x:v>17500</x:v>
      </x:c>
      <x:c r="K1446" s="2" t="n">
        <x:v>0.1</x:v>
      </x:c>
      <x:c r="L1446" s="2" t="str">
        <x:v> RETURNED </x:v>
      </x:c>
    </x:row>
    <x:row r="1447" ht="21" customHeight="1">
      <x:c r="A1447" s="2" t="n">
        <x:v>1442</x:v>
      </x:c>
      <x:c r="B1447" s="2" t="str">
        <x:v>TXN-01442</x:v>
      </x:c>
      <x:c r="C1447" s="2" t="str">
        <x:v>2025-12-22</x:v>
      </x:c>
      <x:c r="D1447" s="2" t="str">
        <x:v>Kano</x:v>
      </x:c>
      <x:c r="E1447" s="2" t="str">
        <x:v>Fashion</x:v>
      </x:c>
      <x:c r="F1447" s="2" t="str">
        <x:v>T-shirt</x:v>
      </x:c>
      <x:c r="G1447" s="2" t="str">
        <x:v> online </x:v>
      </x:c>
      <x:c r="H1447" s="2" t="n">
        <x:v>1</x:v>
      </x:c>
      <x:c r="I1447" s="2" t="n">
        <x:v>9000</x:v>
      </x:c>
      <x:c r="J1447" s="2" t="n">
        <x:v>5000</x:v>
      </x:c>
      <x:c r="K1447" s="2" t="n">
        <x:v>0</x:v>
      </x:c>
      <x:c r="L1447" s="2" t="str">
        <x:v>Returned</x:v>
      </x:c>
    </x:row>
    <x:row r="1448" ht="21" customHeight="1">
      <x:c r="A1448" s="2" t="n">
        <x:v>1443</x:v>
      </x:c>
      <x:c r="B1448" s="2" t="str">
        <x:v>TXN-01443</x:v>
      </x:c>
      <x:c r="C1448" s="2" t="str">
        <x:v>2025-12-08</x:v>
      </x:c>
      <x:c r="D1448" s="2" t="str">
        <x:v> abuja </x:v>
      </x:c>
      <x:c r="E1448" s="2" t="str">
        <x:v>Electronics</x:v>
      </x:c>
      <x:c r="F1448" s="2" t="str">
        <x:v>Power bank</x:v>
      </x:c>
      <x:c r="G1448" s="2" t="str">
        <x:v>In-store</x:v>
      </x:c>
      <x:c r="H1448" s="2" t="n">
        <x:v>1</x:v>
      </x:c>
      <x:c r="I1448" s="2" t="n">
        <x:v>15000</x:v>
      </x:c>
      <x:c r="J1448" s="2" t="n">
        <x:v>9500</x:v>
      </x:c>
      <x:c r="K1448" s="2" t="n">
        <x:v>0</x:v>
      </x:c>
      <x:c r="L1448" s="2" t="str">
        <x:v>Completed</x:v>
      </x:c>
    </x:row>
    <x:row r="1449" ht="21" customHeight="1">
      <x:c r="A1449" s="2" t="n">
        <x:v>1444</x:v>
      </x:c>
      <x:c r="B1449" s="2" t="str">
        <x:v>TXN-01444</x:v>
      </x:c>
      <x:c r="C1449" s="2" t="str">
        <x:v>2025-12-29</x:v>
      </x:c>
      <x:c r="D1449" s="2" t="str">
        <x:v>Port Harcourt</x:v>
      </x:c>
      <x:c r="E1449" s="2" t="str">
        <x:v>Fashion</x:v>
      </x:c>
      <x:c r="F1449" s="2" t="str">
        <x:v>Sneakers</x:v>
      </x:c>
      <x:c r="G1449" s="2" t="str">
        <x:v>Online</x:v>
      </x:c>
      <x:c r="H1449" s="2" t="n">
        <x:v>1</x:v>
      </x:c>
      <x:c r="I1449" s="2" t="n">
        <x:v>28000</x:v>
      </x:c>
      <x:c r="J1449" s="2" t="n">
        <x:v>17500</x:v>
      </x:c>
      <x:c r="K1449" s="2" t="n">
        <x:v>0.05</x:v>
      </x:c>
      <x:c r="L1449" s="2" t="str">
        <x:v>Completed</x:v>
      </x:c>
    </x:row>
    <x:row r="1450" ht="21" customHeight="1">
      <x:c r="A1450" s="2" t="n">
        <x:v>1445</x:v>
      </x:c>
      <x:c r="B1450" s="2" t="str">
        <x:v>TXN-01445</x:v>
      </x:c>
      <x:c r="C1450" s="2" t="str">
        <x:v>2025-12-27</x:v>
      </x:c>
      <x:c r="D1450" s="2" t="str">
        <x:v>Lagos</x:v>
      </x:c>
      <x:c r="E1450" s="2" t="str">
        <x:v>Beauty</x:v>
      </x:c>
      <x:c r="F1450" s="2" t="str">
        <x:v>Moisturizer</x:v>
      </x:c>
      <x:c r="G1450" s="2" t="str">
        <x:v>In-store</x:v>
      </x:c>
      <x:c r="H1450" s="2" t="n">
        <x:v>1</x:v>
      </x:c>
      <x:c r="I1450" s="2" t="n">
        <x:v>6500</x:v>
      </x:c>
      <x:c r="J1450" s="2" t="n">
        <x:v>3500</x:v>
      </x:c>
      <x:c r="K1450" s="2" t="n">
        <x:v>0.1</x:v>
      </x:c>
      <x:c r="L1450" s="2" t="str">
        <x:v>Completed</x:v>
      </x:c>
    </x:row>
    <x:row r="1451" ht="21" customHeight="1">
      <x:c r="A1451" s="2" t="n">
        <x:v>1446</x:v>
      </x:c>
      <x:c r="B1451" s="2" t="str">
        <x:v>TXN-01446</x:v>
      </x:c>
      <x:c r="C1451" s="2" t="str">
        <x:v>2025-12-06</x:v>
      </x:c>
      <x:c r="D1451" s="2" t="str">
        <x:v>Lagos</x:v>
      </x:c>
      <x:c r="E1451" s="2" t="str">
        <x:v>Beauty</x:v>
      </x:c>
      <x:c r="F1451" s="2" t="str">
        <x:v>Moisturizer</x:v>
      </x:c>
      <x:c r="G1451" s="2" t="str">
        <x:v>Online</x:v>
      </x:c>
      <x:c r="H1451" s="2" t="n">
        <x:v>3</x:v>
      </x:c>
      <x:c r="I1451" s="2" t="n">
        <x:v>6500</x:v>
      </x:c>
      <x:c r="J1451" s="2" t="n">
        <x:v>3500</x:v>
      </x:c>
      <x:c r="K1451" s="2" t="n">
        <x:v>0.05</x:v>
      </x:c>
      <x:c r="L1451" s="2" t="str">
        <x:v>Completed</x:v>
      </x:c>
    </x:row>
    <x:row r="1452" ht="21" customHeight="1">
      <x:c r="A1452" s="2" t="n">
        <x:v>1447</x:v>
      </x:c>
      <x:c r="B1452" s="2" t="str">
        <x:v>TXN-01447</x:v>
      </x:c>
      <x:c r="C1452" s="2" t="str">
        <x:v>2025-12-19</x:v>
      </x:c>
      <x:c r="D1452" s="2" t="str">
        <x:v>Kano</x:v>
      </x:c>
      <x:c r="E1452" s="2" t="str">
        <x:v>Fashion</x:v>
      </x:c>
      <x:c r="F1452" s="2" t="str">
        <x:v>Sneakers</x:v>
      </x:c>
      <x:c r="G1452" s="2" t="str">
        <x:v>In-store</x:v>
      </x:c>
      <x:c r="H1452" s="2" t="n">
        <x:v>2</x:v>
      </x:c>
      <x:c r="I1452" s="2" t="n">
        <x:v>28000</x:v>
      </x:c>
      <x:c r="J1452" s="2" t="n">
        <x:v>17500</x:v>
      </x:c>
      <x:c r="K1452" s="2" t="n">
        <x:v>0.05</x:v>
      </x:c>
      <x:c r="L1452" s="2" t="str">
        <x:v>Completed</x:v>
      </x:c>
    </x:row>
    <x:row r="1453" ht="21" customHeight="1">
      <x:c r="A1453" s="2" t="n">
        <x:v>1448</x:v>
      </x:c>
      <x:c r="B1453" s="2" t="str">
        <x:v>TXN-01448</x:v>
      </x:c>
      <x:c r="C1453" s="2" t="str">
        <x:v>2025-12-21</x:v>
      </x:c>
      <x:c r="D1453" s="2" t="str">
        <x:v>Abuja</x:v>
      </x:c>
      <x:c r="E1453" s="2" t="str">
        <x:v>Electronics</x:v>
      </x:c>
      <x:c r="F1453" s="2" t="str">
        <x:v>Power bank</x:v>
      </x:c>
      <x:c r="G1453" s="2" t="str">
        <x:v>In-store</x:v>
      </x:c>
      <x:c r="H1453" s="2" t="n">
        <x:v>1</x:v>
      </x:c>
      <x:c r="I1453" s="2" t="n">
        <x:v>15000</x:v>
      </x:c>
      <x:c r="J1453" s="2" t="n">
        <x:v>9500</x:v>
      </x:c>
      <x:c r="K1453" s="2" t="n">
        <x:v>0.1</x:v>
      </x:c>
      <x:c r="L1453" s="2" t="str">
        <x:v>Completed</x:v>
      </x:c>
    </x:row>
    <x:row r="1454" ht="21" customHeight="1">
      <x:c r="A1454" s="2" t="n">
        <x:v>1449</x:v>
      </x:c>
      <x:c r="B1454" s="2" t="str">
        <x:v>TXN-01449</x:v>
      </x:c>
      <x:c r="C1454" s="2" t="str">
        <x:v>2025-12-29</x:v>
      </x:c>
      <x:c r="D1454" s="2" t="str">
        <x:v>Kano</x:v>
      </x:c>
      <x:c r="E1454" s="2" t="str">
        <x:v>Electronics</x:v>
      </x:c>
      <x:c r="F1454" s="2" t="str">
        <x:v>Power bank</x:v>
      </x:c>
      <x:c r="G1454" s="2" t="str">
        <x:v>Online</x:v>
      </x:c>
      <x:c r="H1454" s="2" t="n">
        <x:v>1</x:v>
      </x:c>
      <x:c r="I1454" s="2" t="n">
        <x:v>15000</x:v>
      </x:c>
      <x:c r="J1454" s="2" t="n">
        <x:v>9500</x:v>
      </x:c>
      <x:c r="K1454" s="2" t="n">
        <x:v>0</x:v>
      </x:c>
      <x:c r="L1454" s="2" t="str">
        <x:v>Completed</x:v>
      </x:c>
    </x:row>
    <x:row r="1455" ht="21" customHeight="1">
      <x:c r="A1455" s="2" t="n">
        <x:v>1450</x:v>
      </x:c>
      <x:c r="B1455" s="2" t="str">
        <x:v>TXN-01450</x:v>
      </x:c>
      <x:c r="C1455" s="2" t="str">
        <x:v>2025-12-24</x:v>
      </x:c>
      <x:c r="D1455" s="2" t="str">
        <x:v> lagos </x:v>
      </x:c>
      <x:c r="E1455" s="2" t="str">
        <x:v>Home</x:v>
      </x:c>
      <x:c r="F1455" s="2" t="str">
        <x:v>Desk lamp</x:v>
      </x:c>
      <x:c r="G1455" s="2" t="str">
        <x:v>In-store</x:v>
      </x:c>
      <x:c r="H1455" s="2" t="n">
        <x:v>1</x:v>
      </x:c>
      <x:c r="I1455" s="2" t="n">
        <x:v>12000</x:v>
      </x:c>
      <x:c r="J1455" s="2" t="n">
        <x:v>7200</x:v>
      </x:c>
      <x:c r="K1455" s="2" t="n">
        <x:v>0.05</x:v>
      </x:c>
      <x:c r="L1455" s="2" t="str">
        <x:v> COMPLETED </x:v>
      </x:c>
    </x:row>
    <x:row r="1456" ht="21" customHeight="1">
      <x:c r="A1456" s="2" t="n">
        <x:v>1451</x:v>
      </x:c>
      <x:c r="B1456" s="2" t="str">
        <x:v>TXN-01451</x:v>
      </x:c>
      <x:c r="C1456" s="2" t="str">
        <x:v>2025-12-03</x:v>
      </x:c>
      <x:c r="D1456" s="2" t="str">
        <x:v>Lagos</x:v>
      </x:c>
      <x:c r="E1456" s="2" t="str">
        <x:v>Fashion</x:v>
      </x:c>
      <x:c r="F1456" s="2" t="str">
        <x:v>Handbag</x:v>
      </x:c>
      <x:c r="G1456" s="2" t="str">
        <x:v>Online</x:v>
      </x:c>
      <x:c r="H1456" s="2" t="n">
        <x:v>1</x:v>
      </x:c>
      <x:c r="I1456" s="2" t="n">
        <x:v>22000</x:v>
      </x:c>
      <x:c r="J1456" s="2" t="n">
        <x:v>13500</x:v>
      </x:c>
      <x:c r="K1456" s="2" t="n">
        <x:v>0</x:v>
      </x:c>
      <x:c r="L1456" s="2" t="str">
        <x:v>Returned</x:v>
      </x:c>
    </x:row>
    <x:row r="1457" ht="21" customHeight="1">
      <x:c r="A1457" s="2" t="n">
        <x:v>1452</x:v>
      </x:c>
      <x:c r="B1457" s="2" t="str">
        <x:v>TXN-01452</x:v>
      </x:c>
      <x:c r="C1457" s="2" t="str">
        <x:v>2025-12-23</x:v>
      </x:c>
      <x:c r="D1457" s="2" t="str">
        <x:v>Lagos</x:v>
      </x:c>
      <x:c r="E1457" s="2" t="str">
        <x:v>Fashion</x:v>
      </x:c>
      <x:c r="F1457" s="2" t="str">
        <x:v>Sneakers</x:v>
      </x:c>
      <x:c r="G1457" s="2" t="str">
        <x:v>Online</x:v>
      </x:c>
      <x:c r="H1457" s="2" t="n">
        <x:v>2</x:v>
      </x:c>
      <x:c r="I1457" s="2" t="n">
        <x:v>28000</x:v>
      </x:c>
      <x:c r="J1457" s="2" t="n">
        <x:v>17500</x:v>
      </x:c>
      <x:c r="K1457" s="2" t="n">
        <x:v>0</x:v>
      </x:c>
      <x:c r="L1457" s="2" t="str">
        <x:v>Completed</x:v>
      </x:c>
    </x:row>
    <x:row r="1458" ht="21" customHeight="1">
      <x:c r="A1458" s="2" t="n">
        <x:v>1453</x:v>
      </x:c>
      <x:c r="B1458" s="2" t="str">
        <x:v>TXN-01453</x:v>
      </x:c>
      <x:c r="C1458" s="2" t="str">
        <x:v>2025-12-11</x:v>
      </x:c>
      <x:c r="D1458" s="2" t="str">
        <x:v>Lagos</x:v>
      </x:c>
      <x:c r="E1458" s="2" t="str">
        <x:v>Fashion</x:v>
      </x:c>
      <x:c r="F1458" s="2" t="str">
        <x:v>Sneakers</x:v>
      </x:c>
      <x:c r="G1458" s="2" t="str">
        <x:v> in-store </x:v>
      </x:c>
      <x:c r="H1458" s="2" t="n">
        <x:v>1</x:v>
      </x:c>
      <x:c r="I1458" s="2" t="n">
        <x:v>28000</x:v>
      </x:c>
      <x:c r="J1458" s="2" t="n">
        <x:v>17500</x:v>
      </x:c>
      <x:c r="K1458" s="2" t="n">
        <x:v>0</x:v>
      </x:c>
      <x:c r="L1458" s="2" t="str">
        <x:v>Completed</x:v>
      </x:c>
    </x:row>
    <x:row r="1459" ht="21" customHeight="1">
      <x:c r="A1459" s="2" t="n">
        <x:v>1454</x:v>
      </x:c>
      <x:c r="B1459" s="2" t="str">
        <x:v>TXN-01454</x:v>
      </x:c>
      <x:c r="C1459" s="2" t="str">
        <x:v>2025-12-07</x:v>
      </x:c>
      <x:c r="D1459" s="2" t="str">
        <x:v>Lagos</x:v>
      </x:c>
      <x:c r="E1459" s="2" t="str">
        <x:v>Fashion</x:v>
      </x:c>
      <x:c r="F1459" s="2" t="str">
        <x:v>Sneakers</x:v>
      </x:c>
      <x:c r="G1459" s="2" t="str">
        <x:v>Online</x:v>
      </x:c>
      <x:c r="H1459" s="2" t="n">
        <x:v>1</x:v>
      </x:c>
      <x:c r="I1459" s="2" t="n">
        <x:v>28000</x:v>
      </x:c>
      <x:c r="J1459" s="2" t="n">
        <x:v>17500</x:v>
      </x:c>
      <x:c r="K1459" s="2" t="n">
        <x:v>0.05</x:v>
      </x:c>
      <x:c r="L1459" s="2" t="str">
        <x:v>Completed</x:v>
      </x:c>
    </x:row>
    <x:row r="1460" ht="21" customHeight="1">
      <x:c r="A1460" s="2" t="n">
        <x:v>1455</x:v>
      </x:c>
      <x:c r="B1460" s="2" t="str">
        <x:v>TXN-01455</x:v>
      </x:c>
      <x:c r="C1460" s="2" t="str">
        <x:v>2025-12-13</x:v>
      </x:c>
      <x:c r="D1460" s="2" t="str">
        <x:v>Port Harcourt</x:v>
      </x:c>
      <x:c r="E1460" s="2" t="str">
        <x:v>Beauty</x:v>
      </x:c>
      <x:c r="F1460" s="2" t="str">
        <x:v>Body wash</x:v>
      </x:c>
      <x:c r="G1460" s="2" t="str">
        <x:v>In-store</x:v>
      </x:c>
      <x:c r="H1460" s="2" t="n">
        <x:v>2</x:v>
      </x:c>
      <x:c r="I1460" s="2" t="n">
        <x:v>4500</x:v>
      </x:c>
      <x:c r="J1460" s="2" t="n">
        <x:v>2300</x:v>
      </x:c>
      <x:c r="K1460" s="2" t="n">
        <x:v>0.1</x:v>
      </x:c>
      <x:c r="L1460" s="2" t="str">
        <x:v>Completed</x:v>
      </x:c>
    </x:row>
    <x:row r="1461" ht="21" customHeight="1">
      <x:c r="A1461" s="2" t="n">
        <x:v>1456</x:v>
      </x:c>
      <x:c r="B1461" s="2" t="str">
        <x:v>TXN-01456</x:v>
      </x:c>
      <x:c r="C1461" s="2" t="str">
        <x:v>2025-12-24</x:v>
      </x:c>
      <x:c r="D1461" s="2" t="str">
        <x:v>Port Harcourt</x:v>
      </x:c>
      <x:c r="E1461" s="2" t="str">
        <x:v>Beauty</x:v>
      </x:c>
      <x:c r="F1461" s="2" t="str">
        <x:v>Moisturizer</x:v>
      </x:c>
      <x:c r="G1461" s="2" t="str">
        <x:v>Online</x:v>
      </x:c>
      <x:c r="H1461" s="2" t="n">
        <x:v>1</x:v>
      </x:c>
      <x:c r="I1461" s="2" t="n">
        <x:v>6500</x:v>
      </x:c>
      <x:c r="J1461" s="2" t="n">
        <x:v>3500</x:v>
      </x:c>
      <x:c r="K1461" s="2" t="n">
        <x:v>0</x:v>
      </x:c>
      <x:c r="L1461" s="2" t="str">
        <x:v>Completed</x:v>
      </x:c>
    </x:row>
    <x:row r="1462" ht="21" customHeight="1">
      <x:c r="A1462" s="2" t="n">
        <x:v>1457</x:v>
      </x:c>
      <x:c r="B1462" s="2" t="str">
        <x:v>TXN-01457</x:v>
      </x:c>
      <x:c r="C1462" s="2" t="str">
        <x:v>2025-12-10</x:v>
      </x:c>
      <x:c r="D1462" s="2" t="str">
        <x:v> lagos </x:v>
      </x:c>
      <x:c r="E1462" s="2" t="str">
        <x:v>Electronics</x:v>
      </x:c>
      <x:c r="F1462" s="2" t="str">
        <x:v>Power bank</x:v>
      </x:c>
      <x:c r="G1462" s="2" t="str">
        <x:v>Online</x:v>
      </x:c>
      <x:c r="H1462" s="2" t="n">
        <x:v>1</x:v>
      </x:c>
      <x:c r="I1462" s="2" t="n">
        <x:v>15000</x:v>
      </x:c>
      <x:c r="J1462" s="2" t="n">
        <x:v>9500</x:v>
      </x:c>
      <x:c r="K1462" s="2" t="n">
        <x:v>0.05</x:v>
      </x:c>
      <x:c r="L1462" s="2" t="str">
        <x:v>Completed</x:v>
      </x:c>
    </x:row>
    <x:row r="1463" ht="21" customHeight="1">
      <x:c r="A1463" s="2" t="n">
        <x:v>1458</x:v>
      </x:c>
      <x:c r="B1463" s="2" t="str">
        <x:v>TXN-01458</x:v>
      </x:c>
      <x:c r="C1463" s="2" t="str">
        <x:v>2025-12-03</x:v>
      </x:c>
      <x:c r="D1463" s="2" t="str">
        <x:v>Abuja</x:v>
      </x:c>
      <x:c r="E1463" s="2" t="str">
        <x:v>Electronics</x:v>
      </x:c>
      <x:c r="F1463" s="2" t="str">
        <x:v>Power bank</x:v>
      </x:c>
      <x:c r="G1463" s="2" t="str">
        <x:v>Online</x:v>
      </x:c>
      <x:c r="H1463" s="2" t="n">
        <x:v>1</x:v>
      </x:c>
      <x:c r="I1463" s="2" t="n">
        <x:v>15000</x:v>
      </x:c>
      <x:c r="J1463" s="2" t="n">
        <x:v>9500</x:v>
      </x:c>
      <x:c r="K1463" s="2" t="n">
        <x:v>0.15</x:v>
      </x:c>
      <x:c r="L1463" s="2" t="str">
        <x:v>Completed</x:v>
      </x:c>
    </x:row>
    <x:row r="1464" ht="21" customHeight="1">
      <x:c r="A1464" s="2" t="n">
        <x:v>1459</x:v>
      </x:c>
      <x:c r="B1464" s="2" t="str">
        <x:v>TXN-01459</x:v>
      </x:c>
      <x:c r="C1464" s="2" t="str">
        <x:v>2025-12-07</x:v>
      </x:c>
      <x:c r="D1464" s="2" t="str">
        <x:v>Lagos</x:v>
      </x:c>
      <x:c r="E1464" s="2" t="str">
        <x:v>Electronics</x:v>
      </x:c>
      <x:c r="F1464" s="2" t="str">
        <x:v>Headphones</x:v>
      </x:c>
      <x:c r="G1464" s="2" t="str">
        <x:v>Online</x:v>
      </x:c>
      <x:c r="H1464" s="2" t="n">
        <x:v>2</x:v>
      </x:c>
      <x:c r="I1464" s="2" t="n">
        <x:v>18000</x:v>
      </x:c>
      <x:c r="J1464" s="2" t="n">
        <x:v>10500</x:v>
      </x:c>
      <x:c r="K1464" s="2" t="n">
        <x:v>0</x:v>
      </x:c>
      <x:c r="L1464" s="2" t="str">
        <x:v> COMPLETED </x:v>
      </x:c>
    </x:row>
    <x:row r="1465" ht="21" customHeight="1">
      <x:c r="A1465" s="2" t="n">
        <x:v>1460</x:v>
      </x:c>
      <x:c r="B1465" s="2" t="str">
        <x:v>TXN-01460</x:v>
      </x:c>
      <x:c r="C1465" s="2" t="str">
        <x:v>2025-12-10</x:v>
      </x:c>
      <x:c r="D1465" s="2" t="str">
        <x:v>Abuja</x:v>
      </x:c>
      <x:c r="E1465" s="2" t="str">
        <x:v>Home</x:v>
      </x:c>
      <x:c r="F1465" s="2" t="str">
        <x:v>Cookware set</x:v>
      </x:c>
      <x:c r="G1465" s="2" t="str">
        <x:v>Online</x:v>
      </x:c>
      <x:c r="H1465" s="2" t="n">
        <x:v>2</x:v>
      </x:c>
      <x:c r="I1465" s="2" t="n">
        <x:v>35000</x:v>
      </x:c>
      <x:c r="J1465" s="2" t="n">
        <x:v>22500</x:v>
      </x:c>
      <x:c r="K1465" s="2" t="n">
        <x:v>0</x:v>
      </x:c>
      <x:c r="L1465" s="2" t="str">
        <x:v>Completed</x:v>
      </x:c>
    </x:row>
    <x:row r="1466" ht="21" customHeight="1">
      <x:c r="A1466" s="2" t="n">
        <x:v>1461</x:v>
      </x:c>
      <x:c r="B1466" s="2" t="str">
        <x:v>TXN-01461</x:v>
      </x:c>
      <x:c r="C1466" s="2" t="str">
        <x:v>2025-12-01</x:v>
      </x:c>
      <x:c r="D1466" s="2" t="str">
        <x:v>Lagos</x:v>
      </x:c>
      <x:c r="E1466" s="2" t="str">
        <x:v>Home</x:v>
      </x:c>
      <x:c r="F1466" s="2" t="str">
        <x:v>Cookware set</x:v>
      </x:c>
      <x:c r="G1466" s="2" t="str">
        <x:v>In-store</x:v>
      </x:c>
      <x:c r="H1466" s="2" t="n">
        <x:v>1</x:v>
      </x:c>
      <x:c r="I1466" s="2" t="n">
        <x:v>35000</x:v>
      </x:c>
      <x:c r="J1466" s="2" t="n">
        <x:v>22500</x:v>
      </x:c>
      <x:c r="K1466" s="2" t="n">
        <x:v>0</x:v>
      </x:c>
      <x:c r="L1466" s="2" t="str">
        <x:v>Completed</x:v>
      </x:c>
    </x:row>
    <x:row r="1467" ht="21" customHeight="1">
      <x:c r="A1467" s="2" t="n">
        <x:v>1462</x:v>
      </x:c>
      <x:c r="B1467" s="2" t="str">
        <x:v>TXN-01462</x:v>
      </x:c>
      <x:c r="C1467" s="2" t="str">
        <x:v>2025-12-17</x:v>
      </x:c>
      <x:c r="D1467" s="2" t="str">
        <x:v>Lagos</x:v>
      </x:c>
      <x:c r="E1467" s="2" t="str">
        <x:v>Beauty</x:v>
      </x:c>
      <x:c r="F1467" s="2" t="str">
        <x:v>Perfume</x:v>
      </x:c>
      <x:c r="G1467" s="2" t="str">
        <x:v>In-store</x:v>
      </x:c>
      <x:c r="H1467" s="2" t="n">
        <x:v>3</x:v>
      </x:c>
      <x:c r="I1467" s="2" t="n">
        <x:v>17000</x:v>
      </x:c>
      <x:c r="J1467" s="2" t="n">
        <x:v>9000</x:v>
      </x:c>
      <x:c r="K1467" s="2" t="n">
        <x:v>0.1</x:v>
      </x:c>
      <x:c r="L1467" s="2" t="str">
        <x:v>Completed</x:v>
      </x:c>
    </x:row>
    <x:row r="1468" ht="21" customHeight="1">
      <x:c r="A1468" s="2" t="n">
        <x:v>1463</x:v>
      </x:c>
      <x:c r="B1468" s="2" t="str">
        <x:v>TXN-01463</x:v>
      </x:c>
      <x:c r="C1468" s="2" t="str">
        <x:v>2025-12-22</x:v>
      </x:c>
      <x:c r="D1468" s="2" t="str">
        <x:v>Lagos</x:v>
      </x:c>
      <x:c r="E1468" s="2" t="str">
        <x:v>Beauty</x:v>
      </x:c>
      <x:c r="F1468" s="2" t="str">
        <x:v>Perfume</x:v>
      </x:c>
      <x:c r="G1468" s="2" t="str">
        <x:v>In-store</x:v>
      </x:c>
      <x:c r="H1468" s="2" t="n">
        <x:v>1</x:v>
      </x:c>
      <x:c r="I1468" s="2" t="n">
        <x:v>17000</x:v>
      </x:c>
      <x:c r="J1468" s="2" t="n">
        <x:v>9000</x:v>
      </x:c>
      <x:c r="K1468" s="2" t="n">
        <x:v>0</x:v>
      </x:c>
      <x:c r="L1468" s="2" t="str">
        <x:v>Completed</x:v>
      </x:c>
    </x:row>
    <x:row r="1469" ht="21" customHeight="1">
      <x:c r="A1469" s="2" t="n">
        <x:v>1464</x:v>
      </x:c>
      <x:c r="B1469" s="2" t="str">
        <x:v>TXN-01464</x:v>
      </x:c>
      <x:c r="C1469" s="2" t="str">
        <x:v>2025-12-26</x:v>
      </x:c>
      <x:c r="D1469" s="2" t="str">
        <x:v> abuja </x:v>
      </x:c>
      <x:c r="E1469" s="2" t="str">
        <x:v>Home</x:v>
      </x:c>
      <x:c r="F1469" s="2" t="str">
        <x:v>Bedsheet</x:v>
      </x:c>
      <x:c r="G1469" s="2" t="str">
        <x:v> in-store </x:v>
      </x:c>
      <x:c r="H1469" s="2" t="n">
        <x:v>4</x:v>
      </x:c>
      <x:c r="I1469" s="2" t="n">
        <x:v>14000</x:v>
      </x:c>
      <x:c r="J1469" s="2" t="n">
        <x:v>8500</x:v>
      </x:c>
      <x:c r="K1469" s="2" t="n">
        <x:v>0.1</x:v>
      </x:c>
      <x:c r="L1469" s="2" t="str">
        <x:v>Completed</x:v>
      </x:c>
    </x:row>
    <x:row r="1470" ht="21" customHeight="1">
      <x:c r="A1470" s="2" t="n">
        <x:v>1465</x:v>
      </x:c>
      <x:c r="B1470" s="2" t="str">
        <x:v>TXN-01465</x:v>
      </x:c>
      <x:c r="C1470" s="2" t="str">
        <x:v>2025-12-11</x:v>
      </x:c>
      <x:c r="D1470" s="2" t="str">
        <x:v>Kano</x:v>
      </x:c>
      <x:c r="E1470" s="2" t="str">
        <x:v>Beauty</x:v>
      </x:c>
      <x:c r="F1470" s="2" t="str">
        <x:v>Perfume</x:v>
      </x:c>
      <x:c r="G1470" s="2" t="str">
        <x:v>Online</x:v>
      </x:c>
      <x:c r="H1470" s="2" t="n">
        <x:v>2</x:v>
      </x:c>
      <x:c r="I1470" s="2" t="n">
        <x:v>17000</x:v>
      </x:c>
      <x:c r="J1470" s="2" t="n">
        <x:v>9000</x:v>
      </x:c>
      <x:c r="K1470" s="2" t="n">
        <x:v>0</x:v>
      </x:c>
      <x:c r="L1470" s="2" t="str">
        <x:v>Completed</x:v>
      </x:c>
    </x:row>
    <x:row r="1471" ht="21" customHeight="1">
      <x:c r="A1471" s="2" t="n">
        <x:v>1466</x:v>
      </x:c>
      <x:c r="B1471" s="2" t="str">
        <x:v>TXN-01466</x:v>
      </x:c>
      <x:c r="C1471" s="2" t="str">
        <x:v>2025-12-09</x:v>
      </x:c>
      <x:c r="D1471" s="2" t="str">
        <x:v>Abuja</x:v>
      </x:c>
      <x:c r="E1471" s="2" t="str">
        <x:v>Fashion</x:v>
      </x:c>
      <x:c r="F1471" s="2" t="str">
        <x:v>T-shirt</x:v>
      </x:c>
      <x:c r="G1471" s="2" t="str">
        <x:v>Online</x:v>
      </x:c>
      <x:c r="H1471" s="2" t="n">
        <x:v>3</x:v>
      </x:c>
      <x:c r="I1471" s="2" t="n">
        <x:v>9000</x:v>
      </x:c>
      <x:c r="J1471" s="2" t="n">
        <x:v>5000</x:v>
      </x:c>
      <x:c r="K1471" s="2" t="n">
        <x:v>0</x:v>
      </x:c>
      <x:c r="L1471" s="2" t="str">
        <x:v>Completed</x:v>
      </x:c>
    </x:row>
    <x:row r="1472" ht="21" customHeight="1">
      <x:c r="A1472" s="2" t="n">
        <x:v>1467</x:v>
      </x:c>
      <x:c r="B1472" s="2" t="str">
        <x:v>TXN-01467</x:v>
      </x:c>
      <x:c r="C1472" s="2" t="str">
        <x:v>2025-12-29</x:v>
      </x:c>
      <x:c r="D1472" s="2" t="str">
        <x:v>Lagos</x:v>
      </x:c>
      <x:c r="E1472" s="2" t="str">
        <x:v>Electronics</x:v>
      </x:c>
      <x:c r="F1472" s="2" t="str">
        <x:v>Headphones</x:v>
      </x:c>
      <x:c r="G1472" s="2" t="str">
        <x:v>In-store</x:v>
      </x:c>
      <x:c r="H1472" s="2" t="n">
        <x:v>1</x:v>
      </x:c>
      <x:c r="I1472" s="2" t="n">
        <x:v>18000</x:v>
      </x:c>
      <x:c r="J1472" s="2" t="n">
        <x:v>10500</x:v>
      </x:c>
      <x:c r="K1472" s="2" t="n">
        <x:v>0</x:v>
      </x:c>
      <x:c r="L1472" s="2" t="str">
        <x:v>Completed</x:v>
      </x:c>
    </x:row>
    <x:row r="1473" ht="21" customHeight="1">
      <x:c r="A1473" s="2" t="n">
        <x:v>1468</x:v>
      </x:c>
      <x:c r="B1473" s="2" t="str">
        <x:v>TXN-01468</x:v>
      </x:c>
      <x:c r="C1473" s="2" t="str">
        <x:v>2025-12-23</x:v>
      </x:c>
      <x:c r="D1473" s="2" t="str">
        <x:v>Lagos</x:v>
      </x:c>
      <x:c r="E1473" s="2" t="str">
        <x:v>Beauty</x:v>
      </x:c>
      <x:c r="F1473" s="2" t="str">
        <x:v>Moisturizer</x:v>
      </x:c>
      <x:c r="G1473" s="2" t="str">
        <x:v>Online</x:v>
      </x:c>
      <x:c r="H1473" s="2" t="n">
        <x:v>2</x:v>
      </x:c>
      <x:c r="I1473" s="2" t="n">
        <x:v>6500</x:v>
      </x:c>
      <x:c r="J1473" s="2" t="n">
        <x:v>3500</x:v>
      </x:c>
      <x:c r="K1473" s="2" t="n">
        <x:v>0</x:v>
      </x:c>
      <x:c r="L1473" s="2" t="str">
        <x:v> COMPLETED </x:v>
      </x:c>
    </x:row>
    <x:row r="1474" ht="21" customHeight="1">
      <x:c r="A1474" s="2" t="n">
        <x:v>1469</x:v>
      </x:c>
      <x:c r="B1474" s="2" t="str">
        <x:v>TXN-01469</x:v>
      </x:c>
      <x:c r="C1474" s="2" t="str">
        <x:v>2025-12-29</x:v>
      </x:c>
      <x:c r="D1474" s="2" t="str">
        <x:v>Lagos</x:v>
      </x:c>
      <x:c r="E1474" s="2" t="str">
        <x:v>Electronics</x:v>
      </x:c>
      <x:c r="F1474" s="2" t="str">
        <x:v>Bluetooth speaker</x:v>
      </x:c>
      <x:c r="G1474" s="2" t="str">
        <x:v>In-store</x:v>
      </x:c>
      <x:c r="H1474" s="2" t="n">
        <x:v>3</x:v>
      </x:c>
      <x:c r="I1474" s="2" t="n">
        <x:v>26000</x:v>
      </x:c>
      <x:c r="J1474" s="2" t="n">
        <x:v>17000</x:v>
      </x:c>
      <x:c r="K1474" s="2" t="n">
        <x:v>0</x:v>
      </x:c>
      <x:c r="L1474" s="2" t="str">
        <x:v>Completed</x:v>
      </x:c>
    </x:row>
    <x:row r="1475" ht="21" customHeight="1">
      <x:c r="A1475" s="2" t="n">
        <x:v>1470</x:v>
      </x:c>
      <x:c r="B1475" s="2" t="str">
        <x:v>TXN-01470</x:v>
      </x:c>
      <x:c r="C1475" s="2" t="str">
        <x:v>2025-12-20</x:v>
      </x:c>
      <x:c r="D1475" s="2" t="str">
        <x:v>Abuja</x:v>
      </x:c>
      <x:c r="E1475" s="2" t="str">
        <x:v>Beauty</x:v>
      </x:c>
      <x:c r="F1475" s="2" t="str">
        <x:v>Moisturizer</x:v>
      </x:c>
      <x:c r="G1475" s="2" t="str">
        <x:v>In-store</x:v>
      </x:c>
      <x:c r="H1475" s="2" t="n">
        <x:v>1</x:v>
      </x:c>
      <x:c r="I1475" s="2" t="n">
        <x:v>6500</x:v>
      </x:c>
      <x:c r="J1475" s="2" t="n">
        <x:v>3500</x:v>
      </x:c>
      <x:c r="K1475" s="2" t="n">
        <x:v>0</x:v>
      </x:c>
      <x:c r="L1475" s="2" t="str">
        <x:v>Completed</x:v>
      </x:c>
    </x:row>
    <x:row r="1476" ht="21" customHeight="1">
      <x:c r="A1476" s="2" t="n">
        <x:v>1471</x:v>
      </x:c>
      <x:c r="B1476" s="2" t="str">
        <x:v>TXN-01471</x:v>
      </x:c>
      <x:c r="C1476" s="2" t="str">
        <x:v>2025-12-07</x:v>
      </x:c>
      <x:c r="D1476" s="2" t="str">
        <x:v> kano </x:v>
      </x:c>
      <x:c r="E1476" s="2" t="str">
        <x:v>Fashion</x:v>
      </x:c>
      <x:c r="F1476" s="2" t="str">
        <x:v>Sneakers</x:v>
      </x:c>
      <x:c r="G1476" s="2" t="str">
        <x:v>In-store</x:v>
      </x:c>
      <x:c r="H1476" s="2" t="n">
        <x:v>1</x:v>
      </x:c>
      <x:c r="I1476" s="2" t="n">
        <x:v>28000</x:v>
      </x:c>
      <x:c r="J1476" s="2" t="n">
        <x:v>17500</x:v>
      </x:c>
      <x:c r="K1476" s="2" t="n">
        <x:v>0.1</x:v>
      </x:c>
      <x:c r="L1476" s="2" t="str">
        <x:v>Returned</x:v>
      </x:c>
    </x:row>
    <x:row r="1477" ht="21" customHeight="1">
      <x:c r="A1477" s="2" t="n">
        <x:v>1472</x:v>
      </x:c>
      <x:c r="B1477" s="2" t="str">
        <x:v>TXN-01472</x:v>
      </x:c>
      <x:c r="C1477" s="2" t="str">
        <x:v>2025-12-07</x:v>
      </x:c>
      <x:c r="D1477" s="2" t="str">
        <x:v>Lagos</x:v>
      </x:c>
      <x:c r="E1477" s="2" t="str">
        <x:v>Fashion</x:v>
      </x:c>
      <x:c r="F1477" s="2" t="str">
        <x:v>T-shirt</x:v>
      </x:c>
      <x:c r="G1477" s="2" t="str">
        <x:v>Online</x:v>
      </x:c>
      <x:c r="H1477" s="2" t="n">
        <x:v>1</x:v>
      </x:c>
      <x:c r="I1477" s="2" t="n">
        <x:v>9000</x:v>
      </x:c>
      <x:c r="J1477" s="2" t="n">
        <x:v>5000</x:v>
      </x:c>
      <x:c r="K1477" s="2" t="n">
        <x:v>0.05</x:v>
      </x:c>
      <x:c r="L1477" s="2" t="str">
        <x:v>Completed</x:v>
      </x:c>
    </x:row>
    <x:row r="1478" ht="21" customHeight="1">
      <x:c r="A1478" s="2" t="n">
        <x:v>1473</x:v>
      </x:c>
      <x:c r="B1478" s="2" t="str">
        <x:v>TXN-01473</x:v>
      </x:c>
      <x:c r="C1478" s="2" t="str">
        <x:v>2025-12-14</x:v>
      </x:c>
      <x:c r="D1478" s="2" t="str">
        <x:v>Abuja</x:v>
      </x:c>
      <x:c r="E1478" s="2" t="str">
        <x:v>Electronics</x:v>
      </x:c>
      <x:c r="F1478" s="2" t="str">
        <x:v>Headphones</x:v>
      </x:c>
      <x:c r="G1478" s="2" t="str">
        <x:v>In-store</x:v>
      </x:c>
      <x:c r="H1478" s="2" t="n">
        <x:v>1</x:v>
      </x:c>
      <x:c r="I1478" s="2" t="n">
        <x:v>18000</x:v>
      </x:c>
      <x:c r="J1478" s="2" t="n">
        <x:v>10500</x:v>
      </x:c>
      <x:c r="K1478" s="2" t="n">
        <x:v>0</x:v>
      </x:c>
      <x:c r="L1478" s="2" t="str">
        <x:v>Completed</x:v>
      </x:c>
    </x:row>
    <x:row r="1479" ht="21" customHeight="1">
      <x:c r="A1479" s="2" t="n">
        <x:v>1474</x:v>
      </x:c>
      <x:c r="B1479" s="2" t="str">
        <x:v>TXN-01474</x:v>
      </x:c>
      <x:c r="C1479" s="2" t="str">
        <x:v>2025-12-25</x:v>
      </x:c>
      <x:c r="D1479" s="2" t="str">
        <x:v>Port Harcourt</x:v>
      </x:c>
      <x:c r="E1479" s="2" t="str">
        <x:v>Electronics</x:v>
      </x:c>
      <x:c r="F1479" s="2" t="str">
        <x:v>Power bank</x:v>
      </x:c>
      <x:c r="G1479" s="2" t="str">
        <x:v>In-store</x:v>
      </x:c>
      <x:c r="H1479" s="2" t="n">
        <x:v>1</x:v>
      </x:c>
      <x:c r="I1479" s="2" t="n">
        <x:v>15000</x:v>
      </x:c>
      <x:c r="J1479" s="2" t="n">
        <x:v>9500</x:v>
      </x:c>
      <x:c r="K1479" s="2" t="n">
        <x:v>0</x:v>
      </x:c>
      <x:c r="L1479" s="2" t="str">
        <x:v>Completed</x:v>
      </x:c>
    </x:row>
    <x:row r="1480" ht="21" customHeight="1">
      <x:c r="A1480" s="2" t="n">
        <x:v>1475</x:v>
      </x:c>
      <x:c r="B1480" s="2" t="str">
        <x:v>TXN-01475</x:v>
      </x:c>
      <x:c r="C1480" s="2" t="str">
        <x:v>2025-12-11</x:v>
      </x:c>
      <x:c r="D1480" s="2" t="str">
        <x:v>Lagos</x:v>
      </x:c>
      <x:c r="E1480" s="2" t="str">
        <x:v>Electronics</x:v>
      </x:c>
      <x:c r="F1480" s="2" t="str">
        <x:v>Headphones</x:v>
      </x:c>
      <x:c r="G1480" s="2" t="str">
        <x:v> online </x:v>
      </x:c>
      <x:c r="H1480" s="2" t="n">
        <x:v>1</x:v>
      </x:c>
      <x:c r="I1480" s="2" t="n">
        <x:v>18000</x:v>
      </x:c>
      <x:c r="J1480" s="2" t="n">
        <x:v>10500</x:v>
      </x:c>
      <x:c r="K1480" s="2" t="n">
        <x:v>0.15</x:v>
      </x:c>
      <x:c r="L1480" s="2" t="str">
        <x:v>Completed</x:v>
      </x:c>
    </x:row>
    <x:row r="1481" ht="21" customHeight="1">
      <x:c r="A1481" s="2" t="n">
        <x:v>1476</x:v>
      </x:c>
      <x:c r="B1481" s="2" t="str">
        <x:v>TXN-01476</x:v>
      </x:c>
      <x:c r="C1481" s="2" t="str">
        <x:v>2025-12-20</x:v>
      </x:c>
      <x:c r="D1481" s="2" t="str">
        <x:v>Abuja</x:v>
      </x:c>
      <x:c r="E1481" s="2" t="str">
        <x:v>Electronics</x:v>
      </x:c>
      <x:c r="F1481" s="2" t="str">
        <x:v>Bluetooth speaker</x:v>
      </x:c>
      <x:c r="G1481" s="2" t="str">
        <x:v>In-store</x:v>
      </x:c>
      <x:c r="H1481" s="2" t="n">
        <x:v>2</x:v>
      </x:c>
      <x:c r="I1481" s="2" t="n">
        <x:v>26000</x:v>
      </x:c>
      <x:c r="J1481" s="2" t="n">
        <x:v>17000</x:v>
      </x:c>
      <x:c r="K1481" s="2" t="n">
        <x:v>0</x:v>
      </x:c>
      <x:c r="L1481" s="2" t="str">
        <x:v>Completed</x:v>
      </x:c>
    </x:row>
    <x:row r="1482" ht="21" customHeight="1">
      <x:c r="A1482" s="2" t="n">
        <x:v>1477</x:v>
      </x:c>
      <x:c r="B1482" s="2" t="str">
        <x:v>TXN-01477</x:v>
      </x:c>
      <x:c r="C1482" s="2" t="str">
        <x:v>2025-12-23</x:v>
      </x:c>
      <x:c r="D1482" s="2" t="str">
        <x:v>Kano</x:v>
      </x:c>
      <x:c r="E1482" s="2" t="str">
        <x:v>Fashion</x:v>
      </x:c>
      <x:c r="F1482" s="2" t="str">
        <x:v>Sneakers</x:v>
      </x:c>
      <x:c r="G1482" s="2" t="str">
        <x:v>Online</x:v>
      </x:c>
      <x:c r="H1482" s="2" t="n">
        <x:v>2</x:v>
      </x:c>
      <x:c r="I1482" s="2" t="n">
        <x:v>28000</x:v>
      </x:c>
      <x:c r="J1482" s="2" t="n">
        <x:v>17500</x:v>
      </x:c>
      <x:c r="K1482" s="2" t="n">
        <x:v>0.05</x:v>
      </x:c>
      <x:c r="L1482" s="2" t="str">
        <x:v> COMPLETED </x:v>
      </x:c>
    </x:row>
    <x:row r="1483" ht="21" customHeight="1">
      <x:c r="A1483" s="2" t="n">
        <x:v>1478</x:v>
      </x:c>
      <x:c r="B1483" s="2" t="str">
        <x:v>TXN-01478</x:v>
      </x:c>
      <x:c r="C1483" s="2" t="str">
        <x:v>2025-12-06</x:v>
      </x:c>
      <x:c r="D1483" s="2" t="str">
        <x:v> port harcourt </x:v>
      </x:c>
      <x:c r="E1483" s="2" t="str">
        <x:v>Home</x:v>
      </x:c>
      <x:c r="F1483" s="2" t="str">
        <x:v>Bedsheet</x:v>
      </x:c>
      <x:c r="G1483" s="2" t="str">
        <x:v>In-store</x:v>
      </x:c>
      <x:c r="H1483" s="2" t="n">
        <x:v>1</x:v>
      </x:c>
      <x:c r="I1483" s="2" t="n">
        <x:v>14000</x:v>
      </x:c>
      <x:c r="J1483" s="2" t="n">
        <x:v>8500</x:v>
      </x:c>
      <x:c r="K1483" s="2" t="n">
        <x:v>0</x:v>
      </x:c>
      <x:c r="L1483" s="2" t="str">
        <x:v>Completed</x:v>
      </x:c>
    </x:row>
    <x:row r="1484" ht="21" customHeight="1">
      <x:c r="A1484" s="2" t="n">
        <x:v>1479</x:v>
      </x:c>
      <x:c r="B1484" s="2" t="str">
        <x:v>TXN-01479</x:v>
      </x:c>
      <x:c r="C1484" s="2" t="str">
        <x:v>2025-12-06</x:v>
      </x:c>
      <x:c r="D1484" s="2" t="str">
        <x:v>Lagos</x:v>
      </x:c>
      <x:c r="E1484" s="2" t="str">
        <x:v>Beauty</x:v>
      </x:c>
      <x:c r="F1484" s="2" t="str">
        <x:v>Perfume</x:v>
      </x:c>
      <x:c r="G1484" s="2" t="str">
        <x:v>In-store</x:v>
      </x:c>
      <x:c r="H1484" s="2" t="n">
        <x:v>1</x:v>
      </x:c>
      <x:c r="I1484" s="2" t="n">
        <x:v>17000</x:v>
      </x:c>
      <x:c r="J1484" s="2" t="n">
        <x:v>9000</x:v>
      </x:c>
      <x:c r="K1484" s="2" t="n">
        <x:v>0</x:v>
      </x:c>
      <x:c r="L1484" s="2" t="str">
        <x:v>Completed</x:v>
      </x:c>
    </x:row>
    <x:row r="1485" ht="21" customHeight="1">
      <x:c r="A1485" s="2" t="n">
        <x:v>1480</x:v>
      </x:c>
      <x:c r="B1485" s="2" t="str">
        <x:v>TXN-01480</x:v>
      </x:c>
      <x:c r="C1485" s="2" t="str">
        <x:v>2025-12-11</x:v>
      </x:c>
      <x:c r="D1485" s="2" t="str">
        <x:v>Abuja</x:v>
      </x:c>
      <x:c r="E1485" s="2" t="str">
        <x:v>Home</x:v>
      </x:c>
      <x:c r="F1485" s="2" t="str">
        <x:v>Cookware set</x:v>
      </x:c>
      <x:c r="G1485" s="2" t="str">
        <x:v>In-store</x:v>
      </x:c>
      <x:c r="H1485" s="2" t="n">
        <x:v>1</x:v>
      </x:c>
      <x:c r="I1485" s="2" t="n">
        <x:v>35000</x:v>
      </x:c>
      <x:c r="J1485" s="2" t="n">
        <x:v>22500</x:v>
      </x:c>
      <x:c r="K1485" s="2" t="n">
        <x:v>0.1</x:v>
      </x:c>
      <x:c r="L1485" s="2" t="str">
        <x:v>Completed</x:v>
      </x:c>
    </x:row>
    <x:row r="1486" ht="21" customHeight="1">
      <x:c r="A1486" s="2" t="n">
        <x:v>1481</x:v>
      </x:c>
      <x:c r="B1486" s="2" t="str">
        <x:v>TXN-01481</x:v>
      </x:c>
      <x:c r="C1486" s="2" t="str">
        <x:v>2025-12-18</x:v>
      </x:c>
      <x:c r="D1486" s="2" t="str">
        <x:v>Lagos</x:v>
      </x:c>
      <x:c r="E1486" s="2" t="str">
        <x:v>Electronics</x:v>
      </x:c>
      <x:c r="F1486" s="2" t="str">
        <x:v>Power bank</x:v>
      </x:c>
      <x:c r="G1486" s="2" t="str">
        <x:v>Online</x:v>
      </x:c>
      <x:c r="H1486" s="2" t="n">
        <x:v>2</x:v>
      </x:c>
      <x:c r="I1486" s="2" t="n">
        <x:v>15000</x:v>
      </x:c>
      <x:c r="J1486" s="2" t="n">
        <x:v>9500</x:v>
      </x:c>
      <x:c r="K1486" s="2" t="n">
        <x:v>0</x:v>
      </x:c>
      <x:c r="L1486" s="2" t="str">
        <x:v>Returned</x:v>
      </x:c>
    </x:row>
    <x:row r="1487" ht="21" customHeight="1">
      <x:c r="A1487" s="2" t="n">
        <x:v>1482</x:v>
      </x:c>
      <x:c r="B1487" s="2" t="str">
        <x:v>TXN-01482</x:v>
      </x:c>
      <x:c r="C1487" s="2" t="str">
        <x:v>2025-12-21</x:v>
      </x:c>
      <x:c r="D1487" s="2" t="str">
        <x:v>Kano</x:v>
      </x:c>
      <x:c r="E1487" s="2" t="str">
        <x:v>Beauty</x:v>
      </x:c>
      <x:c r="F1487" s="2" t="str">
        <x:v>Moisturizer</x:v>
      </x:c>
      <x:c r="G1487" s="2" t="str">
        <x:v>Online</x:v>
      </x:c>
      <x:c r="H1487" s="2" t="n">
        <x:v>2</x:v>
      </x:c>
      <x:c r="I1487" s="2" t="n">
        <x:v>6500</x:v>
      </x:c>
      <x:c r="J1487" s="2" t="n">
        <x:v>3500</x:v>
      </x:c>
      <x:c r="K1487" s="2" t="n">
        <x:v>0.05</x:v>
      </x:c>
      <x:c r="L1487" s="2" t="str">
        <x:v>Completed</x:v>
      </x:c>
    </x:row>
    <x:row r="1488" ht="21" customHeight="1">
      <x:c r="A1488" s="2" t="n">
        <x:v>1483</x:v>
      </x:c>
      <x:c r="B1488" s="2" t="str">
        <x:v>TXN-01483</x:v>
      </x:c>
      <x:c r="C1488" s="2" t="str">
        <x:v>2025-12-21</x:v>
      </x:c>
      <x:c r="D1488" s="2" t="str">
        <x:v>Kano</x:v>
      </x:c>
      <x:c r="E1488" s="2" t="str">
        <x:v>Beauty</x:v>
      </x:c>
      <x:c r="F1488" s="2" t="str">
        <x:v>Body wash</x:v>
      </x:c>
      <x:c r="G1488" s="2" t="str">
        <x:v>Online</x:v>
      </x:c>
      <x:c r="H1488" s="2" t="n">
        <x:v>1</x:v>
      </x:c>
      <x:c r="I1488" s="2" t="n">
        <x:v>4500</x:v>
      </x:c>
      <x:c r="J1488" s="2" t="n">
        <x:v>2300</x:v>
      </x:c>
      <x:c r="K1488" s="2" t="n">
        <x:v>0</x:v>
      </x:c>
      <x:c r="L1488" s="2" t="str">
        <x:v>Completed</x:v>
      </x:c>
    </x:row>
    <x:row r="1489" ht="21" customHeight="1">
      <x:c r="A1489" s="2" t="n">
        <x:v>1484</x:v>
      </x:c>
      <x:c r="B1489" s="2" t="str">
        <x:v>TXN-01484</x:v>
      </x:c>
      <x:c r="C1489" s="2" t="str">
        <x:v>2025-12-28</x:v>
      </x:c>
      <x:c r="D1489" s="2" t="str">
        <x:v>Abuja</x:v>
      </x:c>
      <x:c r="E1489" s="2" t="str">
        <x:v>Home</x:v>
      </x:c>
      <x:c r="F1489" s="2" t="str">
        <x:v>Desk lamp</x:v>
      </x:c>
      <x:c r="G1489" s="2" t="str">
        <x:v>In-store</x:v>
      </x:c>
      <x:c r="H1489" s="2" t="n">
        <x:v>3</x:v>
      </x:c>
      <x:c r="I1489" s="2" t="n">
        <x:v>12000</x:v>
      </x:c>
      <x:c r="J1489" s="2" t="n">
        <x:v>7200</x:v>
      </x:c>
      <x:c r="K1489" s="2" t="n">
        <x:v>0.05</x:v>
      </x:c>
      <x:c r="L1489" s="2" t="str">
        <x:v>Completed</x:v>
      </x:c>
    </x:row>
    <x:row r="1490" ht="21" customHeight="1">
      <x:c r="A1490" s="2" t="n">
        <x:v>1485</x:v>
      </x:c>
      <x:c r="B1490" s="2" t="str">
        <x:v>TXN-01485</x:v>
      </x:c>
      <x:c r="C1490" s="2" t="str">
        <x:v>2025-12-17</x:v>
      </x:c>
      <x:c r="D1490" s="2" t="str">
        <x:v> lagos </x:v>
      </x:c>
      <x:c r="E1490" s="2" t="str">
        <x:v>Electronics</x:v>
      </x:c>
      <x:c r="F1490" s="2" t="str">
        <x:v>Headphones</x:v>
      </x:c>
      <x:c r="G1490" s="2" t="str">
        <x:v>In-store</x:v>
      </x:c>
      <x:c r="H1490" s="2" t="n">
        <x:v>1</x:v>
      </x:c>
      <x:c r="I1490" s="2" t="n">
        <x:v>18000</x:v>
      </x:c>
      <x:c r="J1490" s="2" t="n">
        <x:v>10500</x:v>
      </x:c>
      <x:c r="K1490" s="2" t="n">
        <x:v>0.1</x:v>
      </x:c>
      <x:c r="L1490" s="2" t="str">
        <x:v>Completed</x:v>
      </x:c>
    </x:row>
    <x:row r="1491" ht="21" customHeight="1">
      <x:c r="A1491" s="2" t="n">
        <x:v>1486</x:v>
      </x:c>
      <x:c r="B1491" s="2" t="str">
        <x:v>TXN-01486</x:v>
      </x:c>
      <x:c r="C1491" s="2" t="str">
        <x:v>2025-12-04</x:v>
      </x:c>
      <x:c r="D1491" s="2" t="str">
        <x:v>Lagos</x:v>
      </x:c>
      <x:c r="E1491" s="2" t="str">
        <x:v>Fashion</x:v>
      </x:c>
      <x:c r="F1491" s="2" t="str">
        <x:v>Handbag</x:v>
      </x:c>
      <x:c r="G1491" s="2" t="str">
        <x:v> online </x:v>
      </x:c>
      <x:c r="H1491" s="2" t="n">
        <x:v>3</x:v>
      </x:c>
      <x:c r="I1491" s="2" t="n">
        <x:v>22000</x:v>
      </x:c>
      <x:c r="J1491" s="2" t="n">
        <x:v>13500</x:v>
      </x:c>
      <x:c r="K1491" s="2" t="n">
        <x:v>0</x:v>
      </x:c>
      <x:c r="L1491" s="2" t="str">
        <x:v> COMPLETED </x:v>
      </x:c>
    </x:row>
    <x:row r="1492" ht="21" customHeight="1">
      <x:c r="A1492" s="2" t="n">
        <x:v>1487</x:v>
      </x:c>
      <x:c r="B1492" s="2" t="str">
        <x:v>TXN-01487</x:v>
      </x:c>
      <x:c r="C1492" s="2" t="str">
        <x:v>2025-12-30</x:v>
      </x:c>
      <x:c r="D1492" s="2" t="str">
        <x:v>Abuja</x:v>
      </x:c>
      <x:c r="E1492" s="2" t="str">
        <x:v>Beauty</x:v>
      </x:c>
      <x:c r="F1492" s="2" t="str">
        <x:v>Perfume</x:v>
      </x:c>
      <x:c r="G1492" s="2" t="str">
        <x:v>In-store</x:v>
      </x:c>
      <x:c r="H1492" s="2" t="n">
        <x:v>1</x:v>
      </x:c>
      <x:c r="I1492" s="2" t="n">
        <x:v>17000</x:v>
      </x:c>
      <x:c r="J1492" s="2" t="n">
        <x:v>9000</x:v>
      </x:c>
      <x:c r="K1492" s="2" t="n">
        <x:v>0</x:v>
      </x:c>
      <x:c r="L1492" s="2" t="str">
        <x:v>Completed</x:v>
      </x:c>
    </x:row>
    <x:row r="1493" ht="21" customHeight="1">
      <x:c r="A1493" s="2" t="n">
        <x:v>1488</x:v>
      </x:c>
      <x:c r="B1493" s="2" t="str">
        <x:v>TXN-01488</x:v>
      </x:c>
      <x:c r="C1493" s="2" t="str">
        <x:v>2025-12-05</x:v>
      </x:c>
      <x:c r="D1493" s="2" t="str">
        <x:v>Lagos</x:v>
      </x:c>
      <x:c r="E1493" s="2" t="str">
        <x:v>Home</x:v>
      </x:c>
      <x:c r="F1493" s="2" t="str">
        <x:v>Bedsheet</x:v>
      </x:c>
      <x:c r="G1493" s="2" t="str">
        <x:v>Online</x:v>
      </x:c>
      <x:c r="H1493" s="2" t="n">
        <x:v>1</x:v>
      </x:c>
      <x:c r="I1493" s="2" t="n">
        <x:v>14000</x:v>
      </x:c>
      <x:c r="J1493" s="2" t="n">
        <x:v>8500</x:v>
      </x:c>
      <x:c r="K1493" s="2" t="n">
        <x:v>0.1</x:v>
      </x:c>
      <x:c r="L1493" s="2" t="str">
        <x:v>Returned</x:v>
      </x:c>
    </x:row>
    <x:row r="1494" ht="21" customHeight="1">
      <x:c r="A1494" s="2" t="n">
        <x:v>1489</x:v>
      </x:c>
      <x:c r="B1494" s="2" t="str">
        <x:v>TXN-01489</x:v>
      </x:c>
      <x:c r="C1494" s="2" t="str">
        <x:v>2025-12-23</x:v>
      </x:c>
      <x:c r="D1494" s="2" t="str">
        <x:v>Port Harcourt</x:v>
      </x:c>
      <x:c r="E1494" s="2" t="str">
        <x:v>Home</x:v>
      </x:c>
      <x:c r="F1494" s="2" t="str">
        <x:v>Bedsheet</x:v>
      </x:c>
      <x:c r="G1494" s="2" t="str">
        <x:v>In-store</x:v>
      </x:c>
      <x:c r="H1494" s="2" t="n">
        <x:v>1</x:v>
      </x:c>
      <x:c r="I1494" s="2" t="n">
        <x:v>14000</x:v>
      </x:c>
      <x:c r="J1494" s="2" t="n">
        <x:v>8500</x:v>
      </x:c>
      <x:c r="K1494" s="2" t="n">
        <x:v>0</x:v>
      </x:c>
      <x:c r="L1494" s="2" t="str">
        <x:v>Completed</x:v>
      </x:c>
    </x:row>
    <x:row r="1495" ht="21" customHeight="1">
      <x:c r="A1495" s="2" t="n">
        <x:v>1490</x:v>
      </x:c>
      <x:c r="B1495" s="2" t="str">
        <x:v>TXN-01490</x:v>
      </x:c>
      <x:c r="C1495" s="2" t="str">
        <x:v>2025-12-19</x:v>
      </x:c>
      <x:c r="D1495" s="2" t="str">
        <x:v>Lagos</x:v>
      </x:c>
      <x:c r="E1495" s="2" t="str">
        <x:v>Home</x:v>
      </x:c>
      <x:c r="F1495" s="2" t="str">
        <x:v>Bedsheet</x:v>
      </x:c>
      <x:c r="G1495" s="2" t="str">
        <x:v>Online</x:v>
      </x:c>
      <x:c r="H1495" s="2" t="n">
        <x:v>1</x:v>
      </x:c>
      <x:c r="I1495" s="2" t="n">
        <x:v>14000</x:v>
      </x:c>
      <x:c r="J1495" s="2" t="n">
        <x:v>8500</x:v>
      </x:c>
      <x:c r="K1495" s="2" t="n">
        <x:v>0.1</x:v>
      </x:c>
      <x:c r="L1495" s="2" t="str">
        <x:v>Completed</x:v>
      </x:c>
    </x:row>
    <x:row r="1496" ht="21" customHeight="1">
      <x:c r="A1496" s="2" t="n">
        <x:v>1491</x:v>
      </x:c>
      <x:c r="B1496" s="2" t="str">
        <x:v>TXN-01491</x:v>
      </x:c>
      <x:c r="C1496" s="2" t="str">
        <x:v>2025-12-14</x:v>
      </x:c>
      <x:c r="D1496" s="2" t="str">
        <x:v>Lagos</x:v>
      </x:c>
      <x:c r="E1496" s="2" t="str">
        <x:v>Fashion</x:v>
      </x:c>
      <x:c r="F1496" s="2" t="str">
        <x:v>T-shirt</x:v>
      </x:c>
      <x:c r="G1496" s="2" t="str">
        <x:v>Online</x:v>
      </x:c>
      <x:c r="H1496" s="2" t="n">
        <x:v>2</x:v>
      </x:c>
      <x:c r="I1496" s="2" t="n">
        <x:v>9000</x:v>
      </x:c>
      <x:c r="J1496" s="2" t="n">
        <x:v>5000</x:v>
      </x:c>
      <x:c r="K1496" s="2" t="n">
        <x:v>0</x:v>
      </x:c>
      <x:c r="L1496" s="2" t="str">
        <x:v>Completed</x:v>
      </x:c>
    </x:row>
    <x:row r="1497" ht="21" customHeight="1">
      <x:c r="A1497" s="2" t="n">
        <x:v>1492</x:v>
      </x:c>
      <x:c r="B1497" s="2" t="str">
        <x:v>TXN-01492</x:v>
      </x:c>
      <x:c r="C1497" s="2" t="str">
        <x:v>2025-12-28</x:v>
      </x:c>
      <x:c r="D1497" s="2" t="str">
        <x:v> abuja </x:v>
      </x:c>
      <x:c r="E1497" s="2" t="str">
        <x:v>Home</x:v>
      </x:c>
      <x:c r="F1497" s="2" t="str">
        <x:v>Cookware set</x:v>
      </x:c>
      <x:c r="G1497" s="2" t="str">
        <x:v>In-store</x:v>
      </x:c>
      <x:c r="H1497" s="2" t="n">
        <x:v>2</x:v>
      </x:c>
      <x:c r="I1497" s="2" t="n">
        <x:v>35000</x:v>
      </x:c>
      <x:c r="J1497" s="2" t="n">
        <x:v>22500</x:v>
      </x:c>
      <x:c r="K1497" s="2" t="n">
        <x:v>0</x:v>
      </x:c>
      <x:c r="L1497" s="2" t="str">
        <x:v>Completed</x:v>
      </x:c>
    </x:row>
    <x:row r="1498" ht="21" customHeight="1">
      <x:c r="A1498" s="2" t="n">
        <x:v>1493</x:v>
      </x:c>
      <x:c r="B1498" s="2" t="str">
        <x:v>TXN-01493</x:v>
      </x:c>
      <x:c r="C1498" s="2" t="str">
        <x:v>2025-12-28</x:v>
      </x:c>
      <x:c r="D1498" s="2" t="str">
        <x:v>Lagos</x:v>
      </x:c>
      <x:c r="E1498" s="2" t="str">
        <x:v>Beauty</x:v>
      </x:c>
      <x:c r="F1498" s="2" t="str">
        <x:v>Moisturizer</x:v>
      </x:c>
      <x:c r="G1498" s="2" t="str">
        <x:v>In-store</x:v>
      </x:c>
      <x:c r="H1498" s="2" t="n">
        <x:v>1</x:v>
      </x:c>
      <x:c r="I1498" s="2" t="n">
        <x:v>6500</x:v>
      </x:c>
      <x:c r="J1498" s="2" t="n">
        <x:v>3500</x:v>
      </x:c>
      <x:c r="K1498" s="2" t="str"/>
      <x:c r="L1498" s="2" t="str">
        <x:v>Completed</x:v>
      </x:c>
    </x:row>
    <x:row r="1499" ht="21" customHeight="1">
      <x:c r="A1499" s="2" t="n">
        <x:v>1494</x:v>
      </x:c>
      <x:c r="B1499" s="2" t="str">
        <x:v>TXN-01494</x:v>
      </x:c>
      <x:c r="C1499" s="2" t="str">
        <x:v>2025-12-03</x:v>
      </x:c>
      <x:c r="D1499" s="2" t="str">
        <x:v>Lagos</x:v>
      </x:c>
      <x:c r="E1499" s="2" t="str">
        <x:v>Home</x:v>
      </x:c>
      <x:c r="F1499" s="2" t="str">
        <x:v>Desk lamp</x:v>
      </x:c>
      <x:c r="G1499" s="2" t="str">
        <x:v>Online</x:v>
      </x:c>
      <x:c r="H1499" s="2" t="n">
        <x:v>1</x:v>
      </x:c>
      <x:c r="I1499" s="2" t="n">
        <x:v>12000</x:v>
      </x:c>
      <x:c r="J1499" s="2" t="n">
        <x:v>7200</x:v>
      </x:c>
      <x:c r="K1499" s="2" t="n">
        <x:v>0.05</x:v>
      </x:c>
      <x:c r="L1499" s="2" t="str">
        <x:v>Completed</x:v>
      </x:c>
    </x:row>
    <x:row r="1500" ht="21" customHeight="1">
      <x:c r="A1500" s="2" t="n">
        <x:v>1495</x:v>
      </x:c>
      <x:c r="B1500" s="2" t="str">
        <x:v>TXN-01495</x:v>
      </x:c>
      <x:c r="C1500" s="2" t="str">
        <x:v>2025-12-11</x:v>
      </x:c>
      <x:c r="D1500" s="2" t="str">
        <x:v>Port Harcourt</x:v>
      </x:c>
      <x:c r="E1500" s="2" t="str">
        <x:v>Beauty</x:v>
      </x:c>
      <x:c r="F1500" s="2" t="str">
        <x:v>Body wash</x:v>
      </x:c>
      <x:c r="G1500" s="2" t="str">
        <x:v>In-store</x:v>
      </x:c>
      <x:c r="H1500" s="2" t="n">
        <x:v>1</x:v>
      </x:c>
      <x:c r="I1500" s="2" t="n">
        <x:v>4500</x:v>
      </x:c>
      <x:c r="J1500" s="2" t="n">
        <x:v>2300</x:v>
      </x:c>
      <x:c r="K1500" s="2" t="n">
        <x:v>0.05</x:v>
      </x:c>
      <x:c r="L1500" s="2" t="str">
        <x:v> COMPLETED </x:v>
      </x:c>
    </x:row>
    <x:row r="1501" ht="21" customHeight="1">
      <x:c r="A1501" s="2" t="n">
        <x:v>1496</x:v>
      </x:c>
      <x:c r="B1501" s="2" t="str">
        <x:v>TXN-01496</x:v>
      </x:c>
      <x:c r="C1501" s="2" t="str">
        <x:v>2025-12-31</x:v>
      </x:c>
      <x:c r="D1501" s="2" t="str">
        <x:v>Port Harcourt</x:v>
      </x:c>
      <x:c r="E1501" s="2" t="str">
        <x:v>Fashion</x:v>
      </x:c>
      <x:c r="F1501" s="2" t="str">
        <x:v>Sneakers</x:v>
      </x:c>
      <x:c r="G1501" s="2" t="str">
        <x:v>Online</x:v>
      </x:c>
      <x:c r="H1501" s="2" t="n">
        <x:v>1</x:v>
      </x:c>
      <x:c r="I1501" s="2" t="n">
        <x:v>28000</x:v>
      </x:c>
      <x:c r="J1501" s="2" t="n">
        <x:v>17500</x:v>
      </x:c>
      <x:c r="K1501" s="2" t="n">
        <x:v>0</x:v>
      </x:c>
      <x:c r="L1501" s="2" t="str">
        <x:v>Completed</x:v>
      </x:c>
    </x:row>
    <x:row r="1502" ht="21" customHeight="1">
      <x:c r="A1502" s="2" t="n">
        <x:v>1497</x:v>
      </x:c>
      <x:c r="B1502" s="2" t="str">
        <x:v>TXN-01497</x:v>
      </x:c>
      <x:c r="C1502" s="2" t="str">
        <x:v>2025-12-17</x:v>
      </x:c>
      <x:c r="D1502" s="2" t="str">
        <x:v>Lagos</x:v>
      </x:c>
      <x:c r="E1502" s="2" t="str">
        <x:v>Beauty</x:v>
      </x:c>
      <x:c r="F1502" s="2" t="str">
        <x:v>Body wash</x:v>
      </x:c>
      <x:c r="G1502" s="2" t="str">
        <x:v> in-store </x:v>
      </x:c>
      <x:c r="H1502" s="2" t="n">
        <x:v>2</x:v>
      </x:c>
      <x:c r="I1502" s="2" t="n">
        <x:v>4500</x:v>
      </x:c>
      <x:c r="J1502" s="2" t="n">
        <x:v>2300</x:v>
      </x:c>
      <x:c r="K1502" s="2" t="n">
        <x:v>0.05</x:v>
      </x:c>
      <x:c r="L1502" s="2" t="str">
        <x:v>Completed</x:v>
      </x:c>
    </x:row>
    <x:row r="1503" ht="21" customHeight="1">
      <x:c r="A1503" s="2" t="n">
        <x:v>1498</x:v>
      </x:c>
      <x:c r="B1503" s="2" t="str">
        <x:v>TXN-01498</x:v>
      </x:c>
      <x:c r="C1503" s="2" t="str">
        <x:v>2025-12-13</x:v>
      </x:c>
      <x:c r="D1503" s="2" t="str">
        <x:v>Lagos</x:v>
      </x:c>
      <x:c r="E1503" s="2" t="str">
        <x:v>Electronics</x:v>
      </x:c>
      <x:c r="F1503" s="2" t="str">
        <x:v>Power bank</x:v>
      </x:c>
      <x:c r="G1503" s="2" t="str">
        <x:v>Online</x:v>
      </x:c>
      <x:c r="H1503" s="2" t="n">
        <x:v>2</x:v>
      </x:c>
      <x:c r="I1503" s="2" t="n">
        <x:v>15000</x:v>
      </x:c>
      <x:c r="J1503" s="2" t="n">
        <x:v>9500</x:v>
      </x:c>
      <x:c r="K1503" s="2" t="n">
        <x:v>0.05</x:v>
      </x:c>
      <x:c r="L1503" s="2" t="str">
        <x:v>Completed</x:v>
      </x:c>
    </x:row>
    <x:row r="1504" ht="21" customHeight="1">
      <x:c r="A1504" s="2" t="n">
        <x:v>1499</x:v>
      </x:c>
      <x:c r="B1504" s="2" t="str">
        <x:v>TXN-01499</x:v>
      </x:c>
      <x:c r="C1504" s="2" t="str">
        <x:v>2025-12-04</x:v>
      </x:c>
      <x:c r="D1504" s="2" t="str">
        <x:v> kano </x:v>
      </x:c>
      <x:c r="E1504" s="2" t="str">
        <x:v>Beauty</x:v>
      </x:c>
      <x:c r="F1504" s="2" t="str">
        <x:v>Perfume</x:v>
      </x:c>
      <x:c r="G1504" s="2" t="str">
        <x:v>Online</x:v>
      </x:c>
      <x:c r="H1504" s="2" t="n">
        <x:v>2</x:v>
      </x:c>
      <x:c r="I1504" s="2" t="n">
        <x:v>17000</x:v>
      </x:c>
      <x:c r="J1504" s="2" t="n">
        <x:v>9000</x:v>
      </x:c>
      <x:c r="K1504" s="2" t="n">
        <x:v>0.1</x:v>
      </x:c>
      <x:c r="L1504" s="2" t="str">
        <x:v>Completed</x:v>
      </x:c>
    </x:row>
    <x:row r="1505" ht="21" customHeight="1">
      <x:c r="A1505" s="2" t="n">
        <x:v>1500</x:v>
      </x:c>
      <x:c r="B1505" s="2" t="str">
        <x:v>TXN-01500</x:v>
      </x:c>
      <x:c r="C1505" s="2" t="str">
        <x:v>2025-12-13</x:v>
      </x:c>
      <x:c r="D1505" s="2" t="str">
        <x:v>Lagos</x:v>
      </x:c>
      <x:c r="E1505" s="2" t="str">
        <x:v>Beauty</x:v>
      </x:c>
      <x:c r="F1505" s="2" t="str">
        <x:v>Moisturizer</x:v>
      </x:c>
      <x:c r="G1505" s="2" t="str">
        <x:v>Online</x:v>
      </x:c>
      <x:c r="H1505" s="2" t="n">
        <x:v>2</x:v>
      </x:c>
      <x:c r="I1505" s="2" t="n">
        <x:v>6500</x:v>
      </x:c>
      <x:c r="J1505" s="2" t="n">
        <x:v>3500</x:v>
      </x:c>
      <x:c r="K1505" s="2" t="n">
        <x:v>0</x:v>
      </x:c>
      <x:c r="L1505" s="2" t="str">
        <x:v>Completed</x:v>
      </x:c>
    </x:row>
    <x:row r="1506" ht="21" customHeight="1">
      <x:c r="A1506" s="2" t="n">
        <x:v>1501</x:v>
      </x:c>
      <x:c r="B1506" s="2" t="str">
        <x:v>TXN-00958</x:v>
      </x:c>
      <x:c r="C1506" s="2" t="str">
        <x:v>2025-09-20</x:v>
      </x:c>
      <x:c r="D1506" s="2" t="str">
        <x:v>Lagos</x:v>
      </x:c>
      <x:c r="E1506" s="2" t="str">
        <x:v>Fashion</x:v>
      </x:c>
      <x:c r="F1506" s="2" t="str">
        <x:v>T-shirt</x:v>
      </x:c>
      <x:c r="G1506" s="2" t="str">
        <x:v> online </x:v>
      </x:c>
      <x:c r="H1506" s="2" t="n">
        <x:v>2</x:v>
      </x:c>
      <x:c r="I1506" s="2" t="n">
        <x:v>9000</x:v>
      </x:c>
      <x:c r="J1506" s="2" t="n">
        <x:v>5000</x:v>
      </x:c>
      <x:c r="K1506" s="2" t="n">
        <x:v>0</x:v>
      </x:c>
      <x:c r="L1506" s="2" t="str">
        <x:v>Completed</x:v>
      </x:c>
    </x:row>
    <x:row r="1507" ht="21" customHeight="1">
      <x:c r="A1507" s="2" t="n">
        <x:v>1502</x:v>
      </x:c>
      <x:c r="B1507" s="2" t="str">
        <x:v>TXN-01052</x:v>
      </x:c>
      <x:c r="C1507" s="2" t="str">
        <x:v>2025-10-07</x:v>
      </x:c>
      <x:c r="D1507" s="2" t="str">
        <x:v>Lagos</x:v>
      </x:c>
      <x:c r="E1507" s="2" t="str">
        <x:v>Beauty</x:v>
      </x:c>
      <x:c r="F1507" s="2" t="str">
        <x:v>Moisturizer</x:v>
      </x:c>
      <x:c r="G1507" s="2" t="str">
        <x:v>In-store</x:v>
      </x:c>
      <x:c r="H1507" s="2" t="n">
        <x:v>2</x:v>
      </x:c>
      <x:c r="I1507" s="2" t="n">
        <x:v>6500</x:v>
      </x:c>
      <x:c r="J1507" s="2" t="n">
        <x:v>3500</x:v>
      </x:c>
      <x:c r="K1507" s="2" t="n">
        <x:v>0.1</x:v>
      </x:c>
      <x:c r="L1507" s="2" t="str">
        <x:v>Completed</x:v>
      </x:c>
    </x:row>
    <x:row r="1508" ht="21" customHeight="1">
      <x:c r="A1508" s="2" t="n">
        <x:v>1503</x:v>
      </x:c>
      <x:c r="B1508" s="2" t="str">
        <x:v>TXN-00949</x:v>
      </x:c>
      <x:c r="C1508" s="2" t="str">
        <x:v>2025-09-22</x:v>
      </x:c>
      <x:c r="D1508" s="2" t="str">
        <x:v>Port Harcourt</x:v>
      </x:c>
      <x:c r="E1508" s="2" t="str">
        <x:v>Fashion</x:v>
      </x:c>
      <x:c r="F1508" s="2" t="str">
        <x:v>Handbag</x:v>
      </x:c>
      <x:c r="G1508" s="2" t="str">
        <x:v>In-store</x:v>
      </x:c>
      <x:c r="H1508" s="2" t="n">
        <x:v>1</x:v>
      </x:c>
      <x:c r="I1508" s="2" t="n">
        <x:v>22000</x:v>
      </x:c>
      <x:c r="J1508" s="2" t="n">
        <x:v>13500</x:v>
      </x:c>
      <x:c r="K1508" s="2" t="n">
        <x:v>0</x:v>
      </x:c>
      <x:c r="L1508" s="2" t="str">
        <x:v>Completed</x:v>
      </x:c>
    </x:row>
    <x:row r="1509" ht="21" customHeight="1">
      <x:c r="A1509" s="2" t="n">
        <x:v>1504</x:v>
      </x:c>
      <x:c r="B1509" s="2" t="str">
        <x:v>TXN-00423</x:v>
      </x:c>
      <x:c r="C1509" s="2" t="str">
        <x:v>2025-05-30</x:v>
      </x:c>
      <x:c r="D1509" s="2" t="str">
        <x:v>Lagos</x:v>
      </x:c>
      <x:c r="E1509" s="2" t="str">
        <x:v>Beauty</x:v>
      </x:c>
      <x:c r="F1509" s="2" t="str">
        <x:v>Perfume</x:v>
      </x:c>
      <x:c r="G1509" s="2" t="str">
        <x:v>In-store</x:v>
      </x:c>
      <x:c r="H1509" s="2" t="n">
        <x:v>2</x:v>
      </x:c>
      <x:c r="I1509" s="2" t="n">
        <x:v>17000</x:v>
      </x:c>
      <x:c r="J1509" s="2" t="n">
        <x:v>9000</x:v>
      </x:c>
      <x:c r="K1509" s="2" t="n">
        <x:v>0</x:v>
      </x:c>
      <x:c r="L1509" s="2" t="str">
        <x:v>Completed</x:v>
      </x:c>
    </x:row>
    <x:row r="1510" ht="21" customHeight="1">
      <x:c r="A1510" s="2" t="n">
        <x:v>1505</x:v>
      </x:c>
      <x:c r="B1510" s="2" t="str">
        <x:v>TXN-00928</x:v>
      </x:c>
      <x:c r="C1510" s="2" t="str">
        <x:v>2025-09-28</x:v>
      </x:c>
      <x:c r="D1510" s="2" t="str">
        <x:v>Abuja</x:v>
      </x:c>
      <x:c r="E1510" s="2" t="str">
        <x:v>Fashion</x:v>
      </x:c>
      <x:c r="F1510" s="2" t="str">
        <x:v>Handbag</x:v>
      </x:c>
      <x:c r="G1510" s="2" t="str">
        <x:v>Online</x:v>
      </x:c>
      <x:c r="H1510" s="2" t="n">
        <x:v>1</x:v>
      </x:c>
      <x:c r="I1510" s="2" t="n">
        <x:v>22000</x:v>
      </x:c>
      <x:c r="J1510" s="2" t="n">
        <x:v>13500</x:v>
      </x:c>
      <x:c r="K1510" s="2" t="n">
        <x:v>0.1</x:v>
      </x:c>
      <x:c r="L1510" s="2" t="str">
        <x:v> COMPLETED </x:v>
      </x:c>
    </x:row>
    <x:row r="1511" ht="21" customHeight="1">
      <x:c r="A1511" s="2" t="n">
        <x:v>1506</x:v>
      </x:c>
      <x:c r="B1511" s="2" t="str">
        <x:v>TXN-00757</x:v>
      </x:c>
      <x:c r="C1511" s="2" t="str">
        <x:v>2025-07-20</x:v>
      </x:c>
      <x:c r="D1511" s="2" t="str">
        <x:v> abuja </x:v>
      </x:c>
      <x:c r="E1511" s="2" t="str">
        <x:v>Home</x:v>
      </x:c>
      <x:c r="F1511" s="2" t="str">
        <x:v>Cookware set</x:v>
      </x:c>
      <x:c r="G1511" s="2" t="str">
        <x:v>In-store</x:v>
      </x:c>
      <x:c r="H1511" s="2" t="n">
        <x:v>1</x:v>
      </x:c>
      <x:c r="I1511" s="2" t="n">
        <x:v>35000</x:v>
      </x:c>
      <x:c r="J1511" s="2" t="n">
        <x:v>22500</x:v>
      </x:c>
      <x:c r="K1511" s="2" t="n">
        <x:v>0</x:v>
      </x:c>
      <x:c r="L1511" s="2" t="str">
        <x:v> COMPLETED </x:v>
      </x:c>
    </x:row>
    <x:row r="1512" ht="21" customHeight="1">
      <x:c r="A1512" s="2" t="n">
        <x:v>1507</x:v>
      </x:c>
      <x:c r="B1512" s="2" t="str">
        <x:v>TXN-00171</x:v>
      </x:c>
      <x:c r="C1512" s="2" t="str">
        <x:v>2025-02-16</x:v>
      </x:c>
      <x:c r="D1512" s="2" t="str">
        <x:v>Lagos</x:v>
      </x:c>
      <x:c r="E1512" s="2" t="str">
        <x:v>Home</x:v>
      </x:c>
      <x:c r="F1512" s="2" t="str">
        <x:v>Desk lamp</x:v>
      </x:c>
      <x:c r="G1512" s="2" t="str">
        <x:v>Online</x:v>
      </x:c>
      <x:c r="H1512" s="2" t="n">
        <x:v>1</x:v>
      </x:c>
      <x:c r="I1512" s="2" t="n">
        <x:v>12000</x:v>
      </x:c>
      <x:c r="J1512" s="2" t="n">
        <x:v>7200</x:v>
      </x:c>
      <x:c r="K1512" s="2" t="n">
        <x:v>0</x:v>
      </x:c>
      <x:c r="L1512" s="2" t="str">
        <x:v>Completed</x:v>
      </x:c>
    </x:row>
    <x:row r="1513" ht="21" customHeight="1">
      <x:c r="A1513" s="2" t="n">
        <x:v>1508</x:v>
      </x:c>
      <x:c r="B1513" s="2" t="str">
        <x:v>TXN-01003</x:v>
      </x:c>
      <x:c r="C1513" s="2" t="str">
        <x:v>2025-09-25</x:v>
      </x:c>
      <x:c r="D1513" s="2" t="str">
        <x:v>Lagos</x:v>
      </x:c>
      <x:c r="E1513" s="2" t="str">
        <x:v>Electronics</x:v>
      </x:c>
      <x:c r="F1513" s="2" t="str">
        <x:v>Bluetooth speaker</x:v>
      </x:c>
      <x:c r="G1513" s="2" t="str">
        <x:v>Online</x:v>
      </x:c>
      <x:c r="H1513" s="2" t="n">
        <x:v>1</x:v>
      </x:c>
      <x:c r="I1513" s="2" t="n">
        <x:v>26000</x:v>
      </x:c>
      <x:c r="J1513" s="2" t="n">
        <x:v>17000</x:v>
      </x:c>
      <x:c r="K1513" s="2" t="n">
        <x:v>0.1</x:v>
      </x:c>
      <x:c r="L1513" s="2" t="str">
        <x:v>Completed</x:v>
      </x:c>
    </x:row>
    <x:row r="1514" ht="21" customHeight="1">
      <x:c r="A1514" s="2" t="n">
        <x:v>1509</x:v>
      </x:c>
      <x:c r="B1514" s="2" t="str">
        <x:v>TXN-00464</x:v>
      </x:c>
      <x:c r="C1514" s="2" t="str">
        <x:v>2025-05-18</x:v>
      </x:c>
      <x:c r="D1514" s="2" t="str">
        <x:v>Lagos</x:v>
      </x:c>
      <x:c r="E1514" s="2" t="str">
        <x:v>Electronics</x:v>
      </x:c>
      <x:c r="F1514" s="2" t="str">
        <x:v>Power bank</x:v>
      </x:c>
      <x:c r="G1514" s="2" t="str">
        <x:v>Online</x:v>
      </x:c>
      <x:c r="H1514" s="2" t="n">
        <x:v>1</x:v>
      </x:c>
      <x:c r="I1514" s="2" t="n">
        <x:v>15000</x:v>
      </x:c>
      <x:c r="J1514" s="2" t="n">
        <x:v>9500</x:v>
      </x:c>
      <x:c r="K1514" s="2" t="n">
        <x:v>0.05</x:v>
      </x:c>
      <x:c r="L1514" s="2" t="str">
        <x:v>Returned</x:v>
      </x:c>
    </x:row>
    <x:row r="1515" ht="21" customHeight="1">
      <x:c r="A1515" s="2" t="n">
        <x:v>1510</x:v>
      </x:c>
      <x:c r="B1515" s="2" t="str">
        <x:v>TXN-00269</x:v>
      </x:c>
      <x:c r="C1515" s="2" t="str">
        <x:v>2025-03-19</x:v>
      </x:c>
      <x:c r="D1515" s="2" t="str">
        <x:v>Port Harcourt</x:v>
      </x:c>
      <x:c r="E1515" s="2" t="str">
        <x:v>Fashion</x:v>
      </x:c>
      <x:c r="F1515" s="2" t="str">
        <x:v>Handbag</x:v>
      </x:c>
      <x:c r="G1515" s="2" t="str">
        <x:v>In-store</x:v>
      </x:c>
      <x:c r="H1515" s="2" t="n">
        <x:v>1</x:v>
      </x:c>
      <x:c r="I1515" s="2" t="n">
        <x:v>22000</x:v>
      </x:c>
      <x:c r="J1515" s="2" t="n">
        <x:v>13500</x:v>
      </x:c>
      <x:c r="K1515" s="2" t="n">
        <x:v>0.05</x:v>
      </x:c>
      <x:c r="L1515" s="2" t="str">
        <x:v>Completed</x:v>
      </x:c>
    </x:row>
    <x:row r="1516" ht="21" customHeight="1">
      <x:c r="A1516" s="2" t="n">
        <x:v>1511</x:v>
      </x:c>
      <x:c r="B1516" s="2" t="str">
        <x:v>TXN-01408</x:v>
      </x:c>
      <x:c r="C1516" s="2" t="str">
        <x:v>2025-12-25</x:v>
      </x:c>
      <x:c r="D1516" s="2" t="str">
        <x:v> lagos </x:v>
      </x:c>
      <x:c r="E1516" s="2" t="str">
        <x:v>Beauty</x:v>
      </x:c>
      <x:c r="F1516" s="2" t="str">
        <x:v>Perfume</x:v>
      </x:c>
      <x:c r="G1516" s="2" t="str">
        <x:v>Online</x:v>
      </x:c>
      <x:c r="H1516" s="2" t="n">
        <x:v>1</x:v>
      </x:c>
      <x:c r="I1516" s="2" t="n">
        <x:v>17000</x:v>
      </x:c>
      <x:c r="J1516" s="2" t="n">
        <x:v>9000</x:v>
      </x:c>
      <x:c r="K1516" s="2" t="n">
        <x:v>0.05</x:v>
      </x:c>
      <x:c r="L1516" s="2" t="str">
        <x:v>Completed</x:v>
      </x:c>
    </x:row>
    <x:row r="1517" ht="21" customHeight="1">
      <x:c r="A1517" s="2" t="n">
        <x:v>1512</x:v>
      </x:c>
      <x:c r="B1517" s="2" t="str">
        <x:v>TXN-00289</x:v>
      </x:c>
      <x:c r="C1517" s="2" t="str">
        <x:v>2025-03-16</x:v>
      </x:c>
      <x:c r="D1517" s="2" t="str">
        <x:v>Lagos</x:v>
      </x:c>
      <x:c r="E1517" s="2" t="str">
        <x:v>Beauty</x:v>
      </x:c>
      <x:c r="F1517" s="2" t="str">
        <x:v>Perfume</x:v>
      </x:c>
      <x:c r="G1517" s="2" t="str">
        <x:v>In-store</x:v>
      </x:c>
      <x:c r="H1517" s="2" t="n">
        <x:v>1</x:v>
      </x:c>
      <x:c r="I1517" s="2" t="n">
        <x:v>17000</x:v>
      </x:c>
      <x:c r="J1517" s="2" t="n">
        <x:v>9000</x:v>
      </x:c>
      <x:c r="K1517" s="2" t="n">
        <x:v>0</x:v>
      </x:c>
      <x:c r="L1517" s="2" t="str">
        <x:v> COMPLETED </x:v>
      </x:c>
    </x:row>
    <x:row r="1518" ht="21" customHeight="1">
      <x:c r="A1518" s="2" t="n">
        <x:v>1513</x:v>
      </x:c>
      <x:c r="B1518" s="2" t="str">
        <x:v>TXN-00623</x:v>
      </x:c>
      <x:c r="C1518" s="2" t="str">
        <x:v>2025-06-30</x:v>
      </x:c>
      <x:c r="D1518" s="2" t="str">
        <x:v>Port Harcourt</x:v>
      </x:c>
      <x:c r="E1518" s="2" t="str">
        <x:v>Fashion</x:v>
      </x:c>
      <x:c r="F1518" s="2" t="str">
        <x:v>T-shirt</x:v>
      </x:c>
      <x:c r="G1518" s="2" t="str">
        <x:v>Online</x:v>
      </x:c>
      <x:c r="H1518" s="2" t="n">
        <x:v>2</x:v>
      </x:c>
      <x:c r="I1518" s="2" t="n">
        <x:v>9000</x:v>
      </x:c>
      <x:c r="J1518" s="2" t="n">
        <x:v>5000</x:v>
      </x:c>
      <x:c r="K1518" s="2" t="n">
        <x:v>0.15</x:v>
      </x:c>
      <x:c r="L1518" s="2" t="str">
        <x:v>Completed</x:v>
      </x:c>
    </x:row>
    <x:row r="1519" ht="21" customHeight="1">
      <x:c r="A1519" s="2" t="n">
        <x:v>1514</x:v>
      </x:c>
      <x:c r="B1519" s="2" t="str">
        <x:v>TXN-01001</x:v>
      </x:c>
      <x:c r="C1519" s="2" t="str">
        <x:v>2025-09-04</x:v>
      </x:c>
      <x:c r="D1519" s="2" t="str">
        <x:v>Kano</x:v>
      </x:c>
      <x:c r="E1519" s="2" t="str">
        <x:v>Fashion</x:v>
      </x:c>
      <x:c r="F1519" s="2" t="str">
        <x:v>Handbag</x:v>
      </x:c>
      <x:c r="G1519" s="2" t="str">
        <x:v>Online</x:v>
      </x:c>
      <x:c r="H1519" s="2" t="n">
        <x:v>3</x:v>
      </x:c>
      <x:c r="I1519" s="2" t="n">
        <x:v>22000</x:v>
      </x:c>
      <x:c r="J1519" s="2" t="n">
        <x:v>13500</x:v>
      </x:c>
      <x:c r="K1519" s="2" t="n">
        <x:v>0.1</x:v>
      </x:c>
      <x:c r="L1519" s="2" t="str">
        <x:v>Completed</x:v>
      </x:c>
    </x:row>
    <x:row r="1520" ht="21" customHeight="1">
      <x:c r="A1520" s="2" t="n">
        <x:v>1515</x:v>
      </x:c>
      <x:c r="B1520" s="2" t="str">
        <x:v>TXN-00824</x:v>
      </x:c>
      <x:c r="C1520" s="2" t="str">
        <x:v>2025-08-06</x:v>
      </x:c>
      <x:c r="D1520" s="2" t="str">
        <x:v>Lagos</x:v>
      </x:c>
      <x:c r="E1520" s="2" t="str">
        <x:v>Home</x:v>
      </x:c>
      <x:c r="F1520" s="2" t="str">
        <x:v>Bedsheet</x:v>
      </x:c>
      <x:c r="G1520" s="2" t="str">
        <x:v>Online</x:v>
      </x:c>
      <x:c r="H1520" s="2" t="n">
        <x:v>1</x:v>
      </x:c>
      <x:c r="I1520" s="2" t="n">
        <x:v>14000</x:v>
      </x:c>
      <x:c r="J1520" s="2" t="n">
        <x:v>8500</x:v>
      </x:c>
      <x:c r="K1520" s="2" t="n">
        <x:v>0.05</x:v>
      </x:c>
      <x:c r="L1520" s="2" t="str">
        <x:v>Completed</x:v>
      </x:c>
    </x:row>
    <x:row r="1521" ht="21" customHeight="1">
      <x:c r="A1521" s="2" t="n">
        <x:v>1516</x:v>
      </x:c>
      <x:c r="B1521" s="2" t="str">
        <x:v>TXN-00158</x:v>
      </x:c>
      <x:c r="C1521" s="2" t="str">
        <x:v>2025-02-07</x:v>
      </x:c>
      <x:c r="D1521" s="2" t="str">
        <x:v>Abuja</x:v>
      </x:c>
      <x:c r="E1521" s="2" t="str">
        <x:v>Electronics</x:v>
      </x:c>
      <x:c r="F1521" s="2" t="str">
        <x:v>Headphones</x:v>
      </x:c>
      <x:c r="G1521" s="2" t="str">
        <x:v>In-store</x:v>
      </x:c>
      <x:c r="H1521" s="2" t="n">
        <x:v>3</x:v>
      </x:c>
      <x:c r="I1521" s="2" t="n">
        <x:v>18000</x:v>
      </x:c>
      <x:c r="J1521" s="2" t="n">
        <x:v>10500</x:v>
      </x:c>
      <x:c r="K1521" s="2" t="n">
        <x:v>0</x:v>
      </x:c>
      <x:c r="L1521" s="2" t="str">
        <x:v>Completed</x:v>
      </x:c>
    </x:row>
    <x:row r="1522" ht="21" customHeight="1">
      <x:c r="A1522" s="2" t="n">
        <x:v>1517</x:v>
      </x:c>
      <x:c r="B1522" s="2" t="str">
        <x:v>TXN-00561</x:v>
      </x:c>
      <x:c r="C1522" s="2" t="str">
        <x:v>2025-06-21</x:v>
      </x:c>
      <x:c r="D1522" s="2" t="str">
        <x:v> lagos </x:v>
      </x:c>
      <x:c r="E1522" s="2" t="str">
        <x:v>Home</x:v>
      </x:c>
      <x:c r="F1522" s="2" t="str">
        <x:v>Desk lamp</x:v>
      </x:c>
      <x:c r="G1522" s="2" t="str">
        <x:v>Online</x:v>
      </x:c>
      <x:c r="H1522" s="2" t="n">
        <x:v>1</x:v>
      </x:c>
      <x:c r="I1522" s="2" t="n">
        <x:v>12000</x:v>
      </x:c>
      <x:c r="J1522" s="2" t="n">
        <x:v>7200</x:v>
      </x:c>
      <x:c r="K1522" s="2" t="n">
        <x:v>0</x:v>
      </x:c>
      <x:c r="L1522" s="2" t="str">
        <x:v>Completed</x:v>
      </x:c>
    </x:row>
    <x:row r="1523" ht="21" customHeight="1">
      <x:c r="A1523" s="2" t="n">
        <x:v>1518</x:v>
      </x:c>
      <x:c r="B1523" s="2" t="str">
        <x:v>TXN-00772</x:v>
      </x:c>
      <x:c r="C1523" s="2" t="str">
        <x:v>2025-07-28</x:v>
      </x:c>
      <x:c r="D1523" s="2" t="str">
        <x:v>Abuja</x:v>
      </x:c>
      <x:c r="E1523" s="2" t="str">
        <x:v>Fashion</x:v>
      </x:c>
      <x:c r="F1523" s="2" t="str">
        <x:v>T-shirt</x:v>
      </x:c>
      <x:c r="G1523" s="2" t="str">
        <x:v>Online</x:v>
      </x:c>
      <x:c r="H1523" s="2" t="n">
        <x:v>1</x:v>
      </x:c>
      <x:c r="I1523" s="2" t="n">
        <x:v>9000</x:v>
      </x:c>
      <x:c r="J1523" s="2" t="n">
        <x:v>5000</x:v>
      </x:c>
      <x:c r="K1523" s="2" t="n">
        <x:v>0</x:v>
      </x:c>
      <x:c r="L1523" s="2" t="str">
        <x:v>Completed</x:v>
      </x:c>
    </x:row>
    <x:row r="1524" ht="21" customHeight="1">
      <x:c r="A1524" s="2" t="n">
        <x:v>1519</x:v>
      </x:c>
      <x:c r="B1524" s="2" t="str">
        <x:v>TXN-00321</x:v>
      </x:c>
      <x:c r="C1524" s="2" t="str">
        <x:v>2025-04-02</x:v>
      </x:c>
      <x:c r="D1524" s="2" t="str">
        <x:v>Lagos</x:v>
      </x:c>
      <x:c r="E1524" s="2" t="str">
        <x:v>Beauty</x:v>
      </x:c>
      <x:c r="F1524" s="2" t="str">
        <x:v>Moisturizer</x:v>
      </x:c>
      <x:c r="G1524" s="2" t="str">
        <x:v>Online</x:v>
      </x:c>
      <x:c r="H1524" s="2" t="n">
        <x:v>1</x:v>
      </x:c>
      <x:c r="I1524" s="2" t="n">
        <x:v>6500</x:v>
      </x:c>
      <x:c r="J1524" s="2" t="n">
        <x:v>3500</x:v>
      </x:c>
      <x:c r="K1524" s="2" t="n">
        <x:v>0</x:v>
      </x:c>
      <x:c r="L1524" s="2" t="str">
        <x:v>Completed</x:v>
      </x:c>
    </x:row>
    <x:row r="1525" ht="21" customHeight="1">
      <x:c r="A1525" s="2" t="n">
        <x:v>1520</x:v>
      </x:c>
      <x:c r="B1525" s="2" t="str">
        <x:v>TXN-00663</x:v>
      </x:c>
      <x:c r="C1525" s="2" t="str">
        <x:v>2025-07-06</x:v>
      </x:c>
      <x:c r="D1525" s="2" t="str">
        <x:v>Abuja</x:v>
      </x:c>
      <x:c r="E1525" s="2" t="str">
        <x:v>Electronics</x:v>
      </x:c>
      <x:c r="F1525" s="2" t="str">
        <x:v>Power bank</x:v>
      </x:c>
      <x:c r="G1525" s="2" t="str">
        <x:v>In-store</x:v>
      </x:c>
      <x:c r="H1525" s="2" t="n">
        <x:v>2</x:v>
      </x:c>
      <x:c r="I1525" s="2" t="n">
        <x:v>15000</x:v>
      </x:c>
      <x:c r="J1525" s="2" t="n">
        <x:v>9500</x:v>
      </x:c>
      <x:c r="K1525" s="2" t="n">
        <x:v>0.05</x:v>
      </x:c>
      <x:c r="L1525" s="2" t="str">
        <x:v>Completed</x:v>
      </x:c>
    </x:row>
    <x:row r="1526" ht="21" customHeight="1">
      <x:c r="A1526" s="2" t="n">
        <x:v>1521</x:v>
      </x:c>
      <x:c r="B1526" s="2" t="str">
        <x:v>TXN-01017</x:v>
      </x:c>
      <x:c r="C1526" s="2" t="str">
        <x:v>2025-09-13</x:v>
      </x:c>
      <x:c r="D1526" s="2" t="str">
        <x:v>Port Harcourt</x:v>
      </x:c>
      <x:c r="E1526" s="2" t="str">
        <x:v>Beauty</x:v>
      </x:c>
      <x:c r="F1526" s="2" t="str">
        <x:v>Perfume</x:v>
      </x:c>
      <x:c r="G1526" s="2" t="str">
        <x:v>Online</x:v>
      </x:c>
      <x:c r="H1526" s="2" t="n">
        <x:v>1</x:v>
      </x:c>
      <x:c r="I1526" s="2" t="n">
        <x:v>17000</x:v>
      </x:c>
      <x:c r="J1526" s="2" t="n">
        <x:v>9000</x:v>
      </x:c>
      <x:c r="K1526" s="2" t="n">
        <x:v>0.1</x:v>
      </x:c>
      <x:c r="L1526" s="2" t="str">
        <x:v>Completed</x:v>
      </x:c>
    </x:row>
    <x:row r="1527" ht="21" customHeight="1">
      <x:c r="A1527" s="2" t="n">
        <x:v>1522</x:v>
      </x:c>
      <x:c r="B1527" s="2" t="str">
        <x:v>TXN-00508</x:v>
      </x:c>
      <x:c r="C1527" s="2" t="str">
        <x:v>2025-05-23</x:v>
      </x:c>
      <x:c r="D1527" s="2" t="str">
        <x:v>Lagos</x:v>
      </x:c>
      <x:c r="E1527" s="2" t="str">
        <x:v>Fashion</x:v>
      </x:c>
      <x:c r="F1527" s="2" t="str">
        <x:v>T-shirt</x:v>
      </x:c>
      <x:c r="G1527" s="2" t="str">
        <x:v>In-store</x:v>
      </x:c>
      <x:c r="H1527" s="2" t="n">
        <x:v>1</x:v>
      </x:c>
      <x:c r="I1527" s="2" t="n">
        <x:v>9000</x:v>
      </x:c>
      <x:c r="J1527" s="2" t="n">
        <x:v>5000</x:v>
      </x:c>
      <x:c r="K1527" s="2" t="n">
        <x:v>0</x:v>
      </x:c>
      <x:c r="L1527" s="2" t="str">
        <x:v>Completed</x:v>
      </x:c>
    </x:row>
    <x:row r="1528" ht="21" customHeight="1">
      <x:c r="A1528" s="2" t="n">
        <x:v>1523</x:v>
      </x:c>
      <x:c r="B1528" s="2" t="str">
        <x:v>TXN-00942</x:v>
      </x:c>
      <x:c r="C1528" s="2" t="str">
        <x:v>2025-09-19</x:v>
      </x:c>
      <x:c r="D1528" s="2" t="str">
        <x:v>Kano</x:v>
      </x:c>
      <x:c r="E1528" s="2" t="str">
        <x:v>Electronics</x:v>
      </x:c>
      <x:c r="F1528" s="2" t="str">
        <x:v>Headphones</x:v>
      </x:c>
      <x:c r="G1528" s="2" t="str">
        <x:v>Online</x:v>
      </x:c>
      <x:c r="H1528" s="2" t="n">
        <x:v>4</x:v>
      </x:c>
      <x:c r="I1528" s="2" t="n">
        <x:v>18000</x:v>
      </x:c>
      <x:c r="J1528" s="2" t="n">
        <x:v>10500</x:v>
      </x:c>
      <x:c r="K1528" s="2" t="n">
        <x:v>0</x:v>
      </x:c>
      <x:c r="L1528" s="2" t="str">
        <x:v>Completed</x:v>
      </x:c>
    </x:row>
    <x:row r="1529" ht="21" customHeight="1">
      <x:c r="A1529" s="2" t="n">
        <x:v>1524</x:v>
      </x:c>
      <x:c r="B1529" s="2" t="str">
        <x:v>TXN-01353</x:v>
      </x:c>
      <x:c r="C1529" s="2" t="str">
        <x:v>2025-12-16</x:v>
      </x:c>
      <x:c r="D1529" s="2" t="str">
        <x:v>Port Harcourt</x:v>
      </x:c>
      <x:c r="E1529" s="2" t="str">
        <x:v>Fashion</x:v>
      </x:c>
      <x:c r="F1529" s="2" t="str">
        <x:v>Sneakers</x:v>
      </x:c>
      <x:c r="G1529" s="2" t="str">
        <x:v>In-store</x:v>
      </x:c>
      <x:c r="H1529" s="2" t="n">
        <x:v>1</x:v>
      </x:c>
      <x:c r="I1529" s="2" t="n">
        <x:v>28000</x:v>
      </x:c>
      <x:c r="J1529" s="2" t="n">
        <x:v>17500</x:v>
      </x:c>
      <x:c r="K1529" s="2" t="n">
        <x:v>0</x:v>
      </x:c>
      <x:c r="L1529" s="2" t="str">
        <x:v>Completed</x:v>
      </x:c>
    </x:row>
    <x:row r="1530" ht="21" customHeight="1">
      <x:c r="A1530" s="2" t="n">
        <x:v>1525</x:v>
      </x:c>
      <x:c r="B1530" s="2" t="str">
        <x:v>BAD-001</x:v>
      </x:c>
      <x:c r="C1530" s="2" t="str">
        <x:v>2025-01-03</x:v>
      </x:c>
      <x:c r="D1530" s="2" t="str">
        <x:v> abuja </x:v>
      </x:c>
      <x:c r="E1530" s="2" t="str">
        <x:v>Fashion</x:v>
      </x:c>
      <x:c r="F1530" s="2" t="str">
        <x:v>Handbag</x:v>
      </x:c>
      <x:c r="G1530" s="2" t="str">
        <x:v> online </x:v>
      </x:c>
      <x:c r="H1530" s="2" t="n">
        <x:v>-1</x:v>
      </x:c>
      <x:c r="I1530" s="2" t="n">
        <x:v>22000</x:v>
      </x:c>
      <x:c r="J1530" s="2" t="n">
        <x:v>13500</x:v>
      </x:c>
      <x:c r="K1530" s="2" t="n">
        <x:v>0</x:v>
      </x:c>
      <x:c r="L1530" s="2" t="str">
        <x:v> COMPLETED </x:v>
      </x:c>
    </x:row>
    <x:row r="1531" ht="21" customHeight="1">
      <x:c r="A1531" s="2" t="n">
        <x:v>1526</x:v>
      </x:c>
      <x:c r="B1531" s="2" t="str">
        <x:v>BAD-002</x:v>
      </x:c>
      <x:c r="C1531" s="2" t="str">
        <x:v>2025-01-04</x:v>
      </x:c>
      <x:c r="D1531" s="2" t="str">
        <x:v>Abuja</x:v>
      </x:c>
      <x:c r="E1531" s="2" t="str">
        <x:v>Fashion</x:v>
      </x:c>
      <x:c r="F1531" s="2" t="str">
        <x:v>T-shirt</x:v>
      </x:c>
      <x:c r="G1531" s="2" t="str">
        <x:v>Online</x:v>
      </x:c>
      <x:c r="H1531" s="2" t="n">
        <x:v>-1</x:v>
      </x:c>
      <x:c r="I1531" s="2" t="n">
        <x:v>9000</x:v>
      </x:c>
      <x:c r="J1531" s="2" t="n">
        <x:v>5000</x:v>
      </x:c>
      <x:c r="K1531" s="2" t="n">
        <x:v>0.05</x:v>
      </x:c>
      <x:c r="L1531" s="2" t="str">
        <x:v>Completed</x:v>
      </x:c>
    </x:row>
    <x:row r="1532" ht="21" customHeight="1">
      <x:c r="A1532" s="2" t="n">
        <x:v>1527</x:v>
      </x:c>
      <x:c r="B1532" s="2" t="str">
        <x:v>BAD-003</x:v>
      </x:c>
      <x:c r="C1532" s="2" t="str">
        <x:v>2025-01-29</x:v>
      </x:c>
      <x:c r="D1532" s="2" t="str">
        <x:v>Lagos</x:v>
      </x:c>
      <x:c r="E1532" s="2" t="str">
        <x:v>Home</x:v>
      </x:c>
      <x:c r="F1532" s="2" t="str">
        <x:v>Cookware set</x:v>
      </x:c>
      <x:c r="G1532" s="2" t="str">
        <x:v>In-store</x:v>
      </x:c>
      <x:c r="H1532" s="2" t="n">
        <x:v>-1</x:v>
      </x:c>
      <x:c r="I1532" s="2" t="n">
        <x:v>35000</x:v>
      </x:c>
      <x:c r="J1532" s="2" t="n">
        <x:v>22500</x:v>
      </x:c>
      <x:c r="K1532" s="2" t="n">
        <x:v>0.1</x:v>
      </x:c>
      <x:c r="L1532" s="2" t="str">
        <x:v>Completed</x:v>
      </x:c>
    </x:row>
    <x:row r="1533" ht="21" customHeight="1">
      <x:c r="A1533" s="2" t="n">
        <x:v>1528</x:v>
      </x:c>
      <x:c r="B1533" s="2" t="str">
        <x:v>BAD-004</x:v>
      </x:c>
      <x:c r="C1533" s="2" t="str">
        <x:v>2025-01-09</x:v>
      </x:c>
      <x:c r="D1533" s="2" t="str">
        <x:v>Abuja</x:v>
      </x:c>
      <x:c r="E1533" s="2" t="str">
        <x:v>Electronics</x:v>
      </x:c>
      <x:c r="F1533" s="2" t="str">
        <x:v>Power bank</x:v>
      </x:c>
      <x:c r="G1533" s="2" t="str">
        <x:v>Online</x:v>
      </x:c>
      <x:c r="H1533" s="2" t="n">
        <x:v>-1</x:v>
      </x:c>
      <x:c r="I1533" s="2" t="n">
        <x:v>15000</x:v>
      </x:c>
      <x:c r="J1533" s="2" t="n">
        <x:v>9500</x:v>
      </x:c>
      <x:c r="K1533" s="2" t="n">
        <x:v>0</x:v>
      </x:c>
      <x:c r="L1533" s="2" t="str">
        <x:v>Completed</x:v>
      </x:c>
    </x:row>
    <x:row r="1534" ht="21" customHeight="1">
      <x:c r="A1534" s="2" t="n">
        <x:v>1529</x:v>
      </x:c>
      <x:c r="B1534" s="2" t="str">
        <x:v>BAD-005</x:v>
      </x:c>
      <x:c r="C1534" s="2" t="str">
        <x:v>2025-01-21</x:v>
      </x:c>
      <x:c r="D1534" s="2" t="str">
        <x:v>Port Harcourt</x:v>
      </x:c>
      <x:c r="E1534" s="2" t="str">
        <x:v>Home</x:v>
      </x:c>
      <x:c r="F1534" s="2" t="str">
        <x:v>Bedsheet</x:v>
      </x:c>
      <x:c r="G1534" s="2" t="str">
        <x:v>Online</x:v>
      </x:c>
      <x:c r="H1534" s="2" t="n">
        <x:v>-1</x:v>
      </x:c>
      <x:c r="I1534" s="2" t="n">
        <x:v>14000</x:v>
      </x:c>
      <x:c r="J1534" s="2" t="n">
        <x:v>8500</x:v>
      </x:c>
      <x:c r="K1534" s="2" t="n">
        <x:v>0</x:v>
      </x:c>
      <x:c r="L1534" s="2" t="str">
        <x:v>Completed</x:v>
      </x:c>
    </x:row>
    <x:row r="1535" ht="21" customHeight="1">
      <x:c r="A1535" s="2" t="n">
        <x:v>1530</x:v>
      </x:c>
      <x:c r="B1535" s="2" t="str">
        <x:v>BAD-006</x:v>
      </x:c>
      <x:c r="C1535" s="2" t="str">
        <x:v>2025-01-16</x:v>
      </x:c>
      <x:c r="D1535" s="2" t="str">
        <x:v>Kano</x:v>
      </x:c>
      <x:c r="E1535" s="2" t="str">
        <x:v>Fashion</x:v>
      </x:c>
      <x:c r="F1535" s="2" t="str">
        <x:v>Handbag</x:v>
      </x:c>
      <x:c r="G1535" s="2" t="str">
        <x:v>Online</x:v>
      </x:c>
      <x:c r="H1535" s="2" t="n">
        <x:v>-1</x:v>
      </x:c>
      <x:c r="I1535" s="2" t="n">
        <x:v>22000</x:v>
      </x:c>
      <x:c r="J1535" s="2" t="n">
        <x:v>13500</x:v>
      </x:c>
      <x:c r="K1535" s="2" t="n">
        <x:v>0.05</x:v>
      </x:c>
      <x:c r="L1535" s="2" t="str">
        <x:v>Completed</x:v>
      </x:c>
    </x:row>
    <x:row r="1536" ht="21" customHeight="1">
      <x:c r="A1536" s="2" t="n">
        <x:v>1531</x:v>
      </x:c>
      <x:c r="B1536" s="2" t="str">
        <x:v>BAD-007</x:v>
      </x:c>
      <x:c r="C1536" s="2" t="str">
        <x:v>2025-01-07</x:v>
      </x:c>
      <x:c r="D1536" s="2" t="str">
        <x:v>Lagos</x:v>
      </x:c>
      <x:c r="E1536" s="2" t="str">
        <x:v>Fashion</x:v>
      </x:c>
      <x:c r="F1536" s="2" t="str">
        <x:v>T-shirt</x:v>
      </x:c>
      <x:c r="G1536" s="2" t="str">
        <x:v>In-store</x:v>
      </x:c>
      <x:c r="H1536" s="2" t="n">
        <x:v>1</x:v>
      </x:c>
      <x:c r="I1536" s="2" t="n">
        <x:v>9000</x:v>
      </x:c>
      <x:c r="J1536" s="2" t="n">
        <x:v>-500</x:v>
      </x:c>
      <x:c r="K1536" s="2" t="n">
        <x:v>0</x:v>
      </x:c>
      <x:c r="L1536" s="2" t="str">
        <x:v>Completed</x:v>
      </x:c>
    </x:row>
    <x:row r="1537" ht="21" customHeight="1">
      <x:c r="A1537" s="2" t="n">
        <x:v>1532</x:v>
      </x:c>
      <x:c r="B1537" s="2" t="str">
        <x:v>BAD-008</x:v>
      </x:c>
      <x:c r="C1537" s="2" t="str">
        <x:v>2025-01-20</x:v>
      </x:c>
      <x:c r="D1537" s="2" t="str">
        <x:v> lagos </x:v>
      </x:c>
      <x:c r="E1537" s="2" t="str">
        <x:v>Electronics</x:v>
      </x:c>
      <x:c r="F1537" s="2" t="str">
        <x:v>Power bank</x:v>
      </x:c>
      <x:c r="G1537" s="2" t="str">
        <x:v>In-store</x:v>
      </x:c>
      <x:c r="H1537" s="2" t="n">
        <x:v>1</x:v>
      </x:c>
      <x:c r="I1537" s="2" t="n">
        <x:v>15000</x:v>
      </x:c>
      <x:c r="J1537" s="2" t="n">
        <x:v>-500</x:v>
      </x:c>
      <x:c r="K1537" s="2" t="n">
        <x:v>0.1</x:v>
      </x:c>
      <x:c r="L1537" s="2" t="str">
        <x:v>Completed</x:v>
      </x:c>
    </x:row>
    <x:row r="1538" ht="21" customHeight="1">
      <x:c r="A1538" s="2" t="n">
        <x:v>1533</x:v>
      </x:c>
      <x:c r="B1538" s="2" t="str">
        <x:v>BAD-009</x:v>
      </x:c>
      <x:c r="C1538" s="2" t="str">
        <x:v>2025-01-12</x:v>
      </x:c>
      <x:c r="D1538" s="2" t="str">
        <x:v>Abuja</x:v>
      </x:c>
      <x:c r="E1538" s="2" t="str">
        <x:v>Fashion</x:v>
      </x:c>
      <x:c r="F1538" s="2" t="str">
        <x:v>T-shirt</x:v>
      </x:c>
      <x:c r="G1538" s="2" t="str">
        <x:v>In-store</x:v>
      </x:c>
      <x:c r="H1538" s="2" t="n">
        <x:v>1</x:v>
      </x:c>
      <x:c r="I1538" s="2" t="n">
        <x:v>9000</x:v>
      </x:c>
      <x:c r="J1538" s="2" t="n">
        <x:v>-500</x:v>
      </x:c>
      <x:c r="K1538" s="2" t="n">
        <x:v>0</x:v>
      </x:c>
      <x:c r="L1538" s="2" t="str">
        <x:v>Completed</x:v>
      </x:c>
    </x:row>
    <x:row r="1539" ht="21" customHeight="1">
      <x:c r="A1539" s="2" t="n">
        <x:v>1534</x:v>
      </x:c>
      <x:c r="B1539" s="2" t="str">
        <x:v>BAD-010</x:v>
      </x:c>
      <x:c r="C1539" s="2" t="str">
        <x:v>2025-01-18</x:v>
      </x:c>
      <x:c r="D1539" s="2" t="str">
        <x:v>Lagos</x:v>
      </x:c>
      <x:c r="E1539" s="2" t="str">
        <x:v>Beauty</x:v>
      </x:c>
      <x:c r="F1539" s="2" t="str">
        <x:v>Perfume</x:v>
      </x:c>
      <x:c r="G1539" s="2" t="str">
        <x:v>Online</x:v>
      </x:c>
      <x:c r="H1539" s="2" t="n">
        <x:v>2</x:v>
      </x:c>
      <x:c r="I1539" s="2" t="n">
        <x:v>17000</x:v>
      </x:c>
      <x:c r="J1539" s="2" t="n">
        <x:v>-500</x:v>
      </x:c>
      <x:c r="K1539" s="2" t="n">
        <x:v>0</x:v>
      </x:c>
      <x:c r="L1539" s="2" t="str">
        <x:v> COMPLETED </x:v>
      </x:c>
    </x:row>
    <x:row r="1540" ht="21" customHeight="1">
      <x:c r="A1540" s="2" t="n">
        <x:v>1535</x:v>
      </x:c>
      <x:c r="B1540" s="2" t="str">
        <x:v>BAD-011</x:v>
      </x:c>
      <x:c r="C1540" s="2" t="str">
        <x:v>2025-01-19</x:v>
      </x:c>
      <x:c r="D1540" s="2" t="str">
        <x:v>Lagos</x:v>
      </x:c>
      <x:c r="E1540" s="2" t="str">
        <x:v>Beauty</x:v>
      </x:c>
      <x:c r="F1540" s="2" t="str">
        <x:v>Moisturizer</x:v>
      </x:c>
      <x:c r="G1540" s="2" t="str">
        <x:v>In-store</x:v>
      </x:c>
      <x:c r="H1540" s="2" t="n">
        <x:v>1</x:v>
      </x:c>
      <x:c r="I1540" s="2" t="n">
        <x:v>6500</x:v>
      </x:c>
      <x:c r="J1540" s="2" t="n">
        <x:v>-500</x:v>
      </x:c>
      <x:c r="K1540" s="2" t="n">
        <x:v>0.1</x:v>
      </x:c>
      <x:c r="L1540" s="2" t="str">
        <x:v>Completed</x:v>
      </x:c>
    </x:row>
    <x:row r="1541" ht="21" customHeight="1">
      <x:c r="A1541" s="2" t="n">
        <x:v>1536</x:v>
      </x:c>
      <x:c r="B1541" s="2" t="str">
        <x:v>BAD-012</x:v>
      </x:c>
      <x:c r="C1541" s="2" t="str">
        <x:v>2025-13-05</x:v>
      </x:c>
      <x:c r="D1541" s="2" t="str">
        <x:v>Port Harcourt</x:v>
      </x:c>
      <x:c r="E1541" s="2" t="str">
        <x:v>Beauty</x:v>
      </x:c>
      <x:c r="F1541" s="2" t="str">
        <x:v>Moisturizer</x:v>
      </x:c>
      <x:c r="G1541" s="2" t="str">
        <x:v> online </x:v>
      </x:c>
      <x:c r="H1541" s="2" t="n">
        <x:v>2</x:v>
      </x:c>
      <x:c r="I1541" s="2" t="n">
        <x:v>6500</x:v>
      </x:c>
      <x:c r="J1541" s="2" t="n">
        <x:v>3500</x:v>
      </x:c>
      <x:c r="K1541" s="2" t="n">
        <x:v>0</x:v>
      </x:c>
      <x:c r="L1541" s="2" t="str">
        <x:v>Completed</x:v>
      </x:c>
    </x:row>
    <x:row r="1542" ht="21" customHeight="1">
      <x:c r="A1542" s="2" t="n">
        <x:v>1537</x:v>
      </x:c>
      <x:c r="B1542" s="2" t="str">
        <x:v>BAD-013</x:v>
      </x:c>
      <x:c r="C1542" s="2" t="str">
        <x:v>2025-13-05</x:v>
      </x:c>
      <x:c r="D1542" s="2" t="str">
        <x:v>Lagos</x:v>
      </x:c>
      <x:c r="E1542" s="2" t="str">
        <x:v>Home</x:v>
      </x:c>
      <x:c r="F1542" s="2" t="str">
        <x:v>Cookware set</x:v>
      </x:c>
      <x:c r="G1542" s="2" t="str">
        <x:v>Online</x:v>
      </x:c>
      <x:c r="H1542" s="2" t="n">
        <x:v>1</x:v>
      </x:c>
      <x:c r="I1542" s="2" t="n">
        <x:v>35000</x:v>
      </x:c>
      <x:c r="J1542" s="2" t="n">
        <x:v>22500</x:v>
      </x:c>
      <x:c r="K1542" s="2" t="n">
        <x:v>0.05</x:v>
      </x:c>
      <x:c r="L1542" s="2" t="str">
        <x:v>Completed</x:v>
      </x:c>
    </x:row>
    <x:row r="1543" ht="21" customHeight="1">
      <x:c r="A1543" s="2" t="n">
        <x:v>1538</x:v>
      </x:c>
      <x:c r="B1543" s="2" t="str">
        <x:v>BAD-014</x:v>
      </x:c>
      <x:c r="C1543" s="2" t="str">
        <x:v>2025-13-05</x:v>
      </x:c>
      <x:c r="D1543" s="2" t="str">
        <x:v>Port Harcourt</x:v>
      </x:c>
      <x:c r="E1543" s="2" t="str">
        <x:v>Fashion</x:v>
      </x:c>
      <x:c r="F1543" s="2" t="str">
        <x:v>T-shirt</x:v>
      </x:c>
      <x:c r="G1543" s="2" t="str">
        <x:v>In-store</x:v>
      </x:c>
      <x:c r="H1543" s="2" t="n">
        <x:v>1</x:v>
      </x:c>
      <x:c r="I1543" s="2" t="n">
        <x:v>9000</x:v>
      </x:c>
      <x:c r="J1543" s="2" t="n">
        <x:v>5000</x:v>
      </x:c>
      <x:c r="K1543" s="2" t="n">
        <x:v>0</x:v>
      </x:c>
      <x:c r="L1543" s="2" t="str">
        <x:v>Completed</x:v>
      </x:c>
    </x:row>
    <x:row r="1544" ht="21" customHeight="1">
      <x:c r="A1544" s="2" t="n">
        <x:v>1539</x:v>
      </x:c>
      <x:c r="B1544" s="2" t="str">
        <x:v>BAD-015</x:v>
      </x:c>
      <x:c r="C1544" s="2" t="str">
        <x:v>2025-13-05</x:v>
      </x:c>
      <x:c r="D1544" s="2" t="str">
        <x:v> kano </x:v>
      </x:c>
      <x:c r="E1544" s="2" t="str">
        <x:v>Electronics</x:v>
      </x:c>
      <x:c r="F1544" s="2" t="str">
        <x:v>Headphones</x:v>
      </x:c>
      <x:c r="G1544" s="2" t="str">
        <x:v>Online</x:v>
      </x:c>
      <x:c r="H1544" s="2" t="n">
        <x:v>1</x:v>
      </x:c>
      <x:c r="I1544" s="2" t="n">
        <x:v>18000</x:v>
      </x:c>
      <x:c r="J1544" s="2" t="n">
        <x:v>10500</x:v>
      </x:c>
      <x:c r="K1544" s="2" t="n">
        <x:v>0.05</x:v>
      </x:c>
      <x:c r="L1544" s="2" t="str">
        <x:v>Completed</x:v>
      </x:c>
    </x:row>
    <x:row r="1545" ht="21" customHeight="1">
      <x:c r="A1545" s="2" t="n">
        <x:v>1540</x:v>
      </x:c>
      <x:c r="B1545" s="2" t="str">
        <x:v>BAD-016</x:v>
      </x:c>
      <x:c r="C1545" s="2" t="str">
        <x:v>2025-01-14</x:v>
      </x:c>
      <x:c r="D1545" s="2" t="str">
        <x:v>Port Harcourt</x:v>
      </x:c>
      <x:c r="E1545" s="2" t="str">
        <x:v>Beauty</x:v>
      </x:c>
      <x:c r="F1545" s="2" t="str">
        <x:v>Perfume</x:v>
      </x:c>
      <x:c r="G1545" s="2" t="str">
        <x:v>Online</x:v>
      </x:c>
      <x:c r="H1545" s="2" t="n">
        <x:v>1</x:v>
      </x:c>
      <x:c r="I1545" s="2" t="n">
        <x:v>17000</x:v>
      </x:c>
      <x:c r="J1545" s="2" t="n">
        <x:v>9000</x:v>
      </x:c>
      <x:c r="K1545" s="2" t="n">
        <x:v>1.1</x:v>
      </x:c>
      <x:c r="L1545" s="2" t="str">
        <x:v>Completed</x:v>
      </x:c>
    </x:row>
    <x:row r="1546" ht="21" customHeight="1">
      <x:c r="A1546" s="2" t="n">
        <x:v>1541</x:v>
      </x:c>
      <x:c r="B1546" s="2" t="str">
        <x:v>BAD-017</x:v>
      </x:c>
      <x:c r="C1546" s="2" t="str">
        <x:v>2025-01-11</x:v>
      </x:c>
      <x:c r="D1546" s="2" t="str">
        <x:v>Kano</x:v>
      </x:c>
      <x:c r="E1546" s="2" t="str">
        <x:v>Fashion</x:v>
      </x:c>
      <x:c r="F1546" s="2" t="str">
        <x:v>Sneakers</x:v>
      </x:c>
      <x:c r="G1546" s="2" t="str">
        <x:v>In-store</x:v>
      </x:c>
      <x:c r="H1546" s="2" t="n">
        <x:v>1</x:v>
      </x:c>
      <x:c r="I1546" s="2" t="n">
        <x:v>28000</x:v>
      </x:c>
      <x:c r="J1546" s="2" t="n">
        <x:v>17500</x:v>
      </x:c>
      <x:c r="K1546" s="2" t="n">
        <x:v>1.1</x:v>
      </x:c>
      <x:c r="L1546" s="2" t="str">
        <x:v>Completed</x:v>
      </x:c>
    </x:row>
    <x:row r="1547" ht="21" customHeight="1">
      <x:c r="A1547" s="2" t="n">
        <x:v>1542</x:v>
      </x:c>
      <x:c r="B1547" s="2" t="str">
        <x:v>BAD-018</x:v>
      </x:c>
      <x:c r="C1547" s="2" t="str">
        <x:v>2025-01-07</x:v>
      </x:c>
      <x:c r="D1547" s="2" t="str">
        <x:v>Lagos</x:v>
      </x:c>
      <x:c r="E1547" s="2" t="str">
        <x:v>Home</x:v>
      </x:c>
      <x:c r="F1547" s="2" t="str">
        <x:v>Cookware set</x:v>
      </x:c>
      <x:c r="G1547" s="2" t="str">
        <x:v>In-store</x:v>
      </x:c>
      <x:c r="H1547" s="2" t="n">
        <x:v>1</x:v>
      </x:c>
      <x:c r="I1547" s="2" t="n">
        <x:v>35000</x:v>
      </x:c>
      <x:c r="J1547" s="2" t="n">
        <x:v>22500</x:v>
      </x:c>
      <x:c r="K1547" s="2" t="n">
        <x:v>1.1</x:v>
      </x:c>
      <x:c r="L1547" s="2" t="str">
        <x:v>Completed</x:v>
      </x:c>
    </x:row>
    <x:row r="1548" ht="21" customHeight="1">
      <x:c r="A1548" s="2" t="n">
        <x:v>1543</x:v>
      </x:c>
      <x:c r="B1548" s="2" t="str">
        <x:v>BAD-019</x:v>
      </x:c>
      <x:c r="C1548" s="2" t="str">
        <x:v>2025-01-03</x:v>
      </x:c>
      <x:c r="D1548" s="2" t="str">
        <x:v>Lagos</x:v>
      </x:c>
      <x:c r="E1548" s="2" t="str">
        <x:v>Beauty</x:v>
      </x:c>
      <x:c r="F1548" s="2" t="str">
        <x:v>Moisturizer</x:v>
      </x:c>
      <x:c r="G1548" s="2" t="str">
        <x:v>Online</x:v>
      </x:c>
      <x:c r="H1548" s="2" t="n">
        <x:v>1</x:v>
      </x:c>
      <x:c r="I1548" s="2" t="n">
        <x:v>6500</x:v>
      </x:c>
      <x:c r="J1548" s="2" t="n">
        <x:v>3500</x:v>
      </x:c>
      <x:c r="K1548" s="2" t="n">
        <x:v>1.1</x:v>
      </x:c>
      <x:c r="L1548" s="2" t="str">
        <x:v> COMPLETED </x:v>
      </x:c>
    </x:row>
    <x:row r="1549" ht="21" customHeight="1">
      <x:c r="A1549" s="2" t="n">
        <x:v>1544</x:v>
      </x:c>
      <x:c r="B1549" s="2" t="str">
        <x:v>BAD-020</x:v>
      </x:c>
      <x:c r="C1549" s="2" t="str">
        <x:v>2025-01-01</x:v>
      </x:c>
      <x:c r="D1549" s="2" t="str">
        <x:v>Lagos</x:v>
      </x:c>
      <x:c r="E1549" s="2" t="str">
        <x:v>Fashion</x:v>
      </x:c>
      <x:c r="F1549" s="2" t="str">
        <x:v>Handbag</x:v>
      </x:c>
      <x:c r="G1549" s="2" t="str">
        <x:v>Online</x:v>
      </x:c>
      <x:c r="H1549" s="2" t="n">
        <x:v>4</x:v>
      </x:c>
      <x:c r="I1549" s="2" t="n">
        <x:v>22000</x:v>
      </x:c>
      <x:c r="J1549" s="2" t="n">
        <x:v>13500</x:v>
      </x:c>
      <x:c r="K1549" s="2" t="n">
        <x:v>1.1</x:v>
      </x:c>
      <x:c r="L1549" s="2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cc7d3a88b30e4984"/>
  </x:tableParts>
</x:worksheet>
</file>